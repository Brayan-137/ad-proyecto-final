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8.xml.rels" ContentType="application/vnd.openxmlformats-package.relationships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NCHA_1" sheetId="1" state="visible" r:id="rId3"/>
    <sheet name="CANCHA_2" sheetId="2" state="visible" r:id="rId4"/>
    <sheet name="Original" sheetId="3" state="visible" r:id="rId5"/>
    <sheet name="TD" sheetId="4" state="visible" r:id="rId6"/>
    <sheet name="Resumen" sheetId="5" state="visible" r:id="rId7"/>
  </sheets>
  <definedNames>
    <definedName function="false" hidden="true" localSheetId="4" name="_xlnm._FilterDatabase" vbProcedure="false">Resumen!$Y$6:$AB$6</definedName>
  </definedNames>
  <calcPr iterateCount="100" refMode="A1" iterate="false" iterateDelta="0.0001"/>
  <pivotCaches>
    <pivotCache cacheId="1" r:id="rId9"/>
    <pivotCache cacheId="2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<sst xmlns="http://schemas.openxmlformats.org/spreadsheetml/2006/main" count="4596" uniqueCount="79">
  <si>
    <t xml:space="preserve">ID_PARTIDO</t>
  </si>
  <si>
    <t xml:space="preserve">CANCHA</t>
  </si>
  <si>
    <t xml:space="preserve">ID_PUNTO</t>
  </si>
  <si>
    <t xml:space="preserve">ID_JUGADOR_1_EQUIPO_1</t>
  </si>
  <si>
    <t xml:space="preserve">ID_JUGADOR_2_EQUIPO_1</t>
  </si>
  <si>
    <t xml:space="preserve">ID_JUGADOR_1_EQUIPO_2</t>
  </si>
  <si>
    <t xml:space="preserve">ID_JUGADOR_2_EQUIPO_2</t>
  </si>
  <si>
    <t xml:space="preserve">EQUIPO_1_POSICION</t>
  </si>
  <si>
    <t xml:space="preserve">EQUIPO_2_POSICION</t>
  </si>
  <si>
    <t xml:space="preserve">POSICION_JUGADOR_1_EQUIPO_1</t>
  </si>
  <si>
    <t xml:space="preserve">POSICION_JUGADOR_2_EQUIPO_1</t>
  </si>
  <si>
    <t xml:space="preserve">POSICION_JUGADOR_1_EQUIPO_2</t>
  </si>
  <si>
    <t xml:space="preserve">POSICION_JUGADOR_2_EQUIPO_2</t>
  </si>
  <si>
    <t xml:space="preserve">PUNTO_EQUIPO_1</t>
  </si>
  <si>
    <t xml:space="preserve">PUNTO_EQUIPO_2</t>
  </si>
  <si>
    <t xml:space="preserve">Alejandra Salazar Galeano</t>
  </si>
  <si>
    <t xml:space="preserve">Ángel Santiago Toribio Godoy </t>
  </si>
  <si>
    <t xml:space="preserve">SANTIAGO PEÑA BELTRAN</t>
  </si>
  <si>
    <t xml:space="preserve">Sahily Andrea Herrera Eljadue</t>
  </si>
  <si>
    <t xml:space="preserve">BOTTOM</t>
  </si>
  <si>
    <t xml:space="preserve">TOP</t>
  </si>
  <si>
    <t xml:space="preserve">RIGHT</t>
  </si>
  <si>
    <t xml:space="preserve">LEFT</t>
  </si>
  <si>
    <t xml:space="preserve">Juan David Rubio</t>
  </si>
  <si>
    <t xml:space="preserve">Laura Natalia Garcia</t>
  </si>
  <si>
    <t xml:space="preserve">Isabella Buitrago</t>
  </si>
  <si>
    <t xml:space="preserve">Samuel Francisco Rubio Casallas</t>
  </si>
  <si>
    <t xml:space="preserve">Mateo Ramírez Cabrera</t>
  </si>
  <si>
    <t xml:space="preserve">Maria Jose Palomino Carreño</t>
  </si>
  <si>
    <t xml:space="preserve">Juan Esteban Bustos Marín</t>
  </si>
  <si>
    <t xml:space="preserve">Sofia Daza García</t>
  </si>
  <si>
    <t xml:space="preserve">Gabriel Alejandro Corzo Fernández</t>
  </si>
  <si>
    <t xml:space="preserve">Daniel Esteban Ortegon Jaramillo</t>
  </si>
  <si>
    <t xml:space="preserve">Esteban Sequeda Henao</t>
  </si>
  <si>
    <t xml:space="preserve">Juan Felipe Mahecha</t>
  </si>
  <si>
    <t xml:space="preserve">Pia Aroor</t>
  </si>
  <si>
    <t xml:space="preserve">César Camilo Díaz Cufiño</t>
  </si>
  <si>
    <t xml:space="preserve">Carlos Andrés Díaz Méndez</t>
  </si>
  <si>
    <t xml:space="preserve">Andre Leonard Duque</t>
  </si>
  <si>
    <t xml:space="preserve">Juan David Quitian</t>
  </si>
  <si>
    <t xml:space="preserve">Jorge Garcia</t>
  </si>
  <si>
    <t xml:space="preserve">Juan david Ortiz rendon</t>
  </si>
  <si>
    <t xml:space="preserve">Juliana Gomez</t>
  </si>
  <si>
    <t xml:space="preserve">Nicolas Navarro D.</t>
  </si>
  <si>
    <t xml:space="preserve">Natalia Perez</t>
  </si>
  <si>
    <t xml:space="preserve">Tiffany Cardona Perez</t>
  </si>
  <si>
    <t xml:space="preserve">Sergio Gomez Osorio</t>
  </si>
  <si>
    <t xml:space="preserve">Juan sebastian melo gonzalez</t>
  </si>
  <si>
    <t xml:space="preserve">Luis Felipe Bonilla Patiño</t>
  </si>
  <si>
    <t xml:space="preserve">Carlos Felipe Andrade</t>
  </si>
  <si>
    <t xml:space="preserve">Juan Guio</t>
  </si>
  <si>
    <t xml:space="preserve">YEISON DAVID NINO ARIAS</t>
  </si>
  <si>
    <t xml:space="preserve">Luis Felipe Cuellar Santamaria</t>
  </si>
  <si>
    <t xml:space="preserve">Jeronimo Sanabria olivares</t>
  </si>
  <si>
    <t xml:space="preserve">José Fabian Garcia</t>
  </si>
  <si>
    <t xml:space="preserve">Partido</t>
  </si>
  <si>
    <t xml:space="preserve">Equipo1_Jugador1</t>
  </si>
  <si>
    <t xml:space="preserve">Equipo1_Jugador2</t>
  </si>
  <si>
    <t xml:space="preserve">Equipo2_Jugador1</t>
  </si>
  <si>
    <t xml:space="preserve">Equipo2_Jugador2</t>
  </si>
  <si>
    <t xml:space="preserve">Cancha</t>
  </si>
  <si>
    <t xml:space="preserve">Cancha 1</t>
  </si>
  <si>
    <t xml:space="preserve">Cancha 2</t>
  </si>
  <si>
    <t xml:space="preserve">Ana Sofia Pinilla Varon</t>
  </si>
  <si>
    <t xml:space="preserve">Cuenta de ID_PUNTO</t>
  </si>
  <si>
    <t xml:space="preserve">(empty)</t>
  </si>
  <si>
    <t xml:space="preserve">Total Result</t>
  </si>
  <si>
    <t xml:space="preserve">TOTAL PUNTOS GANADOS</t>
  </si>
  <si>
    <t xml:space="preserve">TOTAL PUNTOS JUGADOS</t>
  </si>
  <si>
    <t xml:space="preserve">Equipo 1</t>
  </si>
  <si>
    <t xml:space="preserve">Equipo 2</t>
  </si>
  <si>
    <t xml:space="preserve">JUGADOR</t>
  </si>
  <si>
    <t xml:space="preserve">Jugador 1</t>
  </si>
  <si>
    <t xml:space="preserve">Jugador 2</t>
  </si>
  <si>
    <t xml:space="preserve">Total Torneo</t>
  </si>
  <si>
    <t xml:space="preserve">Total Puntos Jugados</t>
  </si>
  <si>
    <t xml:space="preserve">Total Ganados</t>
  </si>
  <si>
    <t xml:space="preserve">Total Jugados</t>
  </si>
  <si>
    <t xml:space="preserve">Win Rate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</si>
</sst>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%"/>
  </numFmts>
  <fonts count="11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sz val="11"/>
      <color rgb="FFFFFFFF"/>
      <name val="Aptos Narrow"/>
      <family val="2"/>
      <charset val="1"/>
    </font>
    <font>
      <sz val="11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Aptos Narrow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B7B7B7"/>
        <bgColor rgb="FFCCCCCC"/>
      </patternFill>
    </fill>
    <fill>
      <patternFill patternType="solid">
        <fgColor rgb="FF156082"/>
        <bgColor rgb="FF008080"/>
      </patternFill>
    </fill>
    <fill>
      <patternFill patternType="solid">
        <fgColor rgb="FFC1E4F5"/>
        <bgColor rgb="FFCCFFFF"/>
      </patternFill>
    </fill>
    <fill>
      <patternFill patternType="solid">
        <fgColor rgb="FFFFFFFF"/>
        <bgColor rgb="FFFCE5CD"/>
      </patternFill>
    </fill>
    <fill>
      <patternFill patternType="solid">
        <fgColor rgb="FFF1C232"/>
        <bgColor rgb="FFF6B26B"/>
      </patternFill>
    </fill>
    <fill>
      <patternFill patternType="solid">
        <fgColor rgb="FFFCE5CD"/>
        <bgColor rgb="FFFFFFFF"/>
      </patternFill>
    </fill>
    <fill>
      <patternFill patternType="solid">
        <fgColor rgb="FF6AA84F"/>
        <bgColor rgb="FF808080"/>
      </patternFill>
    </fill>
    <fill>
      <patternFill patternType="solid">
        <fgColor rgb="FFE69138"/>
        <bgColor rgb="FFF6B26B"/>
      </patternFill>
    </fill>
    <fill>
      <patternFill patternType="solid">
        <fgColor rgb="FFFFD966"/>
        <bgColor rgb="FFF1C232"/>
      </patternFill>
    </fill>
    <fill>
      <patternFill patternType="solid">
        <fgColor rgb="FFF6B26B"/>
        <bgColor rgb="FFF1C232"/>
      </patternFill>
    </fill>
    <fill>
      <patternFill patternType="solid">
        <fgColor rgb="FFE06666"/>
        <bgColor rgb="FFE69138"/>
      </patternFill>
    </fill>
    <fill>
      <patternFill patternType="solid">
        <fgColor rgb="FF45818E"/>
        <bgColor rgb="FF666699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B7B7"/>
          <bgColor rgb="FF000000"/>
        </patternFill>
      </fill>
    </dxf>
    <dxf>
      <fill>
        <patternFill patternType="solid">
          <fgColor rgb="FF156082"/>
          <bgColor rgb="FF000000"/>
        </patternFill>
      </fill>
    </dxf>
    <dxf>
      <fill>
        <patternFill patternType="solid">
          <fgColor rgb="FFC1E4F5"/>
          <bgColor rgb="FF000000"/>
        </patternFill>
      </fill>
    </dxf>
    <dxf>
      <fill>
        <patternFill patternType="solid">
          <fgColor rgb="FF45818E"/>
          <bgColor rgb="FF000000"/>
        </patternFill>
      </fill>
    </dxf>
    <dxf>
      <fill>
        <patternFill patternType="solid">
          <fgColor rgb="FF6AA84F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E69138"/>
          <bgColor rgb="FF000000"/>
        </patternFill>
      </fill>
    </dxf>
    <dxf>
      <fill>
        <patternFill patternType="solid">
          <fgColor rgb="FFF1C232"/>
          <bgColor rgb="FF000000"/>
        </patternFill>
      </fill>
    </dxf>
    <dxf>
      <fill>
        <patternFill patternType="solid">
          <fgColor rgb="FFF6B26B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7B7B7"/>
      <rgbColor rgb="FF808080"/>
      <rgbColor rgb="FF9999FF"/>
      <rgbColor rgb="FF993366"/>
      <rgbColor rgb="FFFCE5CD"/>
      <rgbColor rgb="FFC1E4F5"/>
      <rgbColor rgb="FF660066"/>
      <rgbColor rgb="FFE06666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6B26B"/>
      <rgbColor rgb="FFCC99FF"/>
      <rgbColor rgb="FFFFD966"/>
      <rgbColor rgb="FF3366FF"/>
      <rgbColor rgb="FF33CCCC"/>
      <rgbColor rgb="FF99CC00"/>
      <rgbColor rgb="FFF1C232"/>
      <rgbColor rgb="FFE69138"/>
      <rgbColor rgb="FFFF6600"/>
      <rgbColor rgb="FF666699"/>
      <rgbColor rgb="FF6AA84F"/>
      <rgbColor rgb="FF003366"/>
      <rgbColor rgb="FF45818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6" createdVersion="3">
  <cacheSource type="worksheet">
    <worksheetSource ref="A:M" sheet="CANCHA_2"/>
  </cacheSource>
  <cacheFields count="13">
    <cacheField name="ID_PARTIDO" numFmtId="0">
      <sharedItems containsString="0" containsBlank="1" containsNumber="1" containsInteger="1" minValue="2" maxValue="38" count="20">
        <n v="2"/>
        <n v="4"/>
        <n v="6"/>
        <n v="8"/>
        <n v="10"/>
        <n v="12"/>
        <n v="14"/>
        <n v="16"/>
        <n v="18"/>
        <n v="20"/>
        <n v="22"/>
        <n v="24"/>
        <n v="26"/>
        <n v="28"/>
        <n v="30"/>
        <n v="32"/>
        <n v="34"/>
        <n v="36"/>
        <n v="38"/>
        <m/>
      </sharedItems>
    </cacheField>
    <cacheField name="CANCHA" numFmtId="0">
      <sharedItems containsString="0" containsBlank="1" containsNumber="1" containsInteger="1" minValue="2" maxValue="2" count="2">
        <n v="2"/>
        <m/>
      </sharedItems>
    </cacheField>
    <cacheField name="ID_PUNTO" numFmtId="0">
      <sharedItems containsString="0" containsBlank="1" containsNumber="1" containsInteger="1" minValue="1" maxValue="13" count="14">
        <n v="1"/>
        <n v="2"/>
        <n v="3"/>
        <n v="4"/>
        <n v="5"/>
        <n v="6"/>
        <n v="7"/>
        <n v="8"/>
        <n v="9"/>
        <n v="10"/>
        <n v="11"/>
        <n v="12"/>
        <n v="13"/>
        <m/>
      </sharedItems>
    </cacheField>
    <cacheField name="ID_JUGADOR_1_EQUIPO_1" numFmtId="0">
      <sharedItems containsBlank="1" count="14">
        <s v="Carlos Andrés Díaz Méndez"/>
        <s v="Carlos Felipe Andrade"/>
        <s v="Jorge Garcia"/>
        <s v="José Fabian Garcia"/>
        <s v="Juan david Ortiz rendon"/>
        <s v="Juan Esteban Bustos Marín"/>
        <s v="Juan Guio"/>
        <s v="Juan sebastian melo gonzalez"/>
        <s v="Juliana Gomez"/>
        <s v="Laura Natalia Garcia"/>
        <s v="Luis Felipe Bonilla Patiño"/>
        <s v="Nicolas Navarro D."/>
        <s v="Sergio Gomez Osorio"/>
        <m/>
      </sharedItems>
    </cacheField>
    <cacheField name="ID_JUGADOR_2_EQUIPO_1" numFmtId="0">
      <sharedItems containsBlank="1" count="14">
        <s v="Alejandra Salazar Galeano"/>
        <s v="César Camilo Díaz Cufiño"/>
        <s v="Esteban Sequeda Henao"/>
        <s v="Jeronimo Sanabria olivares"/>
        <s v="Jorge Garcia"/>
        <s v="Juan David Quitian"/>
        <s v="Juan Esteban Bustos Marín"/>
        <s v="Juan sebastian melo gonzalez"/>
        <s v="Juliana Gomez"/>
        <s v="Samuel Francisco Rubio Casallas"/>
        <s v="Sergio Gomez Osorio"/>
        <s v="Sofia Daza García"/>
        <s v="YEISON DAVID NINO ARIAS"/>
        <m/>
      </sharedItems>
    </cacheField>
    <cacheField name="ID_JUGADOR_1_EQUIPO_2" numFmtId="0">
      <sharedItems containsBlank="1" count="17">
        <s v="Esteban Sequeda Henao"/>
        <s v="Gabriel Alejandro Corzo Fernández"/>
        <s v="Jorge Garcia"/>
        <s v="José Fabian Garcia"/>
        <s v="Juan david Ortiz rendon"/>
        <s v="Juan Felipe Mahecha"/>
        <s v="Juliana Gomez"/>
        <s v="Laura Natalia Garcia"/>
        <s v="Luis Felipe Bonilla Patiño"/>
        <s v="Luis Felipe Cuellar Santamaria"/>
        <s v="Mateo Ramírez Cabrera"/>
        <s v="Pia Aroor"/>
        <s v="Sahily Andrea Herrera Eljadue"/>
        <s v="SANTIAGO PEÑA BELTRAN"/>
        <s v="Sergio Gomez Osorio"/>
        <s v="YEISON DAVID NINO ARIAS"/>
        <m/>
      </sharedItems>
    </cacheField>
    <cacheField name="ID_JUGADOR_2_EQUIPO_2" numFmtId="0">
      <sharedItems containsBlank="1" count="14">
        <s v="Carlos Felipe Andrade"/>
        <s v="Daniel Esteban Ortegon Jaramillo"/>
        <s v="Esteban Sequeda Henao"/>
        <s v="Gabriel Alejandro Corzo Fernández"/>
        <s v="Isabella Buitrago"/>
        <s v="Juan David Quitian"/>
        <s v="Juan David Rubio"/>
        <s v="Juan Guio"/>
        <s v="Juliana Gomez"/>
        <s v="Laura Natalia Garcia"/>
        <s v="Luis Felipe Bonilla Patiño"/>
        <s v="Luis Felipe Cuellar Santamaria"/>
        <s v="YEISON DAVID NINO ARIAS"/>
        <m/>
      </sharedItems>
    </cacheField>
    <cacheField name="EQUIPO_1_POSICION" numFmtId="0">
      <sharedItems containsBlank="1" count="3">
        <s v="BOTTOM"/>
        <s v="TOP"/>
        <m/>
      </sharedItems>
    </cacheField>
    <cacheField name="EQUIPO_2_POSICION" numFmtId="0">
      <sharedItems containsBlank="1" count="3">
        <s v="BOTTOM"/>
        <s v="TOP"/>
        <m/>
      </sharedItems>
    </cacheField>
    <cacheField name="POSICION_JUGADOR_1_EQUIPO_1" numFmtId="0">
      <sharedItems containsBlank="1" count="3">
        <s v="LEFT"/>
        <s v="RIGHT"/>
        <m/>
      </sharedItems>
    </cacheField>
    <cacheField name="POSICION_JUGADOR_2_EQUIPO_1" numFmtId="0">
      <sharedItems containsBlank="1" count="3">
        <s v="LEFT"/>
        <s v="RIGHT"/>
        <m/>
      </sharedItems>
    </cacheField>
    <cacheField name="POSICION_JUGADOR_1_EQUIPO_2" numFmtId="0">
      <sharedItems containsBlank="1" count="3">
        <s v="LEFT"/>
        <s v="RIGHT"/>
        <m/>
      </sharedItems>
    </cacheField>
    <cacheField name="POSICION_JUGADOR_2_EQUIPO_2" numFmtId="0">
      <sharedItems containsBlank="1" count="3">
        <s v="LEFT"/>
        <s v="RIGHT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200" createdVersion="3">
  <cacheSource type="worksheet">
    <worksheetSource ref="A:L" sheet="CANCHA_1"/>
  </cacheSource>
  <cacheFields count="12">
    <cacheField name="ID_PARTIDO" numFmtId="0">
      <sharedItems containsString="0" containsBlank="1" containsNumber="1" containsInteger="1" minValue="1" maxValue="37" count="20">
        <n v="1"/>
        <n v="3"/>
        <n v="5"/>
        <n v="7"/>
        <n v="9"/>
        <n v="11"/>
        <n v="13"/>
        <n v="15"/>
        <n v="17"/>
        <n v="19"/>
        <n v="21"/>
        <n v="23"/>
        <n v="25"/>
        <n v="27"/>
        <n v="29"/>
        <n v="31"/>
        <n v="33"/>
        <n v="35"/>
        <n v="37"/>
        <m/>
      </sharedItems>
    </cacheField>
    <cacheField name="CANCHA" numFmtId="0">
      <sharedItems containsString="0" containsBlank="1" containsNumber="1" containsInteger="1" minValue="1" maxValue="1" count="2">
        <n v="1"/>
        <m/>
      </sharedItems>
    </cacheField>
    <cacheField name="ID_PUNTO" numFmtId="0">
      <sharedItems containsString="0" containsBlank="1" containsNumber="1" containsInteger="1" minValue="1" maxValue="13" count="14">
        <n v="1"/>
        <n v="2"/>
        <n v="3"/>
        <n v="4"/>
        <n v="5"/>
        <n v="6"/>
        <n v="7"/>
        <n v="8"/>
        <n v="9"/>
        <n v="10"/>
        <n v="11"/>
        <n v="12"/>
        <n v="13"/>
        <m/>
      </sharedItems>
    </cacheField>
    <cacheField name="ID_JUGADOR_1_EQUIPO_1" numFmtId="0">
      <sharedItems containsBlank="1" count="15">
        <s v="Alejandra Salazar Galeano"/>
        <s v="César Camilo Díaz Cufiño"/>
        <s v="Daniel Esteban Ortegon Jaramillo"/>
        <s v="Gabriel Alejandro Corzo Fernández"/>
        <s v="Isabella Buitrago"/>
        <s v="Jorge Garcia"/>
        <s v="Juan David Rubio"/>
        <s v="Juan Esteban Bustos Marín"/>
        <s v="Juan Guio"/>
        <s v="Juan sebastian melo gonzalez"/>
        <s v="Juliana Gomez"/>
        <s v="Natalia Perez"/>
        <s v="Pia Aroor"/>
        <s v="SANTIAGO PEÑA BELTRAN"/>
        <m/>
      </sharedItems>
    </cacheField>
    <cacheField name="ID_JUGADOR_2_EQUIPO_1" numFmtId="0">
      <sharedItems containsBlank="1" count="15">
        <s v="Alejandra Salazar Galeano"/>
        <s v="Ángel Santiago Toribio Godoy "/>
        <s v="Carlos Andrés Díaz Méndez"/>
        <s v="Gabriel Alejandro Corzo Fernández"/>
        <s v="Juan david Ortiz rendon"/>
        <s v="Juan Felipe Mahecha"/>
        <s v="Laura Natalia Garcia"/>
        <s v="Luis Felipe Bonilla Patiño"/>
        <s v="Mateo Ramírez Cabrera"/>
        <s v="Pia Aroor"/>
        <s v="Sahily Andrea Herrera Eljadue"/>
        <s v="Samuel Francisco Rubio Casallas"/>
        <s v="SANTIAGO PEÑA BELTRAN"/>
        <s v="Sofia Daza García"/>
        <m/>
      </sharedItems>
    </cacheField>
    <cacheField name="ID_JUGADOR_1_EQUIPO_2" numFmtId="0">
      <sharedItems containsBlank="1" count="16">
        <s v="Alejandra Salazar Galeano"/>
        <s v="Andre Leonard Duque"/>
        <s v="Carlos Felipe Andrade"/>
        <s v="César Camilo Díaz Cufiño"/>
        <s v="Esteban Sequeda Henao"/>
        <s v="Gabriel Alejandro Corzo Fernández"/>
        <s v="Isabella Buitrago"/>
        <s v="Juan David Quitian"/>
        <s v="Laura Natalia Garcia"/>
        <s v="Luis Felipe Bonilla Patiño"/>
        <s v="Mateo Ramírez Cabrera"/>
        <s v="Sahily Andrea Herrera Eljadue"/>
        <s v="SANTIAGO PEÑA BELTRAN"/>
        <s v="Sergio Gomez Osorio"/>
        <s v="Tiffany Cardona Perez"/>
        <m/>
      </sharedItems>
    </cacheField>
    <cacheField name="ID_JUGADOR_2_EQUIPO_2" numFmtId="0">
      <sharedItems containsBlank="1" count="15">
        <s v="Ángel Santiago Toribio Godoy "/>
        <s v="César Camilo Díaz Cufiño"/>
        <s v="Esteban Sequeda Henao"/>
        <s v="Isabella Buitrago"/>
        <s v="Juan David Quitian"/>
        <s v="Juan Felipe Mahecha"/>
        <s v="Juan sebastian melo gonzalez"/>
        <s v="Laura Natalia Garcia"/>
        <s v="Maria Jose Palomino Carreño"/>
        <s v="Mateo Ramírez Cabrera"/>
        <s v="Nicolas Navarro D."/>
        <s v="Pia Aroor"/>
        <s v="Sahily Andrea Herrera Eljadue"/>
        <s v="Samuel Francisco Rubio Casallas"/>
        <m/>
      </sharedItems>
    </cacheField>
    <cacheField name="EQUIPO_1_POSICION" numFmtId="0">
      <sharedItems containsBlank="1" count="3">
        <s v="BOTTOM"/>
        <s v="TOP"/>
        <m/>
      </sharedItems>
    </cacheField>
    <cacheField name="EQUIPO_2_POSICION" numFmtId="0">
      <sharedItems containsBlank="1" count="3">
        <s v="BOTTOM"/>
        <s v="TOP"/>
        <m/>
      </sharedItems>
    </cacheField>
    <cacheField name="POSICION_JUGADOR_1_EQUIPO_1" numFmtId="0">
      <sharedItems containsBlank="1" count="3">
        <s v="LEFT"/>
        <s v="RIGHT"/>
        <m/>
      </sharedItems>
    </cacheField>
    <cacheField name="POSICION_JUGADOR_2_EQUIPO_1" numFmtId="0">
      <sharedItems containsBlank="1" count="3">
        <s v="LEFT"/>
        <s v="RIGHT"/>
        <m/>
      </sharedItems>
    </cacheField>
    <cacheField name="POSICION_JUGADOR_1_EQUIPO_2" numFmtId="0">
      <sharedItems containsBlank="1" count="3">
        <s v="LEFT"/>
        <s v="RIGHT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6">
  <r>
    <x v="0"/>
    <x v="0"/>
    <x v="0"/>
    <x v="12"/>
    <x v="12"/>
    <x v="5"/>
    <x v="11"/>
    <x v="0"/>
    <x v="1"/>
    <x v="1"/>
    <x v="0"/>
    <x v="1"/>
    <x v="0"/>
  </r>
  <r>
    <x v="0"/>
    <x v="0"/>
    <x v="1"/>
    <x v="12"/>
    <x v="12"/>
    <x v="5"/>
    <x v="11"/>
    <x v="0"/>
    <x v="1"/>
    <x v="1"/>
    <x v="0"/>
    <x v="1"/>
    <x v="0"/>
  </r>
  <r>
    <x v="0"/>
    <x v="0"/>
    <x v="2"/>
    <x v="12"/>
    <x v="12"/>
    <x v="5"/>
    <x v="11"/>
    <x v="0"/>
    <x v="1"/>
    <x v="1"/>
    <x v="0"/>
    <x v="1"/>
    <x v="0"/>
  </r>
  <r>
    <x v="0"/>
    <x v="0"/>
    <x v="3"/>
    <x v="12"/>
    <x v="12"/>
    <x v="5"/>
    <x v="11"/>
    <x v="0"/>
    <x v="1"/>
    <x v="1"/>
    <x v="0"/>
    <x v="1"/>
    <x v="0"/>
  </r>
  <r>
    <x v="0"/>
    <x v="0"/>
    <x v="4"/>
    <x v="12"/>
    <x v="12"/>
    <x v="5"/>
    <x v="11"/>
    <x v="0"/>
    <x v="1"/>
    <x v="1"/>
    <x v="0"/>
    <x v="1"/>
    <x v="0"/>
  </r>
  <r>
    <x v="0"/>
    <x v="0"/>
    <x v="5"/>
    <x v="12"/>
    <x v="12"/>
    <x v="5"/>
    <x v="11"/>
    <x v="0"/>
    <x v="1"/>
    <x v="1"/>
    <x v="0"/>
    <x v="1"/>
    <x v="0"/>
  </r>
  <r>
    <x v="0"/>
    <x v="0"/>
    <x v="6"/>
    <x v="12"/>
    <x v="12"/>
    <x v="5"/>
    <x v="11"/>
    <x v="0"/>
    <x v="1"/>
    <x v="1"/>
    <x v="0"/>
    <x v="1"/>
    <x v="0"/>
  </r>
  <r>
    <x v="0"/>
    <x v="0"/>
    <x v="7"/>
    <x v="12"/>
    <x v="12"/>
    <x v="5"/>
    <x v="11"/>
    <x v="0"/>
    <x v="1"/>
    <x v="1"/>
    <x v="0"/>
    <x v="1"/>
    <x v="0"/>
  </r>
  <r>
    <x v="0"/>
    <x v="0"/>
    <x v="8"/>
    <x v="12"/>
    <x v="12"/>
    <x v="5"/>
    <x v="11"/>
    <x v="0"/>
    <x v="1"/>
    <x v="1"/>
    <x v="0"/>
    <x v="1"/>
    <x v="0"/>
  </r>
  <r>
    <x v="0"/>
    <x v="0"/>
    <x v="9"/>
    <x v="12"/>
    <x v="12"/>
    <x v="5"/>
    <x v="11"/>
    <x v="0"/>
    <x v="1"/>
    <x v="1"/>
    <x v="0"/>
    <x v="1"/>
    <x v="0"/>
  </r>
  <r>
    <x v="0"/>
    <x v="0"/>
    <x v="10"/>
    <x v="12"/>
    <x v="12"/>
    <x v="5"/>
    <x v="11"/>
    <x v="0"/>
    <x v="1"/>
    <x v="1"/>
    <x v="0"/>
    <x v="1"/>
    <x v="0"/>
  </r>
  <r>
    <x v="0"/>
    <x v="0"/>
    <x v="11"/>
    <x v="12"/>
    <x v="12"/>
    <x v="5"/>
    <x v="11"/>
    <x v="0"/>
    <x v="1"/>
    <x v="1"/>
    <x v="0"/>
    <x v="1"/>
    <x v="0"/>
  </r>
  <r>
    <x v="0"/>
    <x v="0"/>
    <x v="12"/>
    <x v="12"/>
    <x v="12"/>
    <x v="5"/>
    <x v="11"/>
    <x v="0"/>
    <x v="1"/>
    <x v="1"/>
    <x v="0"/>
    <x v="1"/>
    <x v="0"/>
  </r>
  <r>
    <x v="2"/>
    <x v="0"/>
    <x v="0"/>
    <x v="1"/>
    <x v="5"/>
    <x v="4"/>
    <x v="7"/>
    <x v="1"/>
    <x v="0"/>
    <x v="0"/>
    <x v="1"/>
    <x v="0"/>
    <x v="1"/>
  </r>
  <r>
    <x v="2"/>
    <x v="0"/>
    <x v="1"/>
    <x v="1"/>
    <x v="5"/>
    <x v="4"/>
    <x v="7"/>
    <x v="1"/>
    <x v="0"/>
    <x v="0"/>
    <x v="1"/>
    <x v="0"/>
    <x v="1"/>
  </r>
  <r>
    <x v="2"/>
    <x v="0"/>
    <x v="2"/>
    <x v="1"/>
    <x v="5"/>
    <x v="4"/>
    <x v="7"/>
    <x v="1"/>
    <x v="0"/>
    <x v="0"/>
    <x v="1"/>
    <x v="0"/>
    <x v="1"/>
  </r>
  <r>
    <x v="2"/>
    <x v="0"/>
    <x v="3"/>
    <x v="1"/>
    <x v="5"/>
    <x v="4"/>
    <x v="7"/>
    <x v="1"/>
    <x v="0"/>
    <x v="0"/>
    <x v="1"/>
    <x v="0"/>
    <x v="1"/>
  </r>
  <r>
    <x v="2"/>
    <x v="0"/>
    <x v="4"/>
    <x v="1"/>
    <x v="5"/>
    <x v="4"/>
    <x v="7"/>
    <x v="1"/>
    <x v="0"/>
    <x v="0"/>
    <x v="1"/>
    <x v="0"/>
    <x v="1"/>
  </r>
  <r>
    <x v="2"/>
    <x v="0"/>
    <x v="5"/>
    <x v="1"/>
    <x v="5"/>
    <x v="4"/>
    <x v="7"/>
    <x v="1"/>
    <x v="0"/>
    <x v="0"/>
    <x v="1"/>
    <x v="0"/>
    <x v="1"/>
  </r>
  <r>
    <x v="2"/>
    <x v="0"/>
    <x v="6"/>
    <x v="1"/>
    <x v="5"/>
    <x v="4"/>
    <x v="7"/>
    <x v="1"/>
    <x v="0"/>
    <x v="0"/>
    <x v="1"/>
    <x v="0"/>
    <x v="1"/>
  </r>
  <r>
    <x v="2"/>
    <x v="0"/>
    <x v="6"/>
    <x v="1"/>
    <x v="5"/>
    <x v="4"/>
    <x v="7"/>
    <x v="1"/>
    <x v="0"/>
    <x v="0"/>
    <x v="1"/>
    <x v="0"/>
    <x v="1"/>
  </r>
  <r>
    <x v="2"/>
    <x v="0"/>
    <x v="6"/>
    <x v="1"/>
    <x v="5"/>
    <x v="4"/>
    <x v="7"/>
    <x v="1"/>
    <x v="0"/>
    <x v="0"/>
    <x v="1"/>
    <x v="0"/>
    <x v="1"/>
  </r>
  <r>
    <x v="2"/>
    <x v="0"/>
    <x v="6"/>
    <x v="1"/>
    <x v="5"/>
    <x v="4"/>
    <x v="7"/>
    <x v="1"/>
    <x v="0"/>
    <x v="0"/>
    <x v="1"/>
    <x v="0"/>
    <x v="1"/>
  </r>
  <r>
    <x v="2"/>
    <x v="0"/>
    <x v="6"/>
    <x v="1"/>
    <x v="5"/>
    <x v="4"/>
    <x v="7"/>
    <x v="1"/>
    <x v="0"/>
    <x v="0"/>
    <x v="1"/>
    <x v="0"/>
    <x v="1"/>
  </r>
  <r>
    <x v="3"/>
    <x v="0"/>
    <x v="0"/>
    <x v="6"/>
    <x v="9"/>
    <x v="12"/>
    <x v="1"/>
    <x v="1"/>
    <x v="0"/>
    <x v="0"/>
    <x v="1"/>
    <x v="0"/>
    <x v="1"/>
  </r>
  <r>
    <x v="3"/>
    <x v="0"/>
    <x v="0"/>
    <x v="6"/>
    <x v="9"/>
    <x v="12"/>
    <x v="1"/>
    <x v="1"/>
    <x v="0"/>
    <x v="0"/>
    <x v="1"/>
    <x v="0"/>
    <x v="1"/>
  </r>
  <r>
    <x v="3"/>
    <x v="0"/>
    <x v="0"/>
    <x v="6"/>
    <x v="9"/>
    <x v="12"/>
    <x v="1"/>
    <x v="1"/>
    <x v="0"/>
    <x v="1"/>
    <x v="0"/>
    <x v="1"/>
    <x v="0"/>
  </r>
  <r>
    <x v="3"/>
    <x v="0"/>
    <x v="0"/>
    <x v="6"/>
    <x v="9"/>
    <x v="12"/>
    <x v="1"/>
    <x v="1"/>
    <x v="0"/>
    <x v="1"/>
    <x v="0"/>
    <x v="1"/>
    <x v="0"/>
  </r>
  <r>
    <x v="3"/>
    <x v="0"/>
    <x v="0"/>
    <x v="6"/>
    <x v="9"/>
    <x v="12"/>
    <x v="1"/>
    <x v="1"/>
    <x v="0"/>
    <x v="1"/>
    <x v="0"/>
    <x v="1"/>
    <x v="0"/>
  </r>
  <r>
    <x v="3"/>
    <x v="0"/>
    <x v="0"/>
    <x v="6"/>
    <x v="9"/>
    <x v="12"/>
    <x v="1"/>
    <x v="1"/>
    <x v="0"/>
    <x v="1"/>
    <x v="0"/>
    <x v="1"/>
    <x v="0"/>
  </r>
  <r>
    <x v="3"/>
    <x v="0"/>
    <x v="0"/>
    <x v="6"/>
    <x v="9"/>
    <x v="12"/>
    <x v="1"/>
    <x v="1"/>
    <x v="0"/>
    <x v="1"/>
    <x v="0"/>
    <x v="1"/>
    <x v="0"/>
  </r>
  <r>
    <x v="3"/>
    <x v="0"/>
    <x v="0"/>
    <x v="6"/>
    <x v="9"/>
    <x v="12"/>
    <x v="1"/>
    <x v="1"/>
    <x v="0"/>
    <x v="1"/>
    <x v="0"/>
    <x v="1"/>
    <x v="0"/>
  </r>
  <r>
    <x v="3"/>
    <x v="0"/>
    <x v="0"/>
    <x v="6"/>
    <x v="9"/>
    <x v="12"/>
    <x v="1"/>
    <x v="1"/>
    <x v="0"/>
    <x v="1"/>
    <x v="0"/>
    <x v="1"/>
    <x v="0"/>
  </r>
  <r>
    <x v="3"/>
    <x v="0"/>
    <x v="0"/>
    <x v="6"/>
    <x v="9"/>
    <x v="12"/>
    <x v="1"/>
    <x v="1"/>
    <x v="0"/>
    <x v="1"/>
    <x v="0"/>
    <x v="1"/>
    <x v="0"/>
  </r>
  <r>
    <x v="4"/>
    <x v="0"/>
    <x v="0"/>
    <x v="2"/>
    <x v="3"/>
    <x v="15"/>
    <x v="7"/>
    <x v="1"/>
    <x v="0"/>
    <x v="1"/>
    <x v="0"/>
    <x v="1"/>
    <x v="0"/>
  </r>
  <r>
    <x v="4"/>
    <x v="0"/>
    <x v="1"/>
    <x v="2"/>
    <x v="3"/>
    <x v="15"/>
    <x v="7"/>
    <x v="1"/>
    <x v="0"/>
    <x v="1"/>
    <x v="0"/>
    <x v="1"/>
    <x v="0"/>
  </r>
  <r>
    <x v="4"/>
    <x v="0"/>
    <x v="2"/>
    <x v="2"/>
    <x v="3"/>
    <x v="15"/>
    <x v="7"/>
    <x v="1"/>
    <x v="0"/>
    <x v="1"/>
    <x v="0"/>
    <x v="1"/>
    <x v="0"/>
  </r>
  <r>
    <x v="4"/>
    <x v="0"/>
    <x v="3"/>
    <x v="2"/>
    <x v="3"/>
    <x v="15"/>
    <x v="7"/>
    <x v="1"/>
    <x v="0"/>
    <x v="1"/>
    <x v="0"/>
    <x v="0"/>
    <x v="1"/>
  </r>
  <r>
    <x v="4"/>
    <x v="0"/>
    <x v="4"/>
    <x v="2"/>
    <x v="3"/>
    <x v="15"/>
    <x v="7"/>
    <x v="1"/>
    <x v="0"/>
    <x v="1"/>
    <x v="0"/>
    <x v="0"/>
    <x v="1"/>
  </r>
  <r>
    <x v="4"/>
    <x v="0"/>
    <x v="5"/>
    <x v="2"/>
    <x v="3"/>
    <x v="15"/>
    <x v="7"/>
    <x v="1"/>
    <x v="0"/>
    <x v="1"/>
    <x v="0"/>
    <x v="0"/>
    <x v="1"/>
  </r>
  <r>
    <x v="4"/>
    <x v="0"/>
    <x v="6"/>
    <x v="2"/>
    <x v="3"/>
    <x v="15"/>
    <x v="7"/>
    <x v="1"/>
    <x v="0"/>
    <x v="1"/>
    <x v="0"/>
    <x v="0"/>
    <x v="1"/>
  </r>
  <r>
    <x v="4"/>
    <x v="0"/>
    <x v="7"/>
    <x v="2"/>
    <x v="3"/>
    <x v="15"/>
    <x v="7"/>
    <x v="1"/>
    <x v="0"/>
    <x v="1"/>
    <x v="0"/>
    <x v="0"/>
    <x v="1"/>
  </r>
  <r>
    <x v="4"/>
    <x v="0"/>
    <x v="8"/>
    <x v="2"/>
    <x v="3"/>
    <x v="15"/>
    <x v="7"/>
    <x v="1"/>
    <x v="0"/>
    <x v="1"/>
    <x v="0"/>
    <x v="0"/>
    <x v="1"/>
  </r>
  <r>
    <x v="4"/>
    <x v="0"/>
    <x v="9"/>
    <x v="2"/>
    <x v="3"/>
    <x v="15"/>
    <x v="7"/>
    <x v="1"/>
    <x v="0"/>
    <x v="1"/>
    <x v="0"/>
    <x v="0"/>
    <x v="1"/>
  </r>
  <r>
    <x v="4"/>
    <x v="0"/>
    <x v="10"/>
    <x v="2"/>
    <x v="3"/>
    <x v="15"/>
    <x v="7"/>
    <x v="1"/>
    <x v="0"/>
    <x v="1"/>
    <x v="0"/>
    <x v="0"/>
    <x v="1"/>
  </r>
  <r>
    <x v="4"/>
    <x v="0"/>
    <x v="11"/>
    <x v="2"/>
    <x v="3"/>
    <x v="15"/>
    <x v="7"/>
    <x v="1"/>
    <x v="0"/>
    <x v="1"/>
    <x v="0"/>
    <x v="0"/>
    <x v="1"/>
  </r>
  <r>
    <x v="4"/>
    <x v="0"/>
    <x v="12"/>
    <x v="2"/>
    <x v="3"/>
    <x v="15"/>
    <x v="7"/>
    <x v="1"/>
    <x v="0"/>
    <x v="1"/>
    <x v="0"/>
    <x v="0"/>
    <x v="1"/>
  </r>
  <r>
    <x v="6"/>
    <x v="0"/>
    <x v="0"/>
    <x v="8"/>
    <x v="7"/>
    <x v="13"/>
    <x v="5"/>
    <x v="1"/>
    <x v="0"/>
    <x v="1"/>
    <x v="0"/>
    <x v="0"/>
    <x v="1"/>
  </r>
  <r>
    <x v="6"/>
    <x v="0"/>
    <x v="1"/>
    <x v="8"/>
    <x v="7"/>
    <x v="13"/>
    <x v="5"/>
    <x v="1"/>
    <x v="0"/>
    <x v="1"/>
    <x v="0"/>
    <x v="0"/>
    <x v="1"/>
  </r>
  <r>
    <x v="6"/>
    <x v="0"/>
    <x v="2"/>
    <x v="8"/>
    <x v="7"/>
    <x v="13"/>
    <x v="5"/>
    <x v="1"/>
    <x v="0"/>
    <x v="1"/>
    <x v="0"/>
    <x v="0"/>
    <x v="1"/>
  </r>
  <r>
    <x v="6"/>
    <x v="0"/>
    <x v="3"/>
    <x v="8"/>
    <x v="7"/>
    <x v="13"/>
    <x v="5"/>
    <x v="1"/>
    <x v="0"/>
    <x v="1"/>
    <x v="0"/>
    <x v="0"/>
    <x v="1"/>
  </r>
  <r>
    <x v="6"/>
    <x v="0"/>
    <x v="4"/>
    <x v="8"/>
    <x v="7"/>
    <x v="13"/>
    <x v="5"/>
    <x v="1"/>
    <x v="0"/>
    <x v="1"/>
    <x v="0"/>
    <x v="0"/>
    <x v="1"/>
  </r>
  <r>
    <x v="6"/>
    <x v="0"/>
    <x v="5"/>
    <x v="8"/>
    <x v="7"/>
    <x v="13"/>
    <x v="5"/>
    <x v="1"/>
    <x v="0"/>
    <x v="1"/>
    <x v="0"/>
    <x v="0"/>
    <x v="1"/>
  </r>
  <r>
    <x v="6"/>
    <x v="0"/>
    <x v="6"/>
    <x v="8"/>
    <x v="7"/>
    <x v="13"/>
    <x v="5"/>
    <x v="1"/>
    <x v="0"/>
    <x v="1"/>
    <x v="0"/>
    <x v="0"/>
    <x v="1"/>
  </r>
  <r>
    <x v="6"/>
    <x v="0"/>
    <x v="7"/>
    <x v="8"/>
    <x v="7"/>
    <x v="13"/>
    <x v="5"/>
    <x v="1"/>
    <x v="0"/>
    <x v="1"/>
    <x v="0"/>
    <x v="0"/>
    <x v="1"/>
  </r>
  <r>
    <x v="6"/>
    <x v="0"/>
    <x v="8"/>
    <x v="8"/>
    <x v="7"/>
    <x v="13"/>
    <x v="5"/>
    <x v="1"/>
    <x v="0"/>
    <x v="1"/>
    <x v="0"/>
    <x v="0"/>
    <x v="1"/>
  </r>
  <r>
    <x v="6"/>
    <x v="0"/>
    <x v="9"/>
    <x v="8"/>
    <x v="7"/>
    <x v="13"/>
    <x v="5"/>
    <x v="1"/>
    <x v="0"/>
    <x v="1"/>
    <x v="0"/>
    <x v="0"/>
    <x v="1"/>
  </r>
  <r>
    <x v="1"/>
    <x v="0"/>
    <x v="0"/>
    <x v="0"/>
    <x v="11"/>
    <x v="7"/>
    <x v="6"/>
    <x v="1"/>
    <x v="0"/>
    <x v="1"/>
    <x v="0"/>
    <x v="0"/>
    <x v="1"/>
  </r>
  <r>
    <x v="1"/>
    <x v="0"/>
    <x v="1"/>
    <x v="0"/>
    <x v="11"/>
    <x v="7"/>
    <x v="6"/>
    <x v="1"/>
    <x v="0"/>
    <x v="1"/>
    <x v="0"/>
    <x v="0"/>
    <x v="1"/>
  </r>
  <r>
    <x v="1"/>
    <x v="0"/>
    <x v="2"/>
    <x v="0"/>
    <x v="11"/>
    <x v="7"/>
    <x v="6"/>
    <x v="1"/>
    <x v="0"/>
    <x v="1"/>
    <x v="0"/>
    <x v="0"/>
    <x v="1"/>
  </r>
  <r>
    <x v="1"/>
    <x v="0"/>
    <x v="3"/>
    <x v="0"/>
    <x v="11"/>
    <x v="7"/>
    <x v="6"/>
    <x v="1"/>
    <x v="0"/>
    <x v="0"/>
    <x v="1"/>
    <x v="0"/>
    <x v="1"/>
  </r>
  <r>
    <x v="1"/>
    <x v="0"/>
    <x v="4"/>
    <x v="0"/>
    <x v="11"/>
    <x v="7"/>
    <x v="6"/>
    <x v="1"/>
    <x v="0"/>
    <x v="0"/>
    <x v="1"/>
    <x v="0"/>
    <x v="1"/>
  </r>
  <r>
    <x v="1"/>
    <x v="0"/>
    <x v="5"/>
    <x v="0"/>
    <x v="11"/>
    <x v="7"/>
    <x v="6"/>
    <x v="1"/>
    <x v="0"/>
    <x v="0"/>
    <x v="1"/>
    <x v="0"/>
    <x v="1"/>
  </r>
  <r>
    <x v="1"/>
    <x v="0"/>
    <x v="6"/>
    <x v="0"/>
    <x v="11"/>
    <x v="7"/>
    <x v="6"/>
    <x v="1"/>
    <x v="0"/>
    <x v="0"/>
    <x v="1"/>
    <x v="0"/>
    <x v="1"/>
  </r>
  <r>
    <x v="1"/>
    <x v="0"/>
    <x v="7"/>
    <x v="0"/>
    <x v="11"/>
    <x v="7"/>
    <x v="6"/>
    <x v="1"/>
    <x v="0"/>
    <x v="0"/>
    <x v="1"/>
    <x v="0"/>
    <x v="1"/>
  </r>
  <r>
    <x v="1"/>
    <x v="0"/>
    <x v="8"/>
    <x v="0"/>
    <x v="11"/>
    <x v="7"/>
    <x v="6"/>
    <x v="1"/>
    <x v="0"/>
    <x v="0"/>
    <x v="1"/>
    <x v="0"/>
    <x v="1"/>
  </r>
  <r>
    <x v="1"/>
    <x v="0"/>
    <x v="9"/>
    <x v="0"/>
    <x v="11"/>
    <x v="7"/>
    <x v="6"/>
    <x v="1"/>
    <x v="0"/>
    <x v="0"/>
    <x v="1"/>
    <x v="0"/>
    <x v="1"/>
  </r>
  <r>
    <x v="1"/>
    <x v="0"/>
    <x v="10"/>
    <x v="0"/>
    <x v="11"/>
    <x v="7"/>
    <x v="6"/>
    <x v="1"/>
    <x v="0"/>
    <x v="0"/>
    <x v="1"/>
    <x v="0"/>
    <x v="1"/>
  </r>
  <r>
    <x v="1"/>
    <x v="0"/>
    <x v="11"/>
    <x v="0"/>
    <x v="11"/>
    <x v="7"/>
    <x v="6"/>
    <x v="1"/>
    <x v="0"/>
    <x v="0"/>
    <x v="1"/>
    <x v="0"/>
    <x v="1"/>
  </r>
  <r>
    <x v="1"/>
    <x v="0"/>
    <x v="12"/>
    <x v="0"/>
    <x v="11"/>
    <x v="7"/>
    <x v="6"/>
    <x v="1"/>
    <x v="0"/>
    <x v="0"/>
    <x v="1"/>
    <x v="0"/>
    <x v="1"/>
  </r>
  <r>
    <x v="5"/>
    <x v="0"/>
    <x v="0"/>
    <x v="10"/>
    <x v="2"/>
    <x v="9"/>
    <x v="1"/>
    <x v="1"/>
    <x v="0"/>
    <x v="0"/>
    <x v="1"/>
    <x v="1"/>
    <x v="0"/>
  </r>
  <r>
    <x v="5"/>
    <x v="0"/>
    <x v="1"/>
    <x v="10"/>
    <x v="2"/>
    <x v="9"/>
    <x v="1"/>
    <x v="1"/>
    <x v="0"/>
    <x v="0"/>
    <x v="1"/>
    <x v="1"/>
    <x v="0"/>
  </r>
  <r>
    <x v="5"/>
    <x v="0"/>
    <x v="2"/>
    <x v="10"/>
    <x v="2"/>
    <x v="9"/>
    <x v="1"/>
    <x v="1"/>
    <x v="0"/>
    <x v="0"/>
    <x v="1"/>
    <x v="1"/>
    <x v="0"/>
  </r>
  <r>
    <x v="5"/>
    <x v="0"/>
    <x v="3"/>
    <x v="10"/>
    <x v="2"/>
    <x v="9"/>
    <x v="1"/>
    <x v="1"/>
    <x v="0"/>
    <x v="0"/>
    <x v="1"/>
    <x v="1"/>
    <x v="0"/>
  </r>
  <r>
    <x v="5"/>
    <x v="0"/>
    <x v="4"/>
    <x v="10"/>
    <x v="2"/>
    <x v="9"/>
    <x v="1"/>
    <x v="1"/>
    <x v="0"/>
    <x v="0"/>
    <x v="1"/>
    <x v="1"/>
    <x v="0"/>
  </r>
  <r>
    <x v="5"/>
    <x v="0"/>
    <x v="5"/>
    <x v="10"/>
    <x v="2"/>
    <x v="9"/>
    <x v="1"/>
    <x v="1"/>
    <x v="0"/>
    <x v="0"/>
    <x v="1"/>
    <x v="1"/>
    <x v="0"/>
  </r>
  <r>
    <x v="5"/>
    <x v="0"/>
    <x v="6"/>
    <x v="10"/>
    <x v="2"/>
    <x v="9"/>
    <x v="1"/>
    <x v="1"/>
    <x v="0"/>
    <x v="0"/>
    <x v="1"/>
    <x v="1"/>
    <x v="0"/>
  </r>
  <r>
    <x v="5"/>
    <x v="0"/>
    <x v="6"/>
    <x v="10"/>
    <x v="2"/>
    <x v="9"/>
    <x v="1"/>
    <x v="1"/>
    <x v="0"/>
    <x v="0"/>
    <x v="1"/>
    <x v="1"/>
    <x v="0"/>
  </r>
  <r>
    <x v="5"/>
    <x v="0"/>
    <x v="6"/>
    <x v="10"/>
    <x v="2"/>
    <x v="9"/>
    <x v="1"/>
    <x v="1"/>
    <x v="0"/>
    <x v="0"/>
    <x v="1"/>
    <x v="1"/>
    <x v="0"/>
  </r>
  <r>
    <x v="5"/>
    <x v="0"/>
    <x v="6"/>
    <x v="10"/>
    <x v="2"/>
    <x v="9"/>
    <x v="1"/>
    <x v="1"/>
    <x v="0"/>
    <x v="0"/>
    <x v="1"/>
    <x v="1"/>
    <x v="0"/>
  </r>
  <r>
    <x v="7"/>
    <x v="0"/>
    <x v="0"/>
    <x v="10"/>
    <x v="4"/>
    <x v="5"/>
    <x v="4"/>
    <x v="1"/>
    <x v="0"/>
    <x v="1"/>
    <x v="0"/>
    <x v="1"/>
    <x v="0"/>
  </r>
  <r>
    <x v="7"/>
    <x v="0"/>
    <x v="1"/>
    <x v="10"/>
    <x v="4"/>
    <x v="5"/>
    <x v="4"/>
    <x v="1"/>
    <x v="0"/>
    <x v="1"/>
    <x v="0"/>
    <x v="1"/>
    <x v="0"/>
  </r>
  <r>
    <x v="7"/>
    <x v="0"/>
    <x v="2"/>
    <x v="10"/>
    <x v="4"/>
    <x v="5"/>
    <x v="4"/>
    <x v="1"/>
    <x v="0"/>
    <x v="1"/>
    <x v="0"/>
    <x v="1"/>
    <x v="0"/>
  </r>
  <r>
    <x v="7"/>
    <x v="0"/>
    <x v="3"/>
    <x v="10"/>
    <x v="4"/>
    <x v="5"/>
    <x v="4"/>
    <x v="1"/>
    <x v="0"/>
    <x v="1"/>
    <x v="0"/>
    <x v="1"/>
    <x v="0"/>
  </r>
  <r>
    <x v="7"/>
    <x v="0"/>
    <x v="4"/>
    <x v="10"/>
    <x v="4"/>
    <x v="5"/>
    <x v="4"/>
    <x v="1"/>
    <x v="0"/>
    <x v="1"/>
    <x v="0"/>
    <x v="1"/>
    <x v="0"/>
  </r>
  <r>
    <x v="7"/>
    <x v="0"/>
    <x v="5"/>
    <x v="10"/>
    <x v="4"/>
    <x v="5"/>
    <x v="4"/>
    <x v="1"/>
    <x v="0"/>
    <x v="1"/>
    <x v="0"/>
    <x v="1"/>
    <x v="0"/>
  </r>
  <r>
    <x v="7"/>
    <x v="0"/>
    <x v="6"/>
    <x v="10"/>
    <x v="4"/>
    <x v="5"/>
    <x v="4"/>
    <x v="1"/>
    <x v="0"/>
    <x v="1"/>
    <x v="0"/>
    <x v="1"/>
    <x v="0"/>
  </r>
  <r>
    <x v="7"/>
    <x v="0"/>
    <x v="7"/>
    <x v="10"/>
    <x v="4"/>
    <x v="5"/>
    <x v="4"/>
    <x v="1"/>
    <x v="0"/>
    <x v="1"/>
    <x v="0"/>
    <x v="1"/>
    <x v="0"/>
  </r>
  <r>
    <x v="7"/>
    <x v="0"/>
    <x v="8"/>
    <x v="10"/>
    <x v="4"/>
    <x v="5"/>
    <x v="4"/>
    <x v="1"/>
    <x v="0"/>
    <x v="1"/>
    <x v="0"/>
    <x v="1"/>
    <x v="0"/>
  </r>
  <r>
    <x v="7"/>
    <x v="0"/>
    <x v="9"/>
    <x v="10"/>
    <x v="4"/>
    <x v="5"/>
    <x v="4"/>
    <x v="1"/>
    <x v="0"/>
    <x v="1"/>
    <x v="0"/>
    <x v="1"/>
    <x v="0"/>
  </r>
  <r>
    <x v="7"/>
    <x v="0"/>
    <x v="10"/>
    <x v="10"/>
    <x v="4"/>
    <x v="5"/>
    <x v="4"/>
    <x v="1"/>
    <x v="0"/>
    <x v="1"/>
    <x v="0"/>
    <x v="1"/>
    <x v="0"/>
  </r>
  <r>
    <x v="7"/>
    <x v="0"/>
    <x v="11"/>
    <x v="10"/>
    <x v="4"/>
    <x v="5"/>
    <x v="4"/>
    <x v="1"/>
    <x v="0"/>
    <x v="1"/>
    <x v="0"/>
    <x v="1"/>
    <x v="0"/>
  </r>
  <r>
    <x v="8"/>
    <x v="0"/>
    <x v="0"/>
    <x v="6"/>
    <x v="12"/>
    <x v="6"/>
    <x v="10"/>
    <x v="1"/>
    <x v="0"/>
    <x v="1"/>
    <x v="0"/>
    <x v="0"/>
    <x v="1"/>
  </r>
  <r>
    <x v="8"/>
    <x v="0"/>
    <x v="1"/>
    <x v="6"/>
    <x v="12"/>
    <x v="6"/>
    <x v="10"/>
    <x v="1"/>
    <x v="0"/>
    <x v="1"/>
    <x v="0"/>
    <x v="0"/>
    <x v="1"/>
  </r>
  <r>
    <x v="8"/>
    <x v="0"/>
    <x v="2"/>
    <x v="6"/>
    <x v="12"/>
    <x v="6"/>
    <x v="10"/>
    <x v="1"/>
    <x v="0"/>
    <x v="1"/>
    <x v="0"/>
    <x v="0"/>
    <x v="1"/>
  </r>
  <r>
    <x v="8"/>
    <x v="0"/>
    <x v="3"/>
    <x v="6"/>
    <x v="12"/>
    <x v="6"/>
    <x v="10"/>
    <x v="1"/>
    <x v="0"/>
    <x v="1"/>
    <x v="0"/>
    <x v="0"/>
    <x v="1"/>
  </r>
  <r>
    <x v="8"/>
    <x v="0"/>
    <x v="4"/>
    <x v="6"/>
    <x v="12"/>
    <x v="6"/>
    <x v="10"/>
    <x v="1"/>
    <x v="0"/>
    <x v="1"/>
    <x v="0"/>
    <x v="0"/>
    <x v="1"/>
  </r>
  <r>
    <x v="8"/>
    <x v="0"/>
    <x v="5"/>
    <x v="6"/>
    <x v="12"/>
    <x v="6"/>
    <x v="10"/>
    <x v="1"/>
    <x v="0"/>
    <x v="1"/>
    <x v="0"/>
    <x v="0"/>
    <x v="1"/>
  </r>
  <r>
    <x v="8"/>
    <x v="0"/>
    <x v="6"/>
    <x v="6"/>
    <x v="12"/>
    <x v="6"/>
    <x v="10"/>
    <x v="1"/>
    <x v="0"/>
    <x v="1"/>
    <x v="0"/>
    <x v="0"/>
    <x v="1"/>
  </r>
  <r>
    <x v="8"/>
    <x v="0"/>
    <x v="7"/>
    <x v="6"/>
    <x v="12"/>
    <x v="6"/>
    <x v="10"/>
    <x v="1"/>
    <x v="0"/>
    <x v="1"/>
    <x v="0"/>
    <x v="0"/>
    <x v="1"/>
  </r>
  <r>
    <x v="8"/>
    <x v="0"/>
    <x v="8"/>
    <x v="6"/>
    <x v="12"/>
    <x v="6"/>
    <x v="10"/>
    <x v="1"/>
    <x v="0"/>
    <x v="1"/>
    <x v="0"/>
    <x v="0"/>
    <x v="1"/>
  </r>
  <r>
    <x v="8"/>
    <x v="0"/>
    <x v="9"/>
    <x v="6"/>
    <x v="12"/>
    <x v="6"/>
    <x v="10"/>
    <x v="1"/>
    <x v="0"/>
    <x v="1"/>
    <x v="0"/>
    <x v="0"/>
    <x v="1"/>
  </r>
  <r>
    <x v="9"/>
    <x v="0"/>
    <x v="0"/>
    <x v="1"/>
    <x v="11"/>
    <x v="11"/>
    <x v="9"/>
    <x v="1"/>
    <x v="0"/>
    <x v="1"/>
    <x v="0"/>
    <x v="1"/>
    <x v="0"/>
  </r>
  <r>
    <x v="9"/>
    <x v="0"/>
    <x v="1"/>
    <x v="1"/>
    <x v="11"/>
    <x v="11"/>
    <x v="9"/>
    <x v="1"/>
    <x v="0"/>
    <x v="1"/>
    <x v="0"/>
    <x v="1"/>
    <x v="0"/>
  </r>
  <r>
    <x v="9"/>
    <x v="0"/>
    <x v="2"/>
    <x v="1"/>
    <x v="11"/>
    <x v="11"/>
    <x v="9"/>
    <x v="1"/>
    <x v="0"/>
    <x v="1"/>
    <x v="0"/>
    <x v="1"/>
    <x v="0"/>
  </r>
  <r>
    <x v="9"/>
    <x v="0"/>
    <x v="3"/>
    <x v="1"/>
    <x v="11"/>
    <x v="11"/>
    <x v="9"/>
    <x v="1"/>
    <x v="0"/>
    <x v="1"/>
    <x v="0"/>
    <x v="1"/>
    <x v="0"/>
  </r>
  <r>
    <x v="9"/>
    <x v="0"/>
    <x v="4"/>
    <x v="1"/>
    <x v="11"/>
    <x v="11"/>
    <x v="9"/>
    <x v="1"/>
    <x v="0"/>
    <x v="1"/>
    <x v="0"/>
    <x v="1"/>
    <x v="0"/>
  </r>
  <r>
    <x v="9"/>
    <x v="0"/>
    <x v="5"/>
    <x v="1"/>
    <x v="11"/>
    <x v="11"/>
    <x v="9"/>
    <x v="1"/>
    <x v="0"/>
    <x v="1"/>
    <x v="0"/>
    <x v="1"/>
    <x v="0"/>
  </r>
  <r>
    <x v="9"/>
    <x v="0"/>
    <x v="6"/>
    <x v="1"/>
    <x v="11"/>
    <x v="11"/>
    <x v="9"/>
    <x v="1"/>
    <x v="0"/>
    <x v="1"/>
    <x v="0"/>
    <x v="1"/>
    <x v="0"/>
  </r>
  <r>
    <x v="11"/>
    <x v="0"/>
    <x v="0"/>
    <x v="11"/>
    <x v="6"/>
    <x v="5"/>
    <x v="0"/>
    <x v="1"/>
    <x v="0"/>
    <x v="1"/>
    <x v="0"/>
    <x v="0"/>
    <x v="1"/>
  </r>
  <r>
    <x v="11"/>
    <x v="0"/>
    <x v="1"/>
    <x v="11"/>
    <x v="6"/>
    <x v="5"/>
    <x v="0"/>
    <x v="1"/>
    <x v="0"/>
    <x v="1"/>
    <x v="0"/>
    <x v="0"/>
    <x v="1"/>
  </r>
  <r>
    <x v="11"/>
    <x v="0"/>
    <x v="2"/>
    <x v="11"/>
    <x v="6"/>
    <x v="5"/>
    <x v="0"/>
    <x v="1"/>
    <x v="0"/>
    <x v="1"/>
    <x v="0"/>
    <x v="0"/>
    <x v="1"/>
  </r>
  <r>
    <x v="11"/>
    <x v="0"/>
    <x v="3"/>
    <x v="11"/>
    <x v="6"/>
    <x v="5"/>
    <x v="0"/>
    <x v="1"/>
    <x v="0"/>
    <x v="1"/>
    <x v="0"/>
    <x v="0"/>
    <x v="1"/>
  </r>
  <r>
    <x v="11"/>
    <x v="0"/>
    <x v="4"/>
    <x v="11"/>
    <x v="6"/>
    <x v="5"/>
    <x v="0"/>
    <x v="1"/>
    <x v="0"/>
    <x v="1"/>
    <x v="0"/>
    <x v="0"/>
    <x v="1"/>
  </r>
  <r>
    <x v="11"/>
    <x v="0"/>
    <x v="5"/>
    <x v="11"/>
    <x v="6"/>
    <x v="5"/>
    <x v="0"/>
    <x v="1"/>
    <x v="0"/>
    <x v="1"/>
    <x v="0"/>
    <x v="0"/>
    <x v="1"/>
  </r>
  <r>
    <x v="11"/>
    <x v="0"/>
    <x v="6"/>
    <x v="11"/>
    <x v="6"/>
    <x v="5"/>
    <x v="0"/>
    <x v="1"/>
    <x v="0"/>
    <x v="1"/>
    <x v="0"/>
    <x v="0"/>
    <x v="1"/>
  </r>
  <r>
    <x v="11"/>
    <x v="0"/>
    <x v="7"/>
    <x v="11"/>
    <x v="6"/>
    <x v="5"/>
    <x v="0"/>
    <x v="1"/>
    <x v="0"/>
    <x v="1"/>
    <x v="0"/>
    <x v="0"/>
    <x v="1"/>
  </r>
  <r>
    <x v="11"/>
    <x v="0"/>
    <x v="8"/>
    <x v="11"/>
    <x v="6"/>
    <x v="5"/>
    <x v="0"/>
    <x v="1"/>
    <x v="0"/>
    <x v="1"/>
    <x v="0"/>
    <x v="0"/>
    <x v="1"/>
  </r>
  <r>
    <x v="11"/>
    <x v="0"/>
    <x v="9"/>
    <x v="11"/>
    <x v="6"/>
    <x v="5"/>
    <x v="0"/>
    <x v="1"/>
    <x v="0"/>
    <x v="1"/>
    <x v="0"/>
    <x v="0"/>
    <x v="1"/>
  </r>
  <r>
    <x v="12"/>
    <x v="0"/>
    <x v="0"/>
    <x v="5"/>
    <x v="12"/>
    <x v="3"/>
    <x v="10"/>
    <x v="1"/>
    <x v="0"/>
    <x v="0"/>
    <x v="1"/>
    <x v="1"/>
    <x v="0"/>
  </r>
  <r>
    <x v="12"/>
    <x v="0"/>
    <x v="1"/>
    <x v="5"/>
    <x v="12"/>
    <x v="3"/>
    <x v="10"/>
    <x v="1"/>
    <x v="0"/>
    <x v="0"/>
    <x v="1"/>
    <x v="1"/>
    <x v="0"/>
  </r>
  <r>
    <x v="12"/>
    <x v="0"/>
    <x v="2"/>
    <x v="5"/>
    <x v="12"/>
    <x v="3"/>
    <x v="10"/>
    <x v="1"/>
    <x v="0"/>
    <x v="0"/>
    <x v="1"/>
    <x v="1"/>
    <x v="0"/>
  </r>
  <r>
    <x v="12"/>
    <x v="0"/>
    <x v="3"/>
    <x v="5"/>
    <x v="12"/>
    <x v="3"/>
    <x v="10"/>
    <x v="1"/>
    <x v="0"/>
    <x v="0"/>
    <x v="1"/>
    <x v="1"/>
    <x v="0"/>
  </r>
  <r>
    <x v="12"/>
    <x v="0"/>
    <x v="4"/>
    <x v="5"/>
    <x v="12"/>
    <x v="3"/>
    <x v="10"/>
    <x v="1"/>
    <x v="0"/>
    <x v="0"/>
    <x v="1"/>
    <x v="1"/>
    <x v="0"/>
  </r>
  <r>
    <x v="12"/>
    <x v="0"/>
    <x v="5"/>
    <x v="5"/>
    <x v="12"/>
    <x v="3"/>
    <x v="10"/>
    <x v="1"/>
    <x v="0"/>
    <x v="0"/>
    <x v="1"/>
    <x v="1"/>
    <x v="0"/>
  </r>
  <r>
    <x v="12"/>
    <x v="0"/>
    <x v="6"/>
    <x v="5"/>
    <x v="12"/>
    <x v="3"/>
    <x v="10"/>
    <x v="1"/>
    <x v="0"/>
    <x v="0"/>
    <x v="1"/>
    <x v="1"/>
    <x v="0"/>
  </r>
  <r>
    <x v="12"/>
    <x v="0"/>
    <x v="7"/>
    <x v="5"/>
    <x v="12"/>
    <x v="3"/>
    <x v="10"/>
    <x v="1"/>
    <x v="0"/>
    <x v="0"/>
    <x v="1"/>
    <x v="1"/>
    <x v="0"/>
  </r>
  <r>
    <x v="12"/>
    <x v="0"/>
    <x v="8"/>
    <x v="5"/>
    <x v="12"/>
    <x v="3"/>
    <x v="10"/>
    <x v="1"/>
    <x v="0"/>
    <x v="0"/>
    <x v="1"/>
    <x v="1"/>
    <x v="0"/>
  </r>
  <r>
    <x v="12"/>
    <x v="0"/>
    <x v="9"/>
    <x v="5"/>
    <x v="12"/>
    <x v="3"/>
    <x v="10"/>
    <x v="1"/>
    <x v="0"/>
    <x v="0"/>
    <x v="1"/>
    <x v="1"/>
    <x v="0"/>
  </r>
  <r>
    <x v="12"/>
    <x v="0"/>
    <x v="10"/>
    <x v="5"/>
    <x v="12"/>
    <x v="3"/>
    <x v="10"/>
    <x v="1"/>
    <x v="0"/>
    <x v="0"/>
    <x v="1"/>
    <x v="1"/>
    <x v="0"/>
  </r>
  <r>
    <x v="12"/>
    <x v="0"/>
    <x v="11"/>
    <x v="5"/>
    <x v="12"/>
    <x v="3"/>
    <x v="10"/>
    <x v="1"/>
    <x v="0"/>
    <x v="0"/>
    <x v="1"/>
    <x v="1"/>
    <x v="0"/>
  </r>
  <r>
    <x v="10"/>
    <x v="0"/>
    <x v="0"/>
    <x v="4"/>
    <x v="10"/>
    <x v="10"/>
    <x v="1"/>
    <x v="1"/>
    <x v="0"/>
    <x v="1"/>
    <x v="0"/>
    <x v="0"/>
    <x v="1"/>
  </r>
  <r>
    <x v="10"/>
    <x v="0"/>
    <x v="1"/>
    <x v="4"/>
    <x v="10"/>
    <x v="10"/>
    <x v="1"/>
    <x v="1"/>
    <x v="0"/>
    <x v="1"/>
    <x v="0"/>
    <x v="0"/>
    <x v="1"/>
  </r>
  <r>
    <x v="10"/>
    <x v="0"/>
    <x v="2"/>
    <x v="4"/>
    <x v="10"/>
    <x v="10"/>
    <x v="1"/>
    <x v="1"/>
    <x v="0"/>
    <x v="1"/>
    <x v="0"/>
    <x v="0"/>
    <x v="1"/>
  </r>
  <r>
    <x v="10"/>
    <x v="0"/>
    <x v="3"/>
    <x v="4"/>
    <x v="10"/>
    <x v="10"/>
    <x v="1"/>
    <x v="1"/>
    <x v="0"/>
    <x v="1"/>
    <x v="0"/>
    <x v="0"/>
    <x v="1"/>
  </r>
  <r>
    <x v="10"/>
    <x v="0"/>
    <x v="4"/>
    <x v="4"/>
    <x v="10"/>
    <x v="10"/>
    <x v="1"/>
    <x v="1"/>
    <x v="0"/>
    <x v="1"/>
    <x v="0"/>
    <x v="0"/>
    <x v="1"/>
  </r>
  <r>
    <x v="10"/>
    <x v="0"/>
    <x v="5"/>
    <x v="4"/>
    <x v="10"/>
    <x v="10"/>
    <x v="1"/>
    <x v="1"/>
    <x v="0"/>
    <x v="1"/>
    <x v="0"/>
    <x v="0"/>
    <x v="1"/>
  </r>
  <r>
    <x v="10"/>
    <x v="0"/>
    <x v="6"/>
    <x v="4"/>
    <x v="10"/>
    <x v="10"/>
    <x v="1"/>
    <x v="1"/>
    <x v="0"/>
    <x v="1"/>
    <x v="0"/>
    <x v="0"/>
    <x v="1"/>
  </r>
  <r>
    <x v="10"/>
    <x v="0"/>
    <x v="7"/>
    <x v="4"/>
    <x v="10"/>
    <x v="10"/>
    <x v="1"/>
    <x v="1"/>
    <x v="0"/>
    <x v="1"/>
    <x v="0"/>
    <x v="0"/>
    <x v="1"/>
  </r>
  <r>
    <x v="10"/>
    <x v="0"/>
    <x v="8"/>
    <x v="4"/>
    <x v="10"/>
    <x v="10"/>
    <x v="1"/>
    <x v="1"/>
    <x v="0"/>
    <x v="1"/>
    <x v="0"/>
    <x v="0"/>
    <x v="1"/>
  </r>
  <r>
    <x v="10"/>
    <x v="0"/>
    <x v="9"/>
    <x v="4"/>
    <x v="10"/>
    <x v="10"/>
    <x v="1"/>
    <x v="1"/>
    <x v="0"/>
    <x v="1"/>
    <x v="0"/>
    <x v="0"/>
    <x v="1"/>
  </r>
  <r>
    <x v="13"/>
    <x v="0"/>
    <x v="0"/>
    <x v="7"/>
    <x v="10"/>
    <x v="6"/>
    <x v="3"/>
    <x v="1"/>
    <x v="0"/>
    <x v="1"/>
    <x v="0"/>
    <x v="1"/>
    <x v="0"/>
  </r>
  <r>
    <x v="13"/>
    <x v="0"/>
    <x v="1"/>
    <x v="7"/>
    <x v="10"/>
    <x v="6"/>
    <x v="3"/>
    <x v="1"/>
    <x v="0"/>
    <x v="1"/>
    <x v="0"/>
    <x v="1"/>
    <x v="0"/>
  </r>
  <r>
    <x v="13"/>
    <x v="0"/>
    <x v="2"/>
    <x v="7"/>
    <x v="10"/>
    <x v="6"/>
    <x v="3"/>
    <x v="1"/>
    <x v="0"/>
    <x v="1"/>
    <x v="0"/>
    <x v="1"/>
    <x v="0"/>
  </r>
  <r>
    <x v="13"/>
    <x v="0"/>
    <x v="3"/>
    <x v="7"/>
    <x v="10"/>
    <x v="6"/>
    <x v="3"/>
    <x v="1"/>
    <x v="0"/>
    <x v="1"/>
    <x v="0"/>
    <x v="1"/>
    <x v="0"/>
  </r>
  <r>
    <x v="13"/>
    <x v="0"/>
    <x v="4"/>
    <x v="7"/>
    <x v="10"/>
    <x v="6"/>
    <x v="3"/>
    <x v="1"/>
    <x v="0"/>
    <x v="1"/>
    <x v="0"/>
    <x v="1"/>
    <x v="0"/>
  </r>
  <r>
    <x v="13"/>
    <x v="0"/>
    <x v="5"/>
    <x v="7"/>
    <x v="10"/>
    <x v="6"/>
    <x v="3"/>
    <x v="1"/>
    <x v="0"/>
    <x v="1"/>
    <x v="0"/>
    <x v="1"/>
    <x v="0"/>
  </r>
  <r>
    <x v="13"/>
    <x v="0"/>
    <x v="6"/>
    <x v="7"/>
    <x v="10"/>
    <x v="6"/>
    <x v="3"/>
    <x v="1"/>
    <x v="0"/>
    <x v="1"/>
    <x v="0"/>
    <x v="1"/>
    <x v="0"/>
  </r>
  <r>
    <x v="13"/>
    <x v="0"/>
    <x v="7"/>
    <x v="7"/>
    <x v="10"/>
    <x v="6"/>
    <x v="3"/>
    <x v="1"/>
    <x v="0"/>
    <x v="1"/>
    <x v="0"/>
    <x v="1"/>
    <x v="0"/>
  </r>
  <r>
    <x v="14"/>
    <x v="0"/>
    <x v="0"/>
    <x v="7"/>
    <x v="5"/>
    <x v="2"/>
    <x v="8"/>
    <x v="1"/>
    <x v="0"/>
    <x v="1"/>
    <x v="0"/>
    <x v="1"/>
    <x v="0"/>
  </r>
  <r>
    <x v="14"/>
    <x v="0"/>
    <x v="1"/>
    <x v="7"/>
    <x v="5"/>
    <x v="2"/>
    <x v="8"/>
    <x v="1"/>
    <x v="0"/>
    <x v="1"/>
    <x v="0"/>
    <x v="1"/>
    <x v="0"/>
  </r>
  <r>
    <x v="14"/>
    <x v="0"/>
    <x v="2"/>
    <x v="7"/>
    <x v="5"/>
    <x v="2"/>
    <x v="8"/>
    <x v="1"/>
    <x v="0"/>
    <x v="1"/>
    <x v="0"/>
    <x v="1"/>
    <x v="0"/>
  </r>
  <r>
    <x v="14"/>
    <x v="0"/>
    <x v="3"/>
    <x v="7"/>
    <x v="5"/>
    <x v="2"/>
    <x v="8"/>
    <x v="1"/>
    <x v="0"/>
    <x v="1"/>
    <x v="0"/>
    <x v="1"/>
    <x v="0"/>
  </r>
  <r>
    <x v="14"/>
    <x v="0"/>
    <x v="4"/>
    <x v="7"/>
    <x v="5"/>
    <x v="2"/>
    <x v="8"/>
    <x v="1"/>
    <x v="0"/>
    <x v="1"/>
    <x v="0"/>
    <x v="1"/>
    <x v="0"/>
  </r>
  <r>
    <x v="14"/>
    <x v="0"/>
    <x v="5"/>
    <x v="7"/>
    <x v="5"/>
    <x v="2"/>
    <x v="8"/>
    <x v="1"/>
    <x v="0"/>
    <x v="1"/>
    <x v="0"/>
    <x v="1"/>
    <x v="0"/>
  </r>
  <r>
    <x v="14"/>
    <x v="0"/>
    <x v="6"/>
    <x v="7"/>
    <x v="5"/>
    <x v="2"/>
    <x v="8"/>
    <x v="1"/>
    <x v="0"/>
    <x v="1"/>
    <x v="0"/>
    <x v="1"/>
    <x v="0"/>
  </r>
  <r>
    <x v="14"/>
    <x v="0"/>
    <x v="7"/>
    <x v="7"/>
    <x v="5"/>
    <x v="2"/>
    <x v="8"/>
    <x v="1"/>
    <x v="0"/>
    <x v="1"/>
    <x v="0"/>
    <x v="1"/>
    <x v="0"/>
  </r>
  <r>
    <x v="14"/>
    <x v="0"/>
    <x v="8"/>
    <x v="7"/>
    <x v="5"/>
    <x v="2"/>
    <x v="8"/>
    <x v="1"/>
    <x v="0"/>
    <x v="1"/>
    <x v="0"/>
    <x v="1"/>
    <x v="0"/>
  </r>
  <r>
    <x v="14"/>
    <x v="0"/>
    <x v="9"/>
    <x v="7"/>
    <x v="5"/>
    <x v="2"/>
    <x v="8"/>
    <x v="1"/>
    <x v="0"/>
    <x v="1"/>
    <x v="0"/>
    <x v="1"/>
    <x v="0"/>
  </r>
  <r>
    <x v="14"/>
    <x v="0"/>
    <x v="10"/>
    <x v="7"/>
    <x v="5"/>
    <x v="2"/>
    <x v="8"/>
    <x v="1"/>
    <x v="0"/>
    <x v="1"/>
    <x v="0"/>
    <x v="1"/>
    <x v="0"/>
  </r>
  <r>
    <x v="14"/>
    <x v="0"/>
    <x v="11"/>
    <x v="7"/>
    <x v="5"/>
    <x v="2"/>
    <x v="8"/>
    <x v="1"/>
    <x v="0"/>
    <x v="1"/>
    <x v="0"/>
    <x v="1"/>
    <x v="0"/>
  </r>
  <r>
    <x v="14"/>
    <x v="0"/>
    <x v="12"/>
    <x v="7"/>
    <x v="5"/>
    <x v="2"/>
    <x v="8"/>
    <x v="1"/>
    <x v="0"/>
    <x v="1"/>
    <x v="0"/>
    <x v="1"/>
    <x v="0"/>
  </r>
  <r>
    <x v="15"/>
    <x v="0"/>
    <x v="0"/>
    <x v="2"/>
    <x v="8"/>
    <x v="14"/>
    <x v="7"/>
    <x v="1"/>
    <x v="0"/>
    <x v="1"/>
    <x v="0"/>
    <x v="1"/>
    <x v="0"/>
  </r>
  <r>
    <x v="15"/>
    <x v="0"/>
    <x v="1"/>
    <x v="2"/>
    <x v="8"/>
    <x v="14"/>
    <x v="7"/>
    <x v="1"/>
    <x v="0"/>
    <x v="1"/>
    <x v="0"/>
    <x v="1"/>
    <x v="0"/>
  </r>
  <r>
    <x v="15"/>
    <x v="0"/>
    <x v="2"/>
    <x v="2"/>
    <x v="8"/>
    <x v="14"/>
    <x v="7"/>
    <x v="1"/>
    <x v="0"/>
    <x v="1"/>
    <x v="0"/>
    <x v="1"/>
    <x v="0"/>
  </r>
  <r>
    <x v="15"/>
    <x v="0"/>
    <x v="3"/>
    <x v="2"/>
    <x v="8"/>
    <x v="14"/>
    <x v="7"/>
    <x v="1"/>
    <x v="0"/>
    <x v="1"/>
    <x v="0"/>
    <x v="1"/>
    <x v="0"/>
  </r>
  <r>
    <x v="15"/>
    <x v="0"/>
    <x v="4"/>
    <x v="2"/>
    <x v="8"/>
    <x v="14"/>
    <x v="7"/>
    <x v="1"/>
    <x v="0"/>
    <x v="1"/>
    <x v="0"/>
    <x v="1"/>
    <x v="0"/>
  </r>
  <r>
    <x v="15"/>
    <x v="0"/>
    <x v="5"/>
    <x v="2"/>
    <x v="8"/>
    <x v="14"/>
    <x v="7"/>
    <x v="1"/>
    <x v="0"/>
    <x v="1"/>
    <x v="0"/>
    <x v="1"/>
    <x v="0"/>
  </r>
  <r>
    <x v="15"/>
    <x v="0"/>
    <x v="6"/>
    <x v="2"/>
    <x v="8"/>
    <x v="14"/>
    <x v="7"/>
    <x v="1"/>
    <x v="0"/>
    <x v="1"/>
    <x v="0"/>
    <x v="1"/>
    <x v="0"/>
  </r>
  <r>
    <x v="15"/>
    <x v="0"/>
    <x v="7"/>
    <x v="2"/>
    <x v="8"/>
    <x v="14"/>
    <x v="7"/>
    <x v="1"/>
    <x v="0"/>
    <x v="1"/>
    <x v="0"/>
    <x v="1"/>
    <x v="0"/>
  </r>
  <r>
    <x v="15"/>
    <x v="0"/>
    <x v="8"/>
    <x v="2"/>
    <x v="8"/>
    <x v="14"/>
    <x v="7"/>
    <x v="1"/>
    <x v="0"/>
    <x v="1"/>
    <x v="0"/>
    <x v="1"/>
    <x v="0"/>
  </r>
  <r>
    <x v="15"/>
    <x v="0"/>
    <x v="9"/>
    <x v="2"/>
    <x v="8"/>
    <x v="14"/>
    <x v="7"/>
    <x v="1"/>
    <x v="0"/>
    <x v="1"/>
    <x v="0"/>
    <x v="1"/>
    <x v="0"/>
  </r>
  <r>
    <x v="15"/>
    <x v="0"/>
    <x v="10"/>
    <x v="2"/>
    <x v="8"/>
    <x v="14"/>
    <x v="7"/>
    <x v="1"/>
    <x v="0"/>
    <x v="1"/>
    <x v="0"/>
    <x v="1"/>
    <x v="0"/>
  </r>
  <r>
    <x v="15"/>
    <x v="0"/>
    <x v="11"/>
    <x v="2"/>
    <x v="8"/>
    <x v="14"/>
    <x v="7"/>
    <x v="1"/>
    <x v="0"/>
    <x v="1"/>
    <x v="0"/>
    <x v="1"/>
    <x v="0"/>
  </r>
  <r>
    <x v="15"/>
    <x v="0"/>
    <x v="12"/>
    <x v="2"/>
    <x v="8"/>
    <x v="14"/>
    <x v="7"/>
    <x v="1"/>
    <x v="0"/>
    <x v="1"/>
    <x v="0"/>
    <x v="1"/>
    <x v="0"/>
  </r>
  <r>
    <x v="16"/>
    <x v="0"/>
    <x v="0"/>
    <x v="8"/>
    <x v="0"/>
    <x v="0"/>
    <x v="6"/>
    <x v="1"/>
    <x v="0"/>
    <x v="1"/>
    <x v="0"/>
    <x v="1"/>
    <x v="0"/>
  </r>
  <r>
    <x v="16"/>
    <x v="0"/>
    <x v="1"/>
    <x v="8"/>
    <x v="0"/>
    <x v="0"/>
    <x v="6"/>
    <x v="1"/>
    <x v="0"/>
    <x v="1"/>
    <x v="0"/>
    <x v="1"/>
    <x v="0"/>
  </r>
  <r>
    <x v="16"/>
    <x v="0"/>
    <x v="2"/>
    <x v="8"/>
    <x v="0"/>
    <x v="0"/>
    <x v="6"/>
    <x v="1"/>
    <x v="0"/>
    <x v="1"/>
    <x v="0"/>
    <x v="1"/>
    <x v="0"/>
  </r>
  <r>
    <x v="16"/>
    <x v="0"/>
    <x v="3"/>
    <x v="8"/>
    <x v="0"/>
    <x v="0"/>
    <x v="6"/>
    <x v="1"/>
    <x v="0"/>
    <x v="1"/>
    <x v="0"/>
    <x v="1"/>
    <x v="0"/>
  </r>
  <r>
    <x v="16"/>
    <x v="0"/>
    <x v="4"/>
    <x v="8"/>
    <x v="0"/>
    <x v="0"/>
    <x v="6"/>
    <x v="1"/>
    <x v="0"/>
    <x v="1"/>
    <x v="0"/>
    <x v="1"/>
    <x v="0"/>
  </r>
  <r>
    <x v="16"/>
    <x v="0"/>
    <x v="5"/>
    <x v="8"/>
    <x v="0"/>
    <x v="0"/>
    <x v="6"/>
    <x v="1"/>
    <x v="0"/>
    <x v="1"/>
    <x v="0"/>
    <x v="1"/>
    <x v="0"/>
  </r>
  <r>
    <x v="16"/>
    <x v="0"/>
    <x v="6"/>
    <x v="8"/>
    <x v="0"/>
    <x v="0"/>
    <x v="6"/>
    <x v="1"/>
    <x v="0"/>
    <x v="1"/>
    <x v="0"/>
    <x v="1"/>
    <x v="0"/>
  </r>
  <r>
    <x v="16"/>
    <x v="0"/>
    <x v="7"/>
    <x v="8"/>
    <x v="0"/>
    <x v="0"/>
    <x v="6"/>
    <x v="1"/>
    <x v="0"/>
    <x v="1"/>
    <x v="0"/>
    <x v="1"/>
    <x v="0"/>
  </r>
  <r>
    <x v="17"/>
    <x v="0"/>
    <x v="0"/>
    <x v="9"/>
    <x v="1"/>
    <x v="1"/>
    <x v="12"/>
    <x v="1"/>
    <x v="0"/>
    <x v="1"/>
    <x v="0"/>
    <x v="0"/>
    <x v="1"/>
  </r>
  <r>
    <x v="17"/>
    <x v="0"/>
    <x v="1"/>
    <x v="9"/>
    <x v="1"/>
    <x v="1"/>
    <x v="12"/>
    <x v="1"/>
    <x v="0"/>
    <x v="1"/>
    <x v="0"/>
    <x v="0"/>
    <x v="1"/>
  </r>
  <r>
    <x v="17"/>
    <x v="0"/>
    <x v="2"/>
    <x v="9"/>
    <x v="1"/>
    <x v="1"/>
    <x v="12"/>
    <x v="1"/>
    <x v="0"/>
    <x v="1"/>
    <x v="0"/>
    <x v="0"/>
    <x v="1"/>
  </r>
  <r>
    <x v="17"/>
    <x v="0"/>
    <x v="3"/>
    <x v="9"/>
    <x v="1"/>
    <x v="1"/>
    <x v="12"/>
    <x v="1"/>
    <x v="0"/>
    <x v="1"/>
    <x v="0"/>
    <x v="0"/>
    <x v="1"/>
  </r>
  <r>
    <x v="17"/>
    <x v="0"/>
    <x v="4"/>
    <x v="9"/>
    <x v="1"/>
    <x v="1"/>
    <x v="12"/>
    <x v="1"/>
    <x v="0"/>
    <x v="1"/>
    <x v="0"/>
    <x v="0"/>
    <x v="1"/>
  </r>
  <r>
    <x v="17"/>
    <x v="0"/>
    <x v="5"/>
    <x v="9"/>
    <x v="1"/>
    <x v="1"/>
    <x v="12"/>
    <x v="1"/>
    <x v="0"/>
    <x v="1"/>
    <x v="0"/>
    <x v="0"/>
    <x v="1"/>
  </r>
  <r>
    <x v="17"/>
    <x v="0"/>
    <x v="6"/>
    <x v="9"/>
    <x v="1"/>
    <x v="1"/>
    <x v="12"/>
    <x v="1"/>
    <x v="0"/>
    <x v="1"/>
    <x v="0"/>
    <x v="0"/>
    <x v="1"/>
  </r>
  <r>
    <x v="17"/>
    <x v="0"/>
    <x v="7"/>
    <x v="9"/>
    <x v="1"/>
    <x v="1"/>
    <x v="12"/>
    <x v="1"/>
    <x v="0"/>
    <x v="1"/>
    <x v="0"/>
    <x v="0"/>
    <x v="1"/>
  </r>
  <r>
    <x v="17"/>
    <x v="0"/>
    <x v="8"/>
    <x v="9"/>
    <x v="1"/>
    <x v="1"/>
    <x v="12"/>
    <x v="1"/>
    <x v="0"/>
    <x v="1"/>
    <x v="0"/>
    <x v="0"/>
    <x v="1"/>
  </r>
  <r>
    <x v="17"/>
    <x v="0"/>
    <x v="9"/>
    <x v="9"/>
    <x v="1"/>
    <x v="1"/>
    <x v="12"/>
    <x v="1"/>
    <x v="0"/>
    <x v="1"/>
    <x v="0"/>
    <x v="0"/>
    <x v="1"/>
  </r>
  <r>
    <x v="17"/>
    <x v="0"/>
    <x v="10"/>
    <x v="9"/>
    <x v="1"/>
    <x v="1"/>
    <x v="12"/>
    <x v="1"/>
    <x v="0"/>
    <x v="1"/>
    <x v="0"/>
    <x v="0"/>
    <x v="1"/>
  </r>
  <r>
    <x v="17"/>
    <x v="0"/>
    <x v="11"/>
    <x v="9"/>
    <x v="1"/>
    <x v="1"/>
    <x v="12"/>
    <x v="1"/>
    <x v="0"/>
    <x v="1"/>
    <x v="0"/>
    <x v="0"/>
    <x v="1"/>
  </r>
  <r>
    <x v="17"/>
    <x v="0"/>
    <x v="12"/>
    <x v="9"/>
    <x v="1"/>
    <x v="1"/>
    <x v="12"/>
    <x v="1"/>
    <x v="0"/>
    <x v="1"/>
    <x v="0"/>
    <x v="0"/>
    <x v="1"/>
  </r>
  <r>
    <x v="18"/>
    <x v="0"/>
    <x v="0"/>
    <x v="3"/>
    <x v="6"/>
    <x v="8"/>
    <x v="2"/>
    <x v="1"/>
    <x v="0"/>
    <x v="1"/>
    <x v="0"/>
    <x v="1"/>
    <x v="0"/>
  </r>
  <r>
    <x v="18"/>
    <x v="0"/>
    <x v="1"/>
    <x v="3"/>
    <x v="6"/>
    <x v="8"/>
    <x v="2"/>
    <x v="1"/>
    <x v="0"/>
    <x v="1"/>
    <x v="0"/>
    <x v="1"/>
    <x v="0"/>
  </r>
  <r>
    <x v="18"/>
    <x v="0"/>
    <x v="2"/>
    <x v="3"/>
    <x v="6"/>
    <x v="8"/>
    <x v="2"/>
    <x v="1"/>
    <x v="0"/>
    <x v="1"/>
    <x v="0"/>
    <x v="1"/>
    <x v="0"/>
  </r>
  <r>
    <x v="18"/>
    <x v="0"/>
    <x v="3"/>
    <x v="3"/>
    <x v="6"/>
    <x v="8"/>
    <x v="2"/>
    <x v="1"/>
    <x v="0"/>
    <x v="1"/>
    <x v="0"/>
    <x v="1"/>
    <x v="0"/>
  </r>
  <r>
    <x v="18"/>
    <x v="0"/>
    <x v="4"/>
    <x v="3"/>
    <x v="6"/>
    <x v="8"/>
    <x v="2"/>
    <x v="1"/>
    <x v="0"/>
    <x v="1"/>
    <x v="0"/>
    <x v="1"/>
    <x v="0"/>
  </r>
  <r>
    <x v="18"/>
    <x v="0"/>
    <x v="5"/>
    <x v="3"/>
    <x v="6"/>
    <x v="8"/>
    <x v="2"/>
    <x v="1"/>
    <x v="0"/>
    <x v="1"/>
    <x v="0"/>
    <x v="1"/>
    <x v="0"/>
  </r>
  <r>
    <x v="18"/>
    <x v="0"/>
    <x v="6"/>
    <x v="3"/>
    <x v="6"/>
    <x v="8"/>
    <x v="2"/>
    <x v="1"/>
    <x v="0"/>
    <x v="1"/>
    <x v="0"/>
    <x v="1"/>
    <x v="0"/>
  </r>
  <r>
    <x v="18"/>
    <x v="0"/>
    <x v="7"/>
    <x v="3"/>
    <x v="6"/>
    <x v="8"/>
    <x v="2"/>
    <x v="1"/>
    <x v="0"/>
    <x v="1"/>
    <x v="0"/>
    <x v="1"/>
    <x v="0"/>
  </r>
  <r>
    <x v="18"/>
    <x v="0"/>
    <x v="8"/>
    <x v="3"/>
    <x v="6"/>
    <x v="8"/>
    <x v="2"/>
    <x v="1"/>
    <x v="0"/>
    <x v="1"/>
    <x v="0"/>
    <x v="1"/>
    <x v="0"/>
  </r>
  <r>
    <x v="18"/>
    <x v="0"/>
    <x v="9"/>
    <x v="3"/>
    <x v="6"/>
    <x v="8"/>
    <x v="2"/>
    <x v="1"/>
    <x v="0"/>
    <x v="1"/>
    <x v="0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1"/>
    <x v="12"/>
    <x v="12"/>
    <x v="0"/>
    <x v="1"/>
    <x v="1"/>
    <x v="0"/>
    <x v="1"/>
  </r>
  <r>
    <x v="0"/>
    <x v="0"/>
    <x v="1"/>
    <x v="0"/>
    <x v="1"/>
    <x v="12"/>
    <x v="12"/>
    <x v="0"/>
    <x v="1"/>
    <x v="1"/>
    <x v="0"/>
    <x v="1"/>
  </r>
  <r>
    <x v="0"/>
    <x v="0"/>
    <x v="2"/>
    <x v="0"/>
    <x v="1"/>
    <x v="12"/>
    <x v="12"/>
    <x v="0"/>
    <x v="1"/>
    <x v="1"/>
    <x v="0"/>
    <x v="1"/>
  </r>
  <r>
    <x v="0"/>
    <x v="0"/>
    <x v="3"/>
    <x v="0"/>
    <x v="1"/>
    <x v="12"/>
    <x v="12"/>
    <x v="0"/>
    <x v="1"/>
    <x v="1"/>
    <x v="0"/>
    <x v="1"/>
  </r>
  <r>
    <x v="0"/>
    <x v="0"/>
    <x v="4"/>
    <x v="0"/>
    <x v="1"/>
    <x v="12"/>
    <x v="12"/>
    <x v="0"/>
    <x v="1"/>
    <x v="1"/>
    <x v="0"/>
    <x v="1"/>
  </r>
  <r>
    <x v="0"/>
    <x v="0"/>
    <x v="5"/>
    <x v="0"/>
    <x v="1"/>
    <x v="12"/>
    <x v="12"/>
    <x v="0"/>
    <x v="1"/>
    <x v="1"/>
    <x v="0"/>
    <x v="1"/>
  </r>
  <r>
    <x v="0"/>
    <x v="0"/>
    <x v="6"/>
    <x v="0"/>
    <x v="1"/>
    <x v="12"/>
    <x v="12"/>
    <x v="0"/>
    <x v="1"/>
    <x v="1"/>
    <x v="0"/>
    <x v="1"/>
  </r>
  <r>
    <x v="0"/>
    <x v="0"/>
    <x v="7"/>
    <x v="0"/>
    <x v="1"/>
    <x v="12"/>
    <x v="12"/>
    <x v="0"/>
    <x v="1"/>
    <x v="1"/>
    <x v="0"/>
    <x v="1"/>
  </r>
  <r>
    <x v="0"/>
    <x v="0"/>
    <x v="8"/>
    <x v="0"/>
    <x v="1"/>
    <x v="12"/>
    <x v="12"/>
    <x v="0"/>
    <x v="1"/>
    <x v="1"/>
    <x v="0"/>
    <x v="1"/>
  </r>
  <r>
    <x v="0"/>
    <x v="0"/>
    <x v="9"/>
    <x v="0"/>
    <x v="1"/>
    <x v="12"/>
    <x v="12"/>
    <x v="0"/>
    <x v="1"/>
    <x v="1"/>
    <x v="0"/>
    <x v="1"/>
  </r>
  <r>
    <x v="0"/>
    <x v="0"/>
    <x v="10"/>
    <x v="0"/>
    <x v="1"/>
    <x v="12"/>
    <x v="12"/>
    <x v="0"/>
    <x v="1"/>
    <x v="1"/>
    <x v="0"/>
    <x v="1"/>
  </r>
  <r>
    <x v="1"/>
    <x v="0"/>
    <x v="0"/>
    <x v="6"/>
    <x v="12"/>
    <x v="0"/>
    <x v="7"/>
    <x v="0"/>
    <x v="1"/>
    <x v="1"/>
    <x v="0"/>
    <x v="1"/>
  </r>
  <r>
    <x v="1"/>
    <x v="0"/>
    <x v="1"/>
    <x v="6"/>
    <x v="12"/>
    <x v="0"/>
    <x v="7"/>
    <x v="0"/>
    <x v="1"/>
    <x v="1"/>
    <x v="0"/>
    <x v="1"/>
  </r>
  <r>
    <x v="1"/>
    <x v="0"/>
    <x v="2"/>
    <x v="6"/>
    <x v="12"/>
    <x v="0"/>
    <x v="7"/>
    <x v="0"/>
    <x v="1"/>
    <x v="1"/>
    <x v="0"/>
    <x v="1"/>
  </r>
  <r>
    <x v="1"/>
    <x v="0"/>
    <x v="3"/>
    <x v="6"/>
    <x v="12"/>
    <x v="0"/>
    <x v="7"/>
    <x v="0"/>
    <x v="1"/>
    <x v="1"/>
    <x v="0"/>
    <x v="1"/>
  </r>
  <r>
    <x v="1"/>
    <x v="0"/>
    <x v="4"/>
    <x v="6"/>
    <x v="12"/>
    <x v="0"/>
    <x v="7"/>
    <x v="0"/>
    <x v="1"/>
    <x v="1"/>
    <x v="0"/>
    <x v="1"/>
  </r>
  <r>
    <x v="1"/>
    <x v="0"/>
    <x v="5"/>
    <x v="6"/>
    <x v="12"/>
    <x v="0"/>
    <x v="7"/>
    <x v="0"/>
    <x v="1"/>
    <x v="1"/>
    <x v="0"/>
    <x v="1"/>
  </r>
  <r>
    <x v="1"/>
    <x v="0"/>
    <x v="6"/>
    <x v="6"/>
    <x v="12"/>
    <x v="0"/>
    <x v="7"/>
    <x v="0"/>
    <x v="1"/>
    <x v="1"/>
    <x v="0"/>
    <x v="1"/>
  </r>
  <r>
    <x v="1"/>
    <x v="0"/>
    <x v="7"/>
    <x v="6"/>
    <x v="12"/>
    <x v="0"/>
    <x v="7"/>
    <x v="0"/>
    <x v="1"/>
    <x v="1"/>
    <x v="0"/>
    <x v="1"/>
  </r>
  <r>
    <x v="1"/>
    <x v="0"/>
    <x v="8"/>
    <x v="6"/>
    <x v="12"/>
    <x v="0"/>
    <x v="7"/>
    <x v="0"/>
    <x v="1"/>
    <x v="1"/>
    <x v="0"/>
    <x v="1"/>
  </r>
  <r>
    <x v="1"/>
    <x v="0"/>
    <x v="9"/>
    <x v="6"/>
    <x v="12"/>
    <x v="0"/>
    <x v="7"/>
    <x v="0"/>
    <x v="1"/>
    <x v="1"/>
    <x v="0"/>
    <x v="1"/>
  </r>
  <r>
    <x v="1"/>
    <x v="0"/>
    <x v="10"/>
    <x v="6"/>
    <x v="12"/>
    <x v="0"/>
    <x v="7"/>
    <x v="0"/>
    <x v="1"/>
    <x v="1"/>
    <x v="0"/>
    <x v="1"/>
  </r>
  <r>
    <x v="2"/>
    <x v="0"/>
    <x v="0"/>
    <x v="4"/>
    <x v="11"/>
    <x v="10"/>
    <x v="8"/>
    <x v="1"/>
    <x v="0"/>
    <x v="0"/>
    <x v="1"/>
    <x v="0"/>
  </r>
  <r>
    <x v="2"/>
    <x v="0"/>
    <x v="1"/>
    <x v="4"/>
    <x v="11"/>
    <x v="10"/>
    <x v="8"/>
    <x v="1"/>
    <x v="0"/>
    <x v="0"/>
    <x v="1"/>
    <x v="0"/>
  </r>
  <r>
    <x v="2"/>
    <x v="0"/>
    <x v="2"/>
    <x v="4"/>
    <x v="11"/>
    <x v="10"/>
    <x v="8"/>
    <x v="1"/>
    <x v="0"/>
    <x v="0"/>
    <x v="1"/>
    <x v="0"/>
  </r>
  <r>
    <x v="2"/>
    <x v="0"/>
    <x v="3"/>
    <x v="4"/>
    <x v="11"/>
    <x v="10"/>
    <x v="8"/>
    <x v="1"/>
    <x v="0"/>
    <x v="0"/>
    <x v="1"/>
    <x v="0"/>
  </r>
  <r>
    <x v="2"/>
    <x v="0"/>
    <x v="4"/>
    <x v="4"/>
    <x v="11"/>
    <x v="10"/>
    <x v="8"/>
    <x v="1"/>
    <x v="0"/>
    <x v="0"/>
    <x v="1"/>
    <x v="0"/>
  </r>
  <r>
    <x v="2"/>
    <x v="0"/>
    <x v="5"/>
    <x v="4"/>
    <x v="11"/>
    <x v="10"/>
    <x v="8"/>
    <x v="1"/>
    <x v="0"/>
    <x v="0"/>
    <x v="1"/>
    <x v="0"/>
  </r>
  <r>
    <x v="2"/>
    <x v="0"/>
    <x v="6"/>
    <x v="4"/>
    <x v="11"/>
    <x v="10"/>
    <x v="8"/>
    <x v="1"/>
    <x v="0"/>
    <x v="0"/>
    <x v="1"/>
    <x v="0"/>
  </r>
  <r>
    <x v="2"/>
    <x v="0"/>
    <x v="7"/>
    <x v="4"/>
    <x v="11"/>
    <x v="10"/>
    <x v="8"/>
    <x v="1"/>
    <x v="0"/>
    <x v="0"/>
    <x v="1"/>
    <x v="0"/>
  </r>
  <r>
    <x v="2"/>
    <x v="0"/>
    <x v="8"/>
    <x v="4"/>
    <x v="11"/>
    <x v="10"/>
    <x v="8"/>
    <x v="1"/>
    <x v="0"/>
    <x v="0"/>
    <x v="1"/>
    <x v="0"/>
  </r>
  <r>
    <x v="2"/>
    <x v="0"/>
    <x v="9"/>
    <x v="4"/>
    <x v="11"/>
    <x v="10"/>
    <x v="8"/>
    <x v="1"/>
    <x v="0"/>
    <x v="0"/>
    <x v="1"/>
    <x v="0"/>
  </r>
  <r>
    <x v="2"/>
    <x v="0"/>
    <x v="10"/>
    <x v="4"/>
    <x v="11"/>
    <x v="10"/>
    <x v="8"/>
    <x v="1"/>
    <x v="0"/>
    <x v="0"/>
    <x v="1"/>
    <x v="0"/>
  </r>
  <r>
    <x v="3"/>
    <x v="0"/>
    <x v="0"/>
    <x v="7"/>
    <x v="13"/>
    <x v="5"/>
    <x v="0"/>
    <x v="0"/>
    <x v="1"/>
    <x v="1"/>
    <x v="0"/>
    <x v="0"/>
  </r>
  <r>
    <x v="3"/>
    <x v="0"/>
    <x v="1"/>
    <x v="7"/>
    <x v="13"/>
    <x v="5"/>
    <x v="0"/>
    <x v="0"/>
    <x v="1"/>
    <x v="1"/>
    <x v="0"/>
    <x v="0"/>
  </r>
  <r>
    <x v="3"/>
    <x v="0"/>
    <x v="2"/>
    <x v="7"/>
    <x v="13"/>
    <x v="5"/>
    <x v="0"/>
    <x v="0"/>
    <x v="1"/>
    <x v="1"/>
    <x v="0"/>
    <x v="0"/>
  </r>
  <r>
    <x v="3"/>
    <x v="0"/>
    <x v="3"/>
    <x v="7"/>
    <x v="13"/>
    <x v="5"/>
    <x v="0"/>
    <x v="0"/>
    <x v="1"/>
    <x v="1"/>
    <x v="0"/>
    <x v="0"/>
  </r>
  <r>
    <x v="3"/>
    <x v="0"/>
    <x v="4"/>
    <x v="7"/>
    <x v="13"/>
    <x v="5"/>
    <x v="0"/>
    <x v="0"/>
    <x v="1"/>
    <x v="1"/>
    <x v="0"/>
    <x v="0"/>
  </r>
  <r>
    <x v="3"/>
    <x v="0"/>
    <x v="5"/>
    <x v="7"/>
    <x v="13"/>
    <x v="5"/>
    <x v="0"/>
    <x v="0"/>
    <x v="1"/>
    <x v="1"/>
    <x v="0"/>
    <x v="0"/>
  </r>
  <r>
    <x v="3"/>
    <x v="0"/>
    <x v="6"/>
    <x v="7"/>
    <x v="13"/>
    <x v="5"/>
    <x v="0"/>
    <x v="0"/>
    <x v="1"/>
    <x v="1"/>
    <x v="0"/>
    <x v="0"/>
  </r>
  <r>
    <x v="3"/>
    <x v="0"/>
    <x v="7"/>
    <x v="7"/>
    <x v="13"/>
    <x v="5"/>
    <x v="0"/>
    <x v="0"/>
    <x v="1"/>
    <x v="1"/>
    <x v="0"/>
    <x v="0"/>
  </r>
  <r>
    <x v="3"/>
    <x v="0"/>
    <x v="8"/>
    <x v="7"/>
    <x v="13"/>
    <x v="5"/>
    <x v="0"/>
    <x v="0"/>
    <x v="1"/>
    <x v="1"/>
    <x v="0"/>
    <x v="0"/>
  </r>
  <r>
    <x v="4"/>
    <x v="0"/>
    <x v="0"/>
    <x v="2"/>
    <x v="3"/>
    <x v="4"/>
    <x v="5"/>
    <x v="0"/>
    <x v="1"/>
    <x v="1"/>
    <x v="0"/>
    <x v="1"/>
  </r>
  <r>
    <x v="4"/>
    <x v="0"/>
    <x v="1"/>
    <x v="2"/>
    <x v="3"/>
    <x v="4"/>
    <x v="5"/>
    <x v="0"/>
    <x v="1"/>
    <x v="1"/>
    <x v="0"/>
    <x v="1"/>
  </r>
  <r>
    <x v="4"/>
    <x v="0"/>
    <x v="2"/>
    <x v="2"/>
    <x v="3"/>
    <x v="4"/>
    <x v="5"/>
    <x v="0"/>
    <x v="1"/>
    <x v="1"/>
    <x v="0"/>
    <x v="1"/>
  </r>
  <r>
    <x v="4"/>
    <x v="0"/>
    <x v="3"/>
    <x v="2"/>
    <x v="3"/>
    <x v="4"/>
    <x v="5"/>
    <x v="0"/>
    <x v="1"/>
    <x v="1"/>
    <x v="0"/>
    <x v="1"/>
  </r>
  <r>
    <x v="4"/>
    <x v="0"/>
    <x v="4"/>
    <x v="2"/>
    <x v="3"/>
    <x v="4"/>
    <x v="5"/>
    <x v="0"/>
    <x v="1"/>
    <x v="1"/>
    <x v="0"/>
    <x v="1"/>
  </r>
  <r>
    <x v="4"/>
    <x v="0"/>
    <x v="5"/>
    <x v="2"/>
    <x v="3"/>
    <x v="4"/>
    <x v="5"/>
    <x v="0"/>
    <x v="1"/>
    <x v="1"/>
    <x v="0"/>
    <x v="1"/>
  </r>
  <r>
    <x v="4"/>
    <x v="0"/>
    <x v="6"/>
    <x v="2"/>
    <x v="3"/>
    <x v="4"/>
    <x v="5"/>
    <x v="0"/>
    <x v="1"/>
    <x v="1"/>
    <x v="0"/>
    <x v="1"/>
  </r>
  <r>
    <x v="4"/>
    <x v="0"/>
    <x v="7"/>
    <x v="2"/>
    <x v="3"/>
    <x v="4"/>
    <x v="5"/>
    <x v="0"/>
    <x v="1"/>
    <x v="1"/>
    <x v="0"/>
    <x v="1"/>
  </r>
  <r>
    <x v="4"/>
    <x v="0"/>
    <x v="8"/>
    <x v="2"/>
    <x v="3"/>
    <x v="4"/>
    <x v="5"/>
    <x v="0"/>
    <x v="1"/>
    <x v="1"/>
    <x v="0"/>
    <x v="1"/>
  </r>
  <r>
    <x v="5"/>
    <x v="0"/>
    <x v="0"/>
    <x v="3"/>
    <x v="9"/>
    <x v="3"/>
    <x v="3"/>
    <x v="0"/>
    <x v="1"/>
    <x v="1"/>
    <x v="0"/>
    <x v="0"/>
  </r>
  <r>
    <x v="5"/>
    <x v="0"/>
    <x v="1"/>
    <x v="3"/>
    <x v="9"/>
    <x v="3"/>
    <x v="3"/>
    <x v="0"/>
    <x v="1"/>
    <x v="1"/>
    <x v="0"/>
    <x v="0"/>
  </r>
  <r>
    <x v="5"/>
    <x v="0"/>
    <x v="2"/>
    <x v="3"/>
    <x v="9"/>
    <x v="3"/>
    <x v="3"/>
    <x v="0"/>
    <x v="1"/>
    <x v="1"/>
    <x v="0"/>
    <x v="0"/>
  </r>
  <r>
    <x v="5"/>
    <x v="0"/>
    <x v="3"/>
    <x v="3"/>
    <x v="9"/>
    <x v="3"/>
    <x v="3"/>
    <x v="0"/>
    <x v="1"/>
    <x v="1"/>
    <x v="0"/>
    <x v="0"/>
  </r>
  <r>
    <x v="5"/>
    <x v="0"/>
    <x v="4"/>
    <x v="3"/>
    <x v="9"/>
    <x v="3"/>
    <x v="3"/>
    <x v="0"/>
    <x v="1"/>
    <x v="1"/>
    <x v="0"/>
    <x v="0"/>
  </r>
  <r>
    <x v="5"/>
    <x v="0"/>
    <x v="5"/>
    <x v="3"/>
    <x v="9"/>
    <x v="3"/>
    <x v="3"/>
    <x v="0"/>
    <x v="1"/>
    <x v="1"/>
    <x v="0"/>
    <x v="0"/>
  </r>
  <r>
    <x v="5"/>
    <x v="0"/>
    <x v="6"/>
    <x v="3"/>
    <x v="9"/>
    <x v="3"/>
    <x v="3"/>
    <x v="0"/>
    <x v="1"/>
    <x v="1"/>
    <x v="0"/>
    <x v="0"/>
  </r>
  <r>
    <x v="5"/>
    <x v="0"/>
    <x v="7"/>
    <x v="3"/>
    <x v="9"/>
    <x v="3"/>
    <x v="3"/>
    <x v="0"/>
    <x v="1"/>
    <x v="1"/>
    <x v="0"/>
    <x v="0"/>
  </r>
  <r>
    <x v="5"/>
    <x v="0"/>
    <x v="8"/>
    <x v="3"/>
    <x v="9"/>
    <x v="3"/>
    <x v="3"/>
    <x v="0"/>
    <x v="1"/>
    <x v="1"/>
    <x v="0"/>
    <x v="0"/>
  </r>
  <r>
    <x v="6"/>
    <x v="0"/>
    <x v="0"/>
    <x v="13"/>
    <x v="2"/>
    <x v="1"/>
    <x v="4"/>
    <x v="0"/>
    <x v="1"/>
    <x v="1"/>
    <x v="0"/>
    <x v="0"/>
  </r>
  <r>
    <x v="6"/>
    <x v="0"/>
    <x v="1"/>
    <x v="13"/>
    <x v="2"/>
    <x v="1"/>
    <x v="4"/>
    <x v="0"/>
    <x v="1"/>
    <x v="1"/>
    <x v="0"/>
    <x v="0"/>
  </r>
  <r>
    <x v="6"/>
    <x v="0"/>
    <x v="2"/>
    <x v="13"/>
    <x v="2"/>
    <x v="1"/>
    <x v="4"/>
    <x v="0"/>
    <x v="1"/>
    <x v="1"/>
    <x v="0"/>
    <x v="0"/>
  </r>
  <r>
    <x v="6"/>
    <x v="0"/>
    <x v="3"/>
    <x v="13"/>
    <x v="2"/>
    <x v="1"/>
    <x v="4"/>
    <x v="0"/>
    <x v="1"/>
    <x v="1"/>
    <x v="0"/>
    <x v="0"/>
  </r>
  <r>
    <x v="6"/>
    <x v="0"/>
    <x v="4"/>
    <x v="13"/>
    <x v="2"/>
    <x v="1"/>
    <x v="4"/>
    <x v="0"/>
    <x v="1"/>
    <x v="1"/>
    <x v="0"/>
    <x v="0"/>
  </r>
  <r>
    <x v="6"/>
    <x v="0"/>
    <x v="5"/>
    <x v="13"/>
    <x v="2"/>
    <x v="1"/>
    <x v="4"/>
    <x v="0"/>
    <x v="1"/>
    <x v="1"/>
    <x v="0"/>
    <x v="0"/>
  </r>
  <r>
    <x v="6"/>
    <x v="0"/>
    <x v="6"/>
    <x v="13"/>
    <x v="2"/>
    <x v="1"/>
    <x v="4"/>
    <x v="0"/>
    <x v="1"/>
    <x v="1"/>
    <x v="0"/>
    <x v="0"/>
  </r>
  <r>
    <x v="6"/>
    <x v="0"/>
    <x v="7"/>
    <x v="13"/>
    <x v="2"/>
    <x v="1"/>
    <x v="4"/>
    <x v="0"/>
    <x v="1"/>
    <x v="1"/>
    <x v="0"/>
    <x v="0"/>
  </r>
  <r>
    <x v="6"/>
    <x v="0"/>
    <x v="8"/>
    <x v="13"/>
    <x v="2"/>
    <x v="1"/>
    <x v="4"/>
    <x v="0"/>
    <x v="1"/>
    <x v="1"/>
    <x v="0"/>
    <x v="0"/>
  </r>
  <r>
    <x v="6"/>
    <x v="0"/>
    <x v="9"/>
    <x v="13"/>
    <x v="2"/>
    <x v="1"/>
    <x v="4"/>
    <x v="0"/>
    <x v="1"/>
    <x v="1"/>
    <x v="0"/>
    <x v="0"/>
  </r>
  <r>
    <x v="6"/>
    <x v="0"/>
    <x v="10"/>
    <x v="13"/>
    <x v="2"/>
    <x v="1"/>
    <x v="4"/>
    <x v="0"/>
    <x v="1"/>
    <x v="1"/>
    <x v="0"/>
    <x v="0"/>
  </r>
  <r>
    <x v="7"/>
    <x v="0"/>
    <x v="0"/>
    <x v="5"/>
    <x v="4"/>
    <x v="4"/>
    <x v="1"/>
    <x v="0"/>
    <x v="1"/>
    <x v="0"/>
    <x v="1"/>
    <x v="1"/>
  </r>
  <r>
    <x v="7"/>
    <x v="0"/>
    <x v="1"/>
    <x v="5"/>
    <x v="4"/>
    <x v="4"/>
    <x v="1"/>
    <x v="0"/>
    <x v="1"/>
    <x v="0"/>
    <x v="1"/>
    <x v="1"/>
  </r>
  <r>
    <x v="7"/>
    <x v="0"/>
    <x v="2"/>
    <x v="5"/>
    <x v="4"/>
    <x v="4"/>
    <x v="1"/>
    <x v="0"/>
    <x v="1"/>
    <x v="0"/>
    <x v="1"/>
    <x v="1"/>
  </r>
  <r>
    <x v="7"/>
    <x v="0"/>
    <x v="3"/>
    <x v="5"/>
    <x v="4"/>
    <x v="4"/>
    <x v="1"/>
    <x v="0"/>
    <x v="1"/>
    <x v="0"/>
    <x v="1"/>
    <x v="1"/>
  </r>
  <r>
    <x v="7"/>
    <x v="0"/>
    <x v="4"/>
    <x v="5"/>
    <x v="4"/>
    <x v="4"/>
    <x v="1"/>
    <x v="0"/>
    <x v="1"/>
    <x v="0"/>
    <x v="1"/>
    <x v="1"/>
  </r>
  <r>
    <x v="7"/>
    <x v="0"/>
    <x v="5"/>
    <x v="5"/>
    <x v="4"/>
    <x v="4"/>
    <x v="1"/>
    <x v="0"/>
    <x v="1"/>
    <x v="0"/>
    <x v="1"/>
    <x v="1"/>
  </r>
  <r>
    <x v="7"/>
    <x v="0"/>
    <x v="6"/>
    <x v="5"/>
    <x v="4"/>
    <x v="4"/>
    <x v="1"/>
    <x v="0"/>
    <x v="1"/>
    <x v="0"/>
    <x v="1"/>
    <x v="1"/>
  </r>
  <r>
    <x v="7"/>
    <x v="0"/>
    <x v="7"/>
    <x v="5"/>
    <x v="4"/>
    <x v="4"/>
    <x v="1"/>
    <x v="0"/>
    <x v="1"/>
    <x v="0"/>
    <x v="1"/>
    <x v="1"/>
  </r>
  <r>
    <x v="7"/>
    <x v="0"/>
    <x v="8"/>
    <x v="5"/>
    <x v="4"/>
    <x v="4"/>
    <x v="1"/>
    <x v="0"/>
    <x v="1"/>
    <x v="0"/>
    <x v="1"/>
    <x v="1"/>
  </r>
  <r>
    <x v="7"/>
    <x v="0"/>
    <x v="9"/>
    <x v="5"/>
    <x v="4"/>
    <x v="4"/>
    <x v="1"/>
    <x v="0"/>
    <x v="1"/>
    <x v="0"/>
    <x v="1"/>
    <x v="1"/>
  </r>
  <r>
    <x v="7"/>
    <x v="0"/>
    <x v="10"/>
    <x v="5"/>
    <x v="4"/>
    <x v="4"/>
    <x v="1"/>
    <x v="0"/>
    <x v="1"/>
    <x v="0"/>
    <x v="1"/>
    <x v="1"/>
  </r>
  <r>
    <x v="8"/>
    <x v="0"/>
    <x v="0"/>
    <x v="6"/>
    <x v="10"/>
    <x v="6"/>
    <x v="11"/>
    <x v="0"/>
    <x v="1"/>
    <x v="1"/>
    <x v="0"/>
    <x v="1"/>
  </r>
  <r>
    <x v="8"/>
    <x v="0"/>
    <x v="1"/>
    <x v="6"/>
    <x v="10"/>
    <x v="6"/>
    <x v="11"/>
    <x v="0"/>
    <x v="1"/>
    <x v="1"/>
    <x v="0"/>
    <x v="1"/>
  </r>
  <r>
    <x v="8"/>
    <x v="0"/>
    <x v="2"/>
    <x v="6"/>
    <x v="10"/>
    <x v="6"/>
    <x v="11"/>
    <x v="0"/>
    <x v="1"/>
    <x v="1"/>
    <x v="0"/>
    <x v="1"/>
  </r>
  <r>
    <x v="8"/>
    <x v="0"/>
    <x v="3"/>
    <x v="6"/>
    <x v="10"/>
    <x v="6"/>
    <x v="11"/>
    <x v="0"/>
    <x v="1"/>
    <x v="1"/>
    <x v="0"/>
    <x v="1"/>
  </r>
  <r>
    <x v="8"/>
    <x v="0"/>
    <x v="4"/>
    <x v="6"/>
    <x v="10"/>
    <x v="6"/>
    <x v="11"/>
    <x v="0"/>
    <x v="1"/>
    <x v="1"/>
    <x v="0"/>
    <x v="1"/>
  </r>
  <r>
    <x v="8"/>
    <x v="0"/>
    <x v="5"/>
    <x v="6"/>
    <x v="10"/>
    <x v="6"/>
    <x v="11"/>
    <x v="0"/>
    <x v="1"/>
    <x v="1"/>
    <x v="0"/>
    <x v="1"/>
  </r>
  <r>
    <x v="8"/>
    <x v="0"/>
    <x v="6"/>
    <x v="6"/>
    <x v="10"/>
    <x v="6"/>
    <x v="11"/>
    <x v="0"/>
    <x v="1"/>
    <x v="1"/>
    <x v="0"/>
    <x v="1"/>
  </r>
  <r>
    <x v="8"/>
    <x v="0"/>
    <x v="7"/>
    <x v="6"/>
    <x v="10"/>
    <x v="6"/>
    <x v="11"/>
    <x v="0"/>
    <x v="1"/>
    <x v="1"/>
    <x v="0"/>
    <x v="1"/>
  </r>
  <r>
    <x v="8"/>
    <x v="0"/>
    <x v="8"/>
    <x v="6"/>
    <x v="10"/>
    <x v="6"/>
    <x v="11"/>
    <x v="0"/>
    <x v="1"/>
    <x v="1"/>
    <x v="0"/>
    <x v="1"/>
  </r>
  <r>
    <x v="9"/>
    <x v="0"/>
    <x v="0"/>
    <x v="10"/>
    <x v="4"/>
    <x v="10"/>
    <x v="10"/>
    <x v="0"/>
    <x v="1"/>
    <x v="1"/>
    <x v="0"/>
    <x v="1"/>
  </r>
  <r>
    <x v="9"/>
    <x v="0"/>
    <x v="1"/>
    <x v="10"/>
    <x v="4"/>
    <x v="10"/>
    <x v="10"/>
    <x v="0"/>
    <x v="1"/>
    <x v="1"/>
    <x v="0"/>
    <x v="1"/>
  </r>
  <r>
    <x v="9"/>
    <x v="0"/>
    <x v="2"/>
    <x v="10"/>
    <x v="4"/>
    <x v="10"/>
    <x v="10"/>
    <x v="0"/>
    <x v="1"/>
    <x v="1"/>
    <x v="0"/>
    <x v="1"/>
  </r>
  <r>
    <x v="9"/>
    <x v="0"/>
    <x v="3"/>
    <x v="10"/>
    <x v="4"/>
    <x v="10"/>
    <x v="10"/>
    <x v="0"/>
    <x v="1"/>
    <x v="1"/>
    <x v="0"/>
    <x v="1"/>
  </r>
  <r>
    <x v="9"/>
    <x v="0"/>
    <x v="4"/>
    <x v="10"/>
    <x v="4"/>
    <x v="10"/>
    <x v="10"/>
    <x v="0"/>
    <x v="1"/>
    <x v="1"/>
    <x v="0"/>
    <x v="1"/>
  </r>
  <r>
    <x v="9"/>
    <x v="0"/>
    <x v="5"/>
    <x v="10"/>
    <x v="4"/>
    <x v="10"/>
    <x v="10"/>
    <x v="0"/>
    <x v="1"/>
    <x v="1"/>
    <x v="0"/>
    <x v="1"/>
  </r>
  <r>
    <x v="9"/>
    <x v="0"/>
    <x v="6"/>
    <x v="10"/>
    <x v="4"/>
    <x v="10"/>
    <x v="10"/>
    <x v="0"/>
    <x v="1"/>
    <x v="1"/>
    <x v="0"/>
    <x v="1"/>
  </r>
  <r>
    <x v="9"/>
    <x v="0"/>
    <x v="7"/>
    <x v="10"/>
    <x v="4"/>
    <x v="10"/>
    <x v="10"/>
    <x v="0"/>
    <x v="1"/>
    <x v="1"/>
    <x v="0"/>
    <x v="1"/>
  </r>
  <r>
    <x v="9"/>
    <x v="0"/>
    <x v="8"/>
    <x v="10"/>
    <x v="4"/>
    <x v="10"/>
    <x v="10"/>
    <x v="0"/>
    <x v="1"/>
    <x v="1"/>
    <x v="0"/>
    <x v="1"/>
  </r>
  <r>
    <x v="9"/>
    <x v="0"/>
    <x v="9"/>
    <x v="10"/>
    <x v="4"/>
    <x v="10"/>
    <x v="10"/>
    <x v="0"/>
    <x v="1"/>
    <x v="1"/>
    <x v="0"/>
    <x v="1"/>
  </r>
  <r>
    <x v="10"/>
    <x v="0"/>
    <x v="0"/>
    <x v="11"/>
    <x v="13"/>
    <x v="14"/>
    <x v="13"/>
    <x v="0"/>
    <x v="1"/>
    <x v="0"/>
    <x v="1"/>
    <x v="0"/>
  </r>
  <r>
    <x v="10"/>
    <x v="0"/>
    <x v="1"/>
    <x v="11"/>
    <x v="13"/>
    <x v="14"/>
    <x v="13"/>
    <x v="0"/>
    <x v="1"/>
    <x v="0"/>
    <x v="1"/>
    <x v="0"/>
  </r>
  <r>
    <x v="10"/>
    <x v="0"/>
    <x v="2"/>
    <x v="11"/>
    <x v="13"/>
    <x v="14"/>
    <x v="13"/>
    <x v="0"/>
    <x v="1"/>
    <x v="0"/>
    <x v="1"/>
    <x v="0"/>
  </r>
  <r>
    <x v="10"/>
    <x v="0"/>
    <x v="3"/>
    <x v="11"/>
    <x v="13"/>
    <x v="14"/>
    <x v="13"/>
    <x v="0"/>
    <x v="1"/>
    <x v="0"/>
    <x v="1"/>
    <x v="0"/>
  </r>
  <r>
    <x v="10"/>
    <x v="0"/>
    <x v="4"/>
    <x v="11"/>
    <x v="13"/>
    <x v="14"/>
    <x v="13"/>
    <x v="0"/>
    <x v="1"/>
    <x v="0"/>
    <x v="1"/>
    <x v="0"/>
  </r>
  <r>
    <x v="10"/>
    <x v="0"/>
    <x v="5"/>
    <x v="11"/>
    <x v="13"/>
    <x v="14"/>
    <x v="13"/>
    <x v="0"/>
    <x v="1"/>
    <x v="0"/>
    <x v="1"/>
    <x v="0"/>
  </r>
  <r>
    <x v="10"/>
    <x v="0"/>
    <x v="6"/>
    <x v="11"/>
    <x v="13"/>
    <x v="14"/>
    <x v="13"/>
    <x v="0"/>
    <x v="1"/>
    <x v="0"/>
    <x v="1"/>
    <x v="0"/>
  </r>
  <r>
    <x v="10"/>
    <x v="0"/>
    <x v="7"/>
    <x v="11"/>
    <x v="13"/>
    <x v="14"/>
    <x v="13"/>
    <x v="0"/>
    <x v="1"/>
    <x v="0"/>
    <x v="1"/>
    <x v="0"/>
  </r>
  <r>
    <x v="10"/>
    <x v="0"/>
    <x v="8"/>
    <x v="11"/>
    <x v="13"/>
    <x v="14"/>
    <x v="13"/>
    <x v="0"/>
    <x v="1"/>
    <x v="0"/>
    <x v="1"/>
    <x v="0"/>
  </r>
  <r>
    <x v="10"/>
    <x v="0"/>
    <x v="9"/>
    <x v="11"/>
    <x v="13"/>
    <x v="14"/>
    <x v="13"/>
    <x v="0"/>
    <x v="1"/>
    <x v="0"/>
    <x v="1"/>
    <x v="0"/>
  </r>
  <r>
    <x v="11"/>
    <x v="0"/>
    <x v="0"/>
    <x v="2"/>
    <x v="5"/>
    <x v="14"/>
    <x v="2"/>
    <x v="0"/>
    <x v="1"/>
    <x v="0"/>
    <x v="1"/>
    <x v="1"/>
  </r>
  <r>
    <x v="11"/>
    <x v="0"/>
    <x v="1"/>
    <x v="2"/>
    <x v="5"/>
    <x v="14"/>
    <x v="2"/>
    <x v="0"/>
    <x v="1"/>
    <x v="1"/>
    <x v="0"/>
    <x v="1"/>
  </r>
  <r>
    <x v="11"/>
    <x v="0"/>
    <x v="2"/>
    <x v="2"/>
    <x v="5"/>
    <x v="14"/>
    <x v="2"/>
    <x v="0"/>
    <x v="1"/>
    <x v="1"/>
    <x v="0"/>
    <x v="1"/>
  </r>
  <r>
    <x v="11"/>
    <x v="0"/>
    <x v="3"/>
    <x v="2"/>
    <x v="5"/>
    <x v="14"/>
    <x v="2"/>
    <x v="0"/>
    <x v="1"/>
    <x v="1"/>
    <x v="0"/>
    <x v="1"/>
  </r>
  <r>
    <x v="11"/>
    <x v="0"/>
    <x v="4"/>
    <x v="2"/>
    <x v="5"/>
    <x v="14"/>
    <x v="2"/>
    <x v="0"/>
    <x v="1"/>
    <x v="1"/>
    <x v="0"/>
    <x v="1"/>
  </r>
  <r>
    <x v="11"/>
    <x v="0"/>
    <x v="5"/>
    <x v="2"/>
    <x v="5"/>
    <x v="14"/>
    <x v="2"/>
    <x v="0"/>
    <x v="1"/>
    <x v="1"/>
    <x v="0"/>
    <x v="1"/>
  </r>
  <r>
    <x v="11"/>
    <x v="0"/>
    <x v="6"/>
    <x v="2"/>
    <x v="5"/>
    <x v="14"/>
    <x v="2"/>
    <x v="0"/>
    <x v="1"/>
    <x v="1"/>
    <x v="0"/>
    <x v="1"/>
  </r>
  <r>
    <x v="11"/>
    <x v="0"/>
    <x v="7"/>
    <x v="2"/>
    <x v="5"/>
    <x v="14"/>
    <x v="2"/>
    <x v="0"/>
    <x v="1"/>
    <x v="1"/>
    <x v="0"/>
    <x v="1"/>
  </r>
  <r>
    <x v="11"/>
    <x v="0"/>
    <x v="8"/>
    <x v="2"/>
    <x v="5"/>
    <x v="14"/>
    <x v="2"/>
    <x v="0"/>
    <x v="1"/>
    <x v="1"/>
    <x v="0"/>
    <x v="1"/>
  </r>
  <r>
    <x v="11"/>
    <x v="0"/>
    <x v="9"/>
    <x v="2"/>
    <x v="5"/>
    <x v="14"/>
    <x v="2"/>
    <x v="0"/>
    <x v="1"/>
    <x v="1"/>
    <x v="0"/>
    <x v="1"/>
  </r>
  <r>
    <x v="11"/>
    <x v="0"/>
    <x v="10"/>
    <x v="2"/>
    <x v="5"/>
    <x v="14"/>
    <x v="2"/>
    <x v="0"/>
    <x v="1"/>
    <x v="1"/>
    <x v="0"/>
    <x v="1"/>
  </r>
  <r>
    <x v="11"/>
    <x v="0"/>
    <x v="11"/>
    <x v="2"/>
    <x v="5"/>
    <x v="14"/>
    <x v="2"/>
    <x v="0"/>
    <x v="1"/>
    <x v="1"/>
    <x v="0"/>
    <x v="1"/>
  </r>
  <r>
    <x v="11"/>
    <x v="0"/>
    <x v="12"/>
    <x v="2"/>
    <x v="5"/>
    <x v="14"/>
    <x v="2"/>
    <x v="0"/>
    <x v="1"/>
    <x v="1"/>
    <x v="0"/>
    <x v="1"/>
  </r>
  <r>
    <x v="12"/>
    <x v="0"/>
    <x v="0"/>
    <x v="1"/>
    <x v="6"/>
    <x v="13"/>
    <x v="6"/>
    <x v="0"/>
    <x v="1"/>
    <x v="1"/>
    <x v="0"/>
    <x v="1"/>
  </r>
  <r>
    <x v="12"/>
    <x v="0"/>
    <x v="1"/>
    <x v="1"/>
    <x v="6"/>
    <x v="13"/>
    <x v="6"/>
    <x v="0"/>
    <x v="1"/>
    <x v="1"/>
    <x v="0"/>
    <x v="1"/>
  </r>
  <r>
    <x v="12"/>
    <x v="0"/>
    <x v="2"/>
    <x v="1"/>
    <x v="6"/>
    <x v="13"/>
    <x v="6"/>
    <x v="0"/>
    <x v="1"/>
    <x v="1"/>
    <x v="0"/>
    <x v="1"/>
  </r>
  <r>
    <x v="12"/>
    <x v="0"/>
    <x v="3"/>
    <x v="1"/>
    <x v="6"/>
    <x v="13"/>
    <x v="6"/>
    <x v="0"/>
    <x v="1"/>
    <x v="1"/>
    <x v="0"/>
    <x v="1"/>
  </r>
  <r>
    <x v="12"/>
    <x v="0"/>
    <x v="4"/>
    <x v="1"/>
    <x v="6"/>
    <x v="13"/>
    <x v="6"/>
    <x v="0"/>
    <x v="1"/>
    <x v="1"/>
    <x v="0"/>
    <x v="1"/>
  </r>
  <r>
    <x v="12"/>
    <x v="0"/>
    <x v="5"/>
    <x v="1"/>
    <x v="6"/>
    <x v="13"/>
    <x v="6"/>
    <x v="0"/>
    <x v="1"/>
    <x v="1"/>
    <x v="0"/>
    <x v="1"/>
  </r>
  <r>
    <x v="12"/>
    <x v="0"/>
    <x v="6"/>
    <x v="1"/>
    <x v="6"/>
    <x v="13"/>
    <x v="6"/>
    <x v="0"/>
    <x v="1"/>
    <x v="1"/>
    <x v="0"/>
    <x v="1"/>
  </r>
  <r>
    <x v="12"/>
    <x v="0"/>
    <x v="7"/>
    <x v="1"/>
    <x v="6"/>
    <x v="13"/>
    <x v="6"/>
    <x v="0"/>
    <x v="1"/>
    <x v="1"/>
    <x v="0"/>
    <x v="1"/>
  </r>
  <r>
    <x v="12"/>
    <x v="0"/>
    <x v="8"/>
    <x v="1"/>
    <x v="6"/>
    <x v="13"/>
    <x v="6"/>
    <x v="0"/>
    <x v="1"/>
    <x v="1"/>
    <x v="0"/>
    <x v="1"/>
  </r>
  <r>
    <x v="13"/>
    <x v="0"/>
    <x v="0"/>
    <x v="2"/>
    <x v="8"/>
    <x v="3"/>
    <x v="11"/>
    <x v="0"/>
    <x v="1"/>
    <x v="1"/>
    <x v="0"/>
    <x v="1"/>
  </r>
  <r>
    <x v="13"/>
    <x v="0"/>
    <x v="1"/>
    <x v="2"/>
    <x v="8"/>
    <x v="3"/>
    <x v="11"/>
    <x v="0"/>
    <x v="1"/>
    <x v="1"/>
    <x v="0"/>
    <x v="1"/>
  </r>
  <r>
    <x v="13"/>
    <x v="0"/>
    <x v="2"/>
    <x v="2"/>
    <x v="8"/>
    <x v="3"/>
    <x v="11"/>
    <x v="0"/>
    <x v="1"/>
    <x v="1"/>
    <x v="0"/>
    <x v="1"/>
  </r>
  <r>
    <x v="13"/>
    <x v="0"/>
    <x v="3"/>
    <x v="2"/>
    <x v="8"/>
    <x v="3"/>
    <x v="11"/>
    <x v="0"/>
    <x v="1"/>
    <x v="1"/>
    <x v="0"/>
    <x v="1"/>
  </r>
  <r>
    <x v="13"/>
    <x v="0"/>
    <x v="4"/>
    <x v="2"/>
    <x v="8"/>
    <x v="3"/>
    <x v="11"/>
    <x v="0"/>
    <x v="1"/>
    <x v="1"/>
    <x v="0"/>
    <x v="1"/>
  </r>
  <r>
    <x v="13"/>
    <x v="0"/>
    <x v="5"/>
    <x v="2"/>
    <x v="8"/>
    <x v="3"/>
    <x v="11"/>
    <x v="0"/>
    <x v="1"/>
    <x v="1"/>
    <x v="0"/>
    <x v="1"/>
  </r>
  <r>
    <x v="13"/>
    <x v="0"/>
    <x v="6"/>
    <x v="2"/>
    <x v="8"/>
    <x v="3"/>
    <x v="11"/>
    <x v="0"/>
    <x v="1"/>
    <x v="1"/>
    <x v="0"/>
    <x v="1"/>
  </r>
  <r>
    <x v="13"/>
    <x v="0"/>
    <x v="7"/>
    <x v="2"/>
    <x v="8"/>
    <x v="3"/>
    <x v="11"/>
    <x v="0"/>
    <x v="1"/>
    <x v="1"/>
    <x v="0"/>
    <x v="1"/>
  </r>
  <r>
    <x v="13"/>
    <x v="0"/>
    <x v="8"/>
    <x v="2"/>
    <x v="8"/>
    <x v="3"/>
    <x v="11"/>
    <x v="0"/>
    <x v="1"/>
    <x v="1"/>
    <x v="0"/>
    <x v="1"/>
  </r>
  <r>
    <x v="14"/>
    <x v="0"/>
    <x v="0"/>
    <x v="9"/>
    <x v="0"/>
    <x v="11"/>
    <x v="13"/>
    <x v="0"/>
    <x v="1"/>
    <x v="1"/>
    <x v="0"/>
    <x v="1"/>
  </r>
  <r>
    <x v="14"/>
    <x v="0"/>
    <x v="1"/>
    <x v="9"/>
    <x v="0"/>
    <x v="11"/>
    <x v="13"/>
    <x v="0"/>
    <x v="1"/>
    <x v="1"/>
    <x v="0"/>
    <x v="1"/>
  </r>
  <r>
    <x v="14"/>
    <x v="0"/>
    <x v="2"/>
    <x v="9"/>
    <x v="0"/>
    <x v="11"/>
    <x v="13"/>
    <x v="0"/>
    <x v="1"/>
    <x v="1"/>
    <x v="0"/>
    <x v="1"/>
  </r>
  <r>
    <x v="14"/>
    <x v="0"/>
    <x v="3"/>
    <x v="9"/>
    <x v="0"/>
    <x v="11"/>
    <x v="13"/>
    <x v="0"/>
    <x v="1"/>
    <x v="1"/>
    <x v="0"/>
    <x v="1"/>
  </r>
  <r>
    <x v="14"/>
    <x v="0"/>
    <x v="4"/>
    <x v="9"/>
    <x v="0"/>
    <x v="11"/>
    <x v="13"/>
    <x v="0"/>
    <x v="1"/>
    <x v="1"/>
    <x v="0"/>
    <x v="1"/>
  </r>
  <r>
    <x v="14"/>
    <x v="0"/>
    <x v="5"/>
    <x v="9"/>
    <x v="0"/>
    <x v="11"/>
    <x v="13"/>
    <x v="0"/>
    <x v="1"/>
    <x v="1"/>
    <x v="0"/>
    <x v="1"/>
  </r>
  <r>
    <x v="14"/>
    <x v="0"/>
    <x v="6"/>
    <x v="9"/>
    <x v="0"/>
    <x v="11"/>
    <x v="13"/>
    <x v="0"/>
    <x v="1"/>
    <x v="1"/>
    <x v="0"/>
    <x v="1"/>
  </r>
  <r>
    <x v="14"/>
    <x v="0"/>
    <x v="7"/>
    <x v="9"/>
    <x v="0"/>
    <x v="11"/>
    <x v="13"/>
    <x v="0"/>
    <x v="1"/>
    <x v="1"/>
    <x v="0"/>
    <x v="1"/>
  </r>
  <r>
    <x v="14"/>
    <x v="0"/>
    <x v="8"/>
    <x v="9"/>
    <x v="0"/>
    <x v="11"/>
    <x v="13"/>
    <x v="0"/>
    <x v="1"/>
    <x v="1"/>
    <x v="0"/>
    <x v="1"/>
  </r>
  <r>
    <x v="14"/>
    <x v="0"/>
    <x v="9"/>
    <x v="9"/>
    <x v="0"/>
    <x v="11"/>
    <x v="13"/>
    <x v="0"/>
    <x v="1"/>
    <x v="1"/>
    <x v="0"/>
    <x v="1"/>
  </r>
  <r>
    <x v="14"/>
    <x v="0"/>
    <x v="10"/>
    <x v="9"/>
    <x v="0"/>
    <x v="11"/>
    <x v="13"/>
    <x v="0"/>
    <x v="1"/>
    <x v="1"/>
    <x v="0"/>
    <x v="1"/>
  </r>
  <r>
    <x v="14"/>
    <x v="0"/>
    <x v="11"/>
    <x v="9"/>
    <x v="0"/>
    <x v="11"/>
    <x v="13"/>
    <x v="0"/>
    <x v="1"/>
    <x v="1"/>
    <x v="0"/>
    <x v="1"/>
  </r>
  <r>
    <x v="15"/>
    <x v="0"/>
    <x v="0"/>
    <x v="12"/>
    <x v="7"/>
    <x v="2"/>
    <x v="7"/>
    <x v="0"/>
    <x v="1"/>
    <x v="1"/>
    <x v="0"/>
    <x v="1"/>
  </r>
  <r>
    <x v="15"/>
    <x v="0"/>
    <x v="1"/>
    <x v="12"/>
    <x v="7"/>
    <x v="2"/>
    <x v="7"/>
    <x v="0"/>
    <x v="1"/>
    <x v="1"/>
    <x v="0"/>
    <x v="1"/>
  </r>
  <r>
    <x v="15"/>
    <x v="0"/>
    <x v="2"/>
    <x v="12"/>
    <x v="7"/>
    <x v="2"/>
    <x v="7"/>
    <x v="0"/>
    <x v="1"/>
    <x v="1"/>
    <x v="0"/>
    <x v="1"/>
  </r>
  <r>
    <x v="15"/>
    <x v="0"/>
    <x v="3"/>
    <x v="12"/>
    <x v="7"/>
    <x v="2"/>
    <x v="7"/>
    <x v="0"/>
    <x v="1"/>
    <x v="1"/>
    <x v="0"/>
    <x v="1"/>
  </r>
  <r>
    <x v="15"/>
    <x v="0"/>
    <x v="4"/>
    <x v="12"/>
    <x v="7"/>
    <x v="2"/>
    <x v="7"/>
    <x v="0"/>
    <x v="1"/>
    <x v="1"/>
    <x v="0"/>
    <x v="1"/>
  </r>
  <r>
    <x v="15"/>
    <x v="0"/>
    <x v="5"/>
    <x v="12"/>
    <x v="7"/>
    <x v="2"/>
    <x v="7"/>
    <x v="0"/>
    <x v="1"/>
    <x v="1"/>
    <x v="0"/>
    <x v="1"/>
  </r>
  <r>
    <x v="15"/>
    <x v="0"/>
    <x v="6"/>
    <x v="12"/>
    <x v="7"/>
    <x v="2"/>
    <x v="7"/>
    <x v="0"/>
    <x v="1"/>
    <x v="1"/>
    <x v="0"/>
    <x v="1"/>
  </r>
  <r>
    <x v="15"/>
    <x v="0"/>
    <x v="7"/>
    <x v="12"/>
    <x v="7"/>
    <x v="2"/>
    <x v="7"/>
    <x v="0"/>
    <x v="1"/>
    <x v="1"/>
    <x v="0"/>
    <x v="1"/>
  </r>
  <r>
    <x v="15"/>
    <x v="0"/>
    <x v="8"/>
    <x v="12"/>
    <x v="7"/>
    <x v="2"/>
    <x v="7"/>
    <x v="0"/>
    <x v="1"/>
    <x v="1"/>
    <x v="0"/>
    <x v="1"/>
  </r>
  <r>
    <x v="15"/>
    <x v="0"/>
    <x v="9"/>
    <x v="12"/>
    <x v="7"/>
    <x v="2"/>
    <x v="7"/>
    <x v="0"/>
    <x v="1"/>
    <x v="1"/>
    <x v="0"/>
    <x v="1"/>
  </r>
  <r>
    <x v="15"/>
    <x v="0"/>
    <x v="10"/>
    <x v="12"/>
    <x v="7"/>
    <x v="2"/>
    <x v="7"/>
    <x v="0"/>
    <x v="1"/>
    <x v="1"/>
    <x v="0"/>
    <x v="1"/>
  </r>
  <r>
    <x v="15"/>
    <x v="0"/>
    <x v="11"/>
    <x v="12"/>
    <x v="7"/>
    <x v="2"/>
    <x v="7"/>
    <x v="0"/>
    <x v="1"/>
    <x v="1"/>
    <x v="0"/>
    <x v="1"/>
  </r>
  <r>
    <x v="16"/>
    <x v="0"/>
    <x v="0"/>
    <x v="2"/>
    <x v="5"/>
    <x v="9"/>
    <x v="9"/>
    <x v="0"/>
    <x v="1"/>
    <x v="1"/>
    <x v="0"/>
    <x v="1"/>
  </r>
  <r>
    <x v="16"/>
    <x v="0"/>
    <x v="1"/>
    <x v="2"/>
    <x v="5"/>
    <x v="9"/>
    <x v="9"/>
    <x v="0"/>
    <x v="1"/>
    <x v="1"/>
    <x v="0"/>
    <x v="1"/>
  </r>
  <r>
    <x v="16"/>
    <x v="0"/>
    <x v="2"/>
    <x v="2"/>
    <x v="5"/>
    <x v="9"/>
    <x v="9"/>
    <x v="0"/>
    <x v="1"/>
    <x v="1"/>
    <x v="0"/>
    <x v="1"/>
  </r>
  <r>
    <x v="16"/>
    <x v="0"/>
    <x v="3"/>
    <x v="2"/>
    <x v="5"/>
    <x v="9"/>
    <x v="9"/>
    <x v="0"/>
    <x v="1"/>
    <x v="1"/>
    <x v="0"/>
    <x v="1"/>
  </r>
  <r>
    <x v="16"/>
    <x v="0"/>
    <x v="4"/>
    <x v="2"/>
    <x v="5"/>
    <x v="9"/>
    <x v="9"/>
    <x v="0"/>
    <x v="1"/>
    <x v="1"/>
    <x v="0"/>
    <x v="1"/>
  </r>
  <r>
    <x v="16"/>
    <x v="0"/>
    <x v="5"/>
    <x v="2"/>
    <x v="5"/>
    <x v="9"/>
    <x v="9"/>
    <x v="0"/>
    <x v="1"/>
    <x v="1"/>
    <x v="0"/>
    <x v="1"/>
  </r>
  <r>
    <x v="16"/>
    <x v="0"/>
    <x v="6"/>
    <x v="2"/>
    <x v="5"/>
    <x v="9"/>
    <x v="9"/>
    <x v="0"/>
    <x v="1"/>
    <x v="1"/>
    <x v="0"/>
    <x v="1"/>
  </r>
  <r>
    <x v="16"/>
    <x v="0"/>
    <x v="7"/>
    <x v="2"/>
    <x v="5"/>
    <x v="9"/>
    <x v="9"/>
    <x v="0"/>
    <x v="1"/>
    <x v="1"/>
    <x v="0"/>
    <x v="1"/>
  </r>
  <r>
    <x v="16"/>
    <x v="0"/>
    <x v="8"/>
    <x v="2"/>
    <x v="5"/>
    <x v="9"/>
    <x v="9"/>
    <x v="0"/>
    <x v="1"/>
    <x v="1"/>
    <x v="0"/>
    <x v="1"/>
  </r>
  <r>
    <x v="16"/>
    <x v="0"/>
    <x v="9"/>
    <x v="2"/>
    <x v="5"/>
    <x v="9"/>
    <x v="9"/>
    <x v="0"/>
    <x v="1"/>
    <x v="1"/>
    <x v="0"/>
    <x v="1"/>
  </r>
  <r>
    <x v="18"/>
    <x v="0"/>
    <x v="0"/>
    <x v="8"/>
    <x v="8"/>
    <x v="7"/>
    <x v="10"/>
    <x v="0"/>
    <x v="1"/>
    <x v="1"/>
    <x v="0"/>
    <x v="1"/>
  </r>
  <r>
    <x v="18"/>
    <x v="0"/>
    <x v="1"/>
    <x v="8"/>
    <x v="8"/>
    <x v="7"/>
    <x v="10"/>
    <x v="0"/>
    <x v="1"/>
    <x v="1"/>
    <x v="0"/>
    <x v="1"/>
  </r>
  <r>
    <x v="18"/>
    <x v="0"/>
    <x v="2"/>
    <x v="8"/>
    <x v="8"/>
    <x v="7"/>
    <x v="10"/>
    <x v="0"/>
    <x v="1"/>
    <x v="1"/>
    <x v="0"/>
    <x v="1"/>
  </r>
  <r>
    <x v="18"/>
    <x v="0"/>
    <x v="3"/>
    <x v="8"/>
    <x v="8"/>
    <x v="7"/>
    <x v="10"/>
    <x v="0"/>
    <x v="1"/>
    <x v="1"/>
    <x v="0"/>
    <x v="1"/>
  </r>
  <r>
    <x v="18"/>
    <x v="0"/>
    <x v="4"/>
    <x v="8"/>
    <x v="8"/>
    <x v="7"/>
    <x v="10"/>
    <x v="0"/>
    <x v="1"/>
    <x v="1"/>
    <x v="0"/>
    <x v="1"/>
  </r>
  <r>
    <x v="18"/>
    <x v="0"/>
    <x v="5"/>
    <x v="8"/>
    <x v="8"/>
    <x v="7"/>
    <x v="10"/>
    <x v="0"/>
    <x v="1"/>
    <x v="1"/>
    <x v="0"/>
    <x v="1"/>
  </r>
  <r>
    <x v="18"/>
    <x v="0"/>
    <x v="6"/>
    <x v="8"/>
    <x v="8"/>
    <x v="7"/>
    <x v="10"/>
    <x v="0"/>
    <x v="1"/>
    <x v="1"/>
    <x v="0"/>
    <x v="1"/>
  </r>
  <r>
    <x v="18"/>
    <x v="0"/>
    <x v="7"/>
    <x v="8"/>
    <x v="8"/>
    <x v="7"/>
    <x v="10"/>
    <x v="0"/>
    <x v="1"/>
    <x v="1"/>
    <x v="0"/>
    <x v="1"/>
  </r>
  <r>
    <x v="18"/>
    <x v="0"/>
    <x v="8"/>
    <x v="8"/>
    <x v="8"/>
    <x v="7"/>
    <x v="10"/>
    <x v="0"/>
    <x v="1"/>
    <x v="1"/>
    <x v="0"/>
    <x v="1"/>
  </r>
  <r>
    <x v="18"/>
    <x v="0"/>
    <x v="9"/>
    <x v="8"/>
    <x v="8"/>
    <x v="7"/>
    <x v="10"/>
    <x v="0"/>
    <x v="1"/>
    <x v="1"/>
    <x v="0"/>
    <x v="1"/>
  </r>
  <r>
    <x v="18"/>
    <x v="0"/>
    <x v="10"/>
    <x v="8"/>
    <x v="8"/>
    <x v="7"/>
    <x v="10"/>
    <x v="0"/>
    <x v="1"/>
    <x v="1"/>
    <x v="0"/>
    <x v="1"/>
  </r>
  <r>
    <x v="18"/>
    <x v="0"/>
    <x v="11"/>
    <x v="8"/>
    <x v="8"/>
    <x v="7"/>
    <x v="10"/>
    <x v="0"/>
    <x v="1"/>
    <x v="1"/>
    <x v="0"/>
    <x v="1"/>
  </r>
  <r>
    <x v="17"/>
    <x v="0"/>
    <x v="0"/>
    <x v="6"/>
    <x v="7"/>
    <x v="8"/>
    <x v="0"/>
    <x v="0"/>
    <x v="1"/>
    <x v="1"/>
    <x v="0"/>
    <x v="1"/>
  </r>
  <r>
    <x v="17"/>
    <x v="0"/>
    <x v="1"/>
    <x v="6"/>
    <x v="7"/>
    <x v="8"/>
    <x v="0"/>
    <x v="0"/>
    <x v="1"/>
    <x v="1"/>
    <x v="0"/>
    <x v="1"/>
  </r>
  <r>
    <x v="17"/>
    <x v="0"/>
    <x v="2"/>
    <x v="6"/>
    <x v="7"/>
    <x v="8"/>
    <x v="0"/>
    <x v="0"/>
    <x v="1"/>
    <x v="1"/>
    <x v="0"/>
    <x v="1"/>
  </r>
  <r>
    <x v="17"/>
    <x v="0"/>
    <x v="3"/>
    <x v="6"/>
    <x v="7"/>
    <x v="8"/>
    <x v="0"/>
    <x v="0"/>
    <x v="1"/>
    <x v="1"/>
    <x v="0"/>
    <x v="1"/>
  </r>
  <r>
    <x v="17"/>
    <x v="0"/>
    <x v="4"/>
    <x v="6"/>
    <x v="7"/>
    <x v="8"/>
    <x v="0"/>
    <x v="0"/>
    <x v="1"/>
    <x v="1"/>
    <x v="0"/>
    <x v="1"/>
  </r>
  <r>
    <x v="17"/>
    <x v="0"/>
    <x v="5"/>
    <x v="6"/>
    <x v="7"/>
    <x v="8"/>
    <x v="0"/>
    <x v="0"/>
    <x v="1"/>
    <x v="1"/>
    <x v="0"/>
    <x v="1"/>
  </r>
  <r>
    <x v="17"/>
    <x v="0"/>
    <x v="6"/>
    <x v="6"/>
    <x v="7"/>
    <x v="8"/>
    <x v="0"/>
    <x v="0"/>
    <x v="1"/>
    <x v="1"/>
    <x v="0"/>
    <x v="1"/>
  </r>
  <r>
    <x v="17"/>
    <x v="0"/>
    <x v="7"/>
    <x v="6"/>
    <x v="7"/>
    <x v="8"/>
    <x v="0"/>
    <x v="0"/>
    <x v="1"/>
    <x v="1"/>
    <x v="0"/>
    <x v="1"/>
  </r>
  <r>
    <x v="17"/>
    <x v="0"/>
    <x v="8"/>
    <x v="6"/>
    <x v="7"/>
    <x v="8"/>
    <x v="0"/>
    <x v="0"/>
    <x v="1"/>
    <x v="1"/>
    <x v="0"/>
    <x v="1"/>
  </r>
  <r>
    <x v="17"/>
    <x v="0"/>
    <x v="9"/>
    <x v="6"/>
    <x v="7"/>
    <x v="8"/>
    <x v="0"/>
    <x v="0"/>
    <x v="1"/>
    <x v="1"/>
    <x v="0"/>
    <x v="1"/>
  </r>
  <r>
    <x v="17"/>
    <x v="0"/>
    <x v="10"/>
    <x v="6"/>
    <x v="7"/>
    <x v="8"/>
    <x v="0"/>
    <x v="0"/>
    <x v="1"/>
    <x v="1"/>
    <x v="0"/>
    <x v="1"/>
  </r>
  <r>
    <x v="17"/>
    <x v="0"/>
    <x v="11"/>
    <x v="6"/>
    <x v="7"/>
    <x v="8"/>
    <x v="0"/>
    <x v="0"/>
    <x v="1"/>
    <x v="1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6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G30:H45" firstHeaderRow="1" firstDataRow="1" firstDataCol="1"/>
  <pivotFields count="13">
    <pivotField compact="0" showAll="0" outline="0"/>
    <pivotField compact="0" showAll="0"/>
    <pivotField dataField="1" compact="0" showAll="0" outline="0"/>
    <pivotField compact="0" showAll="0" outline="0"/>
    <pivotField axis="axisRow" compact="0" showAll="0" defaultSubtotal="0" outline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showAll="0" outline="0"/>
    <pivotField compact="0" showAll="0" outline="0"/>
    <pivotField compact="0" showAll="0"/>
    <pivotField compact="0" showAll="0"/>
    <pivotField compact="0" showAll="0" outline="0"/>
    <pivotField compact="0" showAll="0" outline="0"/>
    <pivotField compact="0" showAll="0" outline="0"/>
    <pivotField compact="0" showAll="0" outline="0"/>
  </pivotFields>
  <rowFields count="1">
    <field x="4"/>
  </rowFields>
  <dataFields count="1">
    <dataField name="Cuenta de ID_PUNTO" fld="2" subtotal="countNums" numFmtId="164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Dinámica5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0:B45" firstHeaderRow="1" firstDataRow="1" firstDataCol="1"/>
  <pivotFields count="13">
    <pivotField compact="0" showAll="0" outline="0"/>
    <pivotField compact="0" showAll="0"/>
    <pivotField dataField="1" compact="0" showAll="0" outline="0"/>
    <pivotField axis="axisRow" compact="0" showAll="0" defaultSubtotal="0" outline="0">
      <items count="14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showAll="0" outline="0"/>
    <pivotField compact="0" showAll="0" outline="0"/>
    <pivotField compact="0" showAll="0" outline="0"/>
    <pivotField compact="0" showAll="0"/>
    <pivotField compact="0" showAll="0"/>
    <pivotField compact="0" showAll="0" outline="0"/>
    <pivotField compact="0" showAll="0" outline="0"/>
    <pivotField compact="0" showAll="0" outline="0"/>
    <pivotField compact="0" showAll="0" outline="0"/>
  </pivotFields>
  <rowFields count="1">
    <field x="3"/>
  </rowFields>
  <dataFields count="1">
    <dataField name="Cuenta de ID_PUNTO" fld="2" subtotal="count" numFmtId="164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aDinámica4" cacheId="2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S3:T19" firstHeaderRow="1" firstDataRow="1" firstDataCol="1"/>
  <pivotFields count="12">
    <pivotField compact="0" showAll="0" outline="0"/>
    <pivotField compact="0" showAll="0"/>
    <pivotField dataField="1"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showAll="0"/>
    <pivotField compact="0" showAll="0"/>
    <pivotField compact="0" showAll="0" outline="0"/>
    <pivotField compact="0" showAll="0" outline="0"/>
    <pivotField compact="0" showAll="0" outline="0"/>
  </pivotFields>
  <rowFields count="1">
    <field x="6"/>
  </rowFields>
  <dataFields count="1">
    <dataField name="Cuenta de ID_PUNTO" fld="2" subtotal="countNums" numFmtId="164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laDinámica3" cacheId="2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M3:N20" firstHeaderRow="1" firstDataRow="1" firstDataCol="1"/>
  <pivotFields count="12">
    <pivotField compact="0" showAll="0" outline="0"/>
    <pivotField compact="0" showAll="0"/>
    <pivotField dataField="1" compact="0" showAll="0" outline="0"/>
    <pivotField compact="0" showAll="0" outline="0"/>
    <pivotField compact="0" showAll="0" outline="0"/>
    <pivotField axis="axisRow" compact="0" showAll="0" defaultSubtotal="0" outline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showAll="0" outline="0"/>
    <pivotField compact="0" showAll="0"/>
    <pivotField compact="0" showAll="0"/>
    <pivotField compact="0" showAll="0" outline="0"/>
    <pivotField compact="0" showAll="0" outline="0"/>
    <pivotField compact="0" showAll="0" outline="0"/>
  </pivotFields>
  <rowFields count="1">
    <field x="5"/>
  </rowFields>
  <dataFields count="1">
    <dataField name="Cuenta de ID_PUNTO" fld="2" subtotal="countNums" numFmtId="164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laDinámica2" cacheId="2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G3:H19" firstHeaderRow="1" firstDataRow="1" firstDataCol="1"/>
  <pivotFields count="12">
    <pivotField compact="0" showAll="0" outline="0"/>
    <pivotField compact="0" showAll="0"/>
    <pivotField dataField="1" compact="0" showAll="0" outline="0"/>
    <pivotField compact="0" showAll="0" outline="0"/>
    <pivotField axis="axisRow" compact="0" showAll="0" defaultSubtotal="0" outline="0">
      <items count="15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"/>
      </items>
    </pivotField>
    <pivotField compact="0" showAll="0" outline="0"/>
    <pivotField compact="0" showAll="0" outline="0"/>
    <pivotField compact="0" showAll="0"/>
    <pivotField compact="0" showAll="0"/>
    <pivotField compact="0" showAll="0" outline="0"/>
    <pivotField compact="0" showAll="0" outline="0"/>
    <pivotField compact="0" showAll="0" outline="0"/>
  </pivotFields>
  <rowFields count="1">
    <field x="4"/>
  </rowFields>
  <dataFields count="1">
    <dataField name="Cuenta de ID_PUNTO" fld="2" subtotal="countNums" numFmtId="164"/>
  </dataFields>
  <pivotTableStyleInfo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TablaDinámica1" cacheId="2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19" firstHeaderRow="1" firstDataRow="1" firstDataCol="1"/>
  <pivotFields count="12">
    <pivotField compact="0" showAll="0" outline="0"/>
    <pivotField compact="0" showAll="0"/>
    <pivotField dataField="1" compact="0" showAll="0" outline="0"/>
    <pivotField axis="axisRow" compact="0" showAll="0" defaultSubtotal="0" outline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showAll="0" outline="0"/>
    <pivotField compact="0" showAll="0" outline="0"/>
    <pivotField compact="0" showAll="0" outline="0"/>
    <pivotField compact="0" showAll="0"/>
    <pivotField compact="0" showAll="0"/>
    <pivotField compact="0" showAll="0" outline="0"/>
    <pivotField compact="0" showAll="0" outline="0"/>
    <pivotField compact="0" showAll="0" outline="0"/>
  </pivotFields>
  <rowFields count="1">
    <field x="3"/>
  </rowFields>
  <dataFields count="1">
    <dataField name="Cuenta de ID_PUNTO" fld="2" subtotal="countNums" numFmtId="164"/>
  </dataFields>
  <pivotTableStyleInfo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TablaDinámica8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S30:T45" firstHeaderRow="1" firstDataRow="1" firstDataCol="1"/>
  <pivotFields count="13">
    <pivotField compact="0" showAll="0" outline="0"/>
    <pivotField compact="0" showAll="0"/>
    <pivotField dataField="1" compact="0" showAll="0" outline="0"/>
    <pivotField compact="0" showAll="0" outline="0"/>
    <pivotField compact="0" showAll="0" outline="0"/>
    <pivotField compact="0" showAll="0" outline="0"/>
    <pivotField axis="axisRow" compact="0" showAll="0" defaultSubtotal="0" outline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showAll="0"/>
    <pivotField compact="0" showAll="0"/>
    <pivotField compact="0" showAll="0" outline="0"/>
    <pivotField compact="0" showAll="0" outline="0"/>
    <pivotField compact="0" showAll="0" outline="0"/>
    <pivotField compact="0" showAll="0" outline="0"/>
  </pivotFields>
  <rowFields count="1">
    <field x="6"/>
  </rowFields>
  <dataFields count="1">
    <dataField name="Cuenta de ID_PUNTO" fld="2" subtotal="countNums" numFmtId="164"/>
  </dataFields>
  <pivotTableStyleInfo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TablaDinámica7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M30:N48" firstHeaderRow="1" firstDataRow="1" firstDataCol="1"/>
  <pivotFields count="13">
    <pivotField compact="0" showAll="0" outline="0"/>
    <pivotField compact="0" showAll="0"/>
    <pivotField dataField="1" compact="0" showAll="0" outline="0"/>
    <pivotField compact="0" showAll="0" outline="0"/>
    <pivotField compact="0" showAll="0" outline="0"/>
    <pivotField axis="axisRow" compact="0" showAll="0" defaultSubtotal="0" outline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showAll="0" outline="0"/>
    <pivotField compact="0" showAll="0"/>
    <pivotField compact="0" showAll="0"/>
    <pivotField compact="0" showAll="0" outline="0"/>
    <pivotField compact="0" showAll="0" outline="0"/>
    <pivotField compact="0" showAll="0" outline="0"/>
    <pivotField compact="0" showAll="0" outline="0"/>
  </pivotFields>
  <rowFields count="1">
    <field x="5"/>
  </rowFields>
  <dataFields count="1">
    <dataField name="Cuenta de ID_PUNTO" fld="2" subtotal="countNums" numFmtId="164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_1" displayName="Table_1" ref="A1:O988" headerRowCount="1" totalsRowCount="0" totalsRowShown="0">
  <autoFilter ref="A1:O988"/>
  <tableColumns count="15">
    <tableColumn id="1" name="ID_PARTIDO"/>
    <tableColumn id="2" name="CANCHA"/>
    <tableColumn id="3" name="ID_PUNTO"/>
    <tableColumn id="4" name="ID_JUGADOR_1_EQUIPO_1"/>
    <tableColumn id="5" name="ID_JUGADOR_2_EQUIPO_1"/>
    <tableColumn id="6" name="ID_JUGADOR_1_EQUIPO_2"/>
    <tableColumn id="7" name="ID_JUGADOR_2_EQUIPO_2"/>
    <tableColumn id="8" name="EQUIPO_1_POSICION"/>
    <tableColumn id="9" name="EQUIPO_2_POSICION"/>
    <tableColumn id="10" name="POSICION_JUGADOR_1_EQUIPO_1"/>
    <tableColumn id="11" name="POSICION_JUGADOR_2_EQUIPO_1"/>
    <tableColumn id="12" name="POSICION_JUGADOR_1_EQUIPO_2"/>
    <tableColumn id="13" name="POSICION_JUGADOR_2_EQUIPO_2"/>
    <tableColumn id="14" name="PUNTO_EQUIPO_1"/>
    <tableColumn id="15" name="PUNTO_EQUIPO_2"/>
  </tableColumns>
</table>
</file>

<file path=xl/tables/table2.xml><?xml version="1.0" encoding="utf-8"?>
<table xmlns="http://schemas.openxmlformats.org/spreadsheetml/2006/main" id="2" name="Table_2" displayName="Table_2" ref="A1:O1006" headerRowCount="1" totalsRowCount="0" totalsRowShown="0">
  <autoFilter ref="A1:O1006">
    <filterColumn colId="0">
      <filters>
        <filter val="8"/>
      </filters>
    </filterColumn>
  </autoFilter>
  <tableColumns count="15">
    <tableColumn id="1" name="ID_PARTIDO"/>
    <tableColumn id="2" name="CANCHA"/>
    <tableColumn id="3" name="ID_PUNTO"/>
    <tableColumn id="4" name="ID_JUGADOR_1_EQUIPO_1"/>
    <tableColumn id="5" name="ID_JUGADOR_2_EQUIPO_1"/>
    <tableColumn id="6" name="ID_JUGADOR_1_EQUIPO_2"/>
    <tableColumn id="7" name="ID_JUGADOR_2_EQUIPO_2"/>
    <tableColumn id="8" name="EQUIPO_1_POSICION"/>
    <tableColumn id="9" name="EQUIPO_2_POSICION"/>
    <tableColumn id="10" name="POSICION_JUGADOR_1_EQUIPO_1"/>
    <tableColumn id="11" name="POSICION_JUGADOR_2_EQUIPO_1"/>
    <tableColumn id="12" name="POSICION_JUGADOR_1_EQUIPO_2"/>
    <tableColumn id="13" name="POSICION_JUGADOR_2_EQUIPO_2"/>
    <tableColumn id="14" name="PUNTO_EQUIPO_1"/>
    <tableColumn id="15" name="PUNTO_EQUIPO_2"/>
  </tableColumns>
</table>
</file>

<file path=xl/tables/table3.xml><?xml version="1.0" encoding="utf-8"?>
<table xmlns="http://schemas.openxmlformats.org/spreadsheetml/2006/main" id="3" name="Table_3" displayName="Table_3" ref="A1:F43" headerRowCount="1" totalsRowCount="0" totalsRowShown="0">
  <tableColumns count="6">
    <tableColumn id="1" name="Partido"/>
    <tableColumn id="2" name="Equipo1_Jugador1"/>
    <tableColumn id="3" name="Equipo1_Jugador2"/>
    <tableColumn id="4" name="Equipo2_Jugador1"/>
    <tableColumn id="5" name="Equipo2_Jugador2"/>
    <tableColumn id="6" name="Cancha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421875" defaultRowHeight="15" zeroHeight="false" outlineLevelRow="0" outlineLevelCol="0"/>
  <cols>
    <col collapsed="false" customWidth="true" hidden="false" outlineLevel="0" max="1" min="1" style="0" width="12.72"/>
    <col collapsed="false" customWidth="true" hidden="false" outlineLevel="0" max="2" min="2" style="0" width="11.28"/>
    <col collapsed="false" customWidth="true" hidden="false" outlineLevel="0" max="5" min="3" style="0" width="25"/>
    <col collapsed="false" customWidth="true" hidden="false" outlineLevel="0" max="6" min="6" style="0" width="25.71"/>
    <col collapsed="false" customWidth="true" hidden="false" outlineLevel="0" max="10" min="7" style="0" width="29.71"/>
    <col collapsed="false" customWidth="true" hidden="false" outlineLevel="0" max="12" min="11" style="0" width="21.71"/>
    <col collapsed="false" customWidth="true" hidden="false" outlineLevel="0" max="26" min="13" style="0" width="10.86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</row>
    <row r="2" customFormat="false" ht="16.25" hidden="false" customHeight="false" outlineLevel="0" collapsed="false">
      <c r="A2" s="7" t="n">
        <v>1</v>
      </c>
      <c r="B2" s="7" t="n">
        <v>1</v>
      </c>
      <c r="C2" s="8" t="n">
        <v>1</v>
      </c>
      <c r="D2" s="9" t="s">
        <v>15</v>
      </c>
      <c r="E2" s="9" t="s">
        <v>16</v>
      </c>
      <c r="F2" s="9" t="s">
        <v>17</v>
      </c>
      <c r="G2" s="9" t="s">
        <v>18</v>
      </c>
      <c r="H2" s="10" t="s">
        <v>19</v>
      </c>
      <c r="I2" s="11" t="s">
        <v>20</v>
      </c>
      <c r="J2" s="12" t="s">
        <v>21</v>
      </c>
      <c r="K2" s="10" t="s">
        <v>22</v>
      </c>
      <c r="L2" s="12" t="s">
        <v>21</v>
      </c>
      <c r="M2" s="10" t="s">
        <v>22</v>
      </c>
      <c r="N2" s="7" t="n">
        <v>1</v>
      </c>
      <c r="O2" s="7" t="n">
        <v>0</v>
      </c>
    </row>
    <row r="3" customFormat="false" ht="16.25" hidden="false" customHeight="false" outlineLevel="0" collapsed="false">
      <c r="A3" s="7" t="n">
        <v>1</v>
      </c>
      <c r="B3" s="7" t="n">
        <v>1</v>
      </c>
      <c r="C3" s="7" t="n">
        <v>2</v>
      </c>
      <c r="D3" s="9" t="s">
        <v>15</v>
      </c>
      <c r="E3" s="9" t="s">
        <v>16</v>
      </c>
      <c r="F3" s="9" t="s">
        <v>17</v>
      </c>
      <c r="G3" s="9" t="s">
        <v>18</v>
      </c>
      <c r="H3" s="13" t="s">
        <v>19</v>
      </c>
      <c r="I3" s="11" t="s">
        <v>20</v>
      </c>
      <c r="J3" s="14" t="s">
        <v>21</v>
      </c>
      <c r="K3" s="13" t="s">
        <v>22</v>
      </c>
      <c r="L3" s="14" t="s">
        <v>21</v>
      </c>
      <c r="M3" s="13" t="s">
        <v>22</v>
      </c>
      <c r="N3" s="7" t="n">
        <v>1</v>
      </c>
      <c r="O3" s="7" t="n">
        <v>0</v>
      </c>
    </row>
    <row r="4" customFormat="false" ht="16.25" hidden="false" customHeight="false" outlineLevel="0" collapsed="false">
      <c r="A4" s="7" t="n">
        <v>1</v>
      </c>
      <c r="B4" s="7" t="n">
        <v>1</v>
      </c>
      <c r="C4" s="7" t="n">
        <v>3</v>
      </c>
      <c r="D4" s="9" t="s">
        <v>15</v>
      </c>
      <c r="E4" s="9" t="s">
        <v>16</v>
      </c>
      <c r="F4" s="9" t="s">
        <v>17</v>
      </c>
      <c r="G4" s="9" t="s">
        <v>18</v>
      </c>
      <c r="H4" s="10" t="s">
        <v>19</v>
      </c>
      <c r="I4" s="11" t="s">
        <v>20</v>
      </c>
      <c r="J4" s="12" t="s">
        <v>21</v>
      </c>
      <c r="K4" s="10" t="s">
        <v>22</v>
      </c>
      <c r="L4" s="12" t="s">
        <v>21</v>
      </c>
      <c r="M4" s="10" t="s">
        <v>22</v>
      </c>
      <c r="N4" s="8" t="n">
        <v>0</v>
      </c>
      <c r="O4" s="8" t="n">
        <v>1</v>
      </c>
    </row>
    <row r="5" customFormat="false" ht="16.25" hidden="false" customHeight="false" outlineLevel="0" collapsed="false">
      <c r="A5" s="8" t="n">
        <v>1</v>
      </c>
      <c r="B5" s="8" t="n">
        <v>1</v>
      </c>
      <c r="C5" s="7" t="n">
        <v>4</v>
      </c>
      <c r="D5" s="9" t="s">
        <v>15</v>
      </c>
      <c r="E5" s="9" t="s">
        <v>16</v>
      </c>
      <c r="F5" s="9" t="s">
        <v>17</v>
      </c>
      <c r="G5" s="9" t="s">
        <v>18</v>
      </c>
      <c r="H5" s="13" t="s">
        <v>19</v>
      </c>
      <c r="I5" s="11" t="s">
        <v>20</v>
      </c>
      <c r="J5" s="14" t="s">
        <v>21</v>
      </c>
      <c r="K5" s="13" t="s">
        <v>22</v>
      </c>
      <c r="L5" s="14" t="s">
        <v>21</v>
      </c>
      <c r="M5" s="13" t="s">
        <v>22</v>
      </c>
      <c r="N5" s="8" t="n">
        <v>0</v>
      </c>
      <c r="O5" s="8" t="n">
        <v>1</v>
      </c>
    </row>
    <row r="6" customFormat="false" ht="16.25" hidden="false" customHeight="false" outlineLevel="0" collapsed="false">
      <c r="A6" s="8" t="n">
        <v>1</v>
      </c>
      <c r="B6" s="8" t="n">
        <v>1</v>
      </c>
      <c r="C6" s="7" t="n">
        <v>5</v>
      </c>
      <c r="D6" s="9" t="s">
        <v>15</v>
      </c>
      <c r="E6" s="9" t="s">
        <v>16</v>
      </c>
      <c r="F6" s="9" t="s">
        <v>17</v>
      </c>
      <c r="G6" s="9" t="s">
        <v>18</v>
      </c>
      <c r="H6" s="10" t="s">
        <v>19</v>
      </c>
      <c r="I6" s="11" t="s">
        <v>20</v>
      </c>
      <c r="J6" s="12" t="s">
        <v>21</v>
      </c>
      <c r="K6" s="10" t="s">
        <v>22</v>
      </c>
      <c r="L6" s="12" t="s">
        <v>21</v>
      </c>
      <c r="M6" s="10" t="s">
        <v>22</v>
      </c>
      <c r="N6" s="8" t="n">
        <v>0</v>
      </c>
      <c r="O6" s="8" t="n">
        <v>1</v>
      </c>
    </row>
    <row r="7" customFormat="false" ht="16.25" hidden="false" customHeight="false" outlineLevel="0" collapsed="false">
      <c r="A7" s="8" t="n">
        <v>1</v>
      </c>
      <c r="B7" s="8" t="n">
        <v>1</v>
      </c>
      <c r="C7" s="7" t="n">
        <v>6</v>
      </c>
      <c r="D7" s="9" t="s">
        <v>15</v>
      </c>
      <c r="E7" s="9" t="s">
        <v>16</v>
      </c>
      <c r="F7" s="9" t="s">
        <v>17</v>
      </c>
      <c r="G7" s="9" t="s">
        <v>18</v>
      </c>
      <c r="H7" s="13" t="s">
        <v>19</v>
      </c>
      <c r="I7" s="11" t="s">
        <v>20</v>
      </c>
      <c r="J7" s="14" t="s">
        <v>21</v>
      </c>
      <c r="K7" s="13" t="s">
        <v>22</v>
      </c>
      <c r="L7" s="14" t="s">
        <v>21</v>
      </c>
      <c r="M7" s="13" t="s">
        <v>22</v>
      </c>
      <c r="N7" s="8" t="n">
        <v>1</v>
      </c>
      <c r="O7" s="8" t="n">
        <v>0</v>
      </c>
    </row>
    <row r="8" customFormat="false" ht="16.25" hidden="false" customHeight="false" outlineLevel="0" collapsed="false">
      <c r="A8" s="8" t="n">
        <v>1</v>
      </c>
      <c r="B8" s="8" t="n">
        <v>1</v>
      </c>
      <c r="C8" s="7" t="n">
        <v>7</v>
      </c>
      <c r="D8" s="9" t="s">
        <v>15</v>
      </c>
      <c r="E8" s="9" t="s">
        <v>16</v>
      </c>
      <c r="F8" s="9" t="s">
        <v>17</v>
      </c>
      <c r="G8" s="9" t="s">
        <v>18</v>
      </c>
      <c r="H8" s="10" t="s">
        <v>19</v>
      </c>
      <c r="I8" s="11" t="s">
        <v>20</v>
      </c>
      <c r="J8" s="12" t="s">
        <v>21</v>
      </c>
      <c r="K8" s="10" t="s">
        <v>22</v>
      </c>
      <c r="L8" s="12" t="s">
        <v>21</v>
      </c>
      <c r="M8" s="10" t="s">
        <v>22</v>
      </c>
      <c r="N8" s="8" t="n">
        <v>1</v>
      </c>
      <c r="O8" s="8" t="n">
        <v>0</v>
      </c>
    </row>
    <row r="9" customFormat="false" ht="16.25" hidden="false" customHeight="false" outlineLevel="0" collapsed="false">
      <c r="A9" s="8" t="n">
        <v>1</v>
      </c>
      <c r="B9" s="8" t="n">
        <v>1</v>
      </c>
      <c r="C9" s="7" t="n">
        <v>8</v>
      </c>
      <c r="D9" s="9" t="s">
        <v>15</v>
      </c>
      <c r="E9" s="9" t="s">
        <v>16</v>
      </c>
      <c r="F9" s="9" t="s">
        <v>17</v>
      </c>
      <c r="G9" s="9" t="s">
        <v>18</v>
      </c>
      <c r="H9" s="13" t="s">
        <v>19</v>
      </c>
      <c r="I9" s="11" t="s">
        <v>20</v>
      </c>
      <c r="J9" s="14" t="s">
        <v>21</v>
      </c>
      <c r="K9" s="13" t="s">
        <v>22</v>
      </c>
      <c r="L9" s="14" t="s">
        <v>21</v>
      </c>
      <c r="M9" s="13" t="s">
        <v>22</v>
      </c>
      <c r="N9" s="8" t="n">
        <v>1</v>
      </c>
      <c r="O9" s="8" t="n">
        <v>0</v>
      </c>
    </row>
    <row r="10" customFormat="false" ht="16.25" hidden="false" customHeight="false" outlineLevel="0" collapsed="false">
      <c r="A10" s="7" t="n">
        <v>1</v>
      </c>
      <c r="B10" s="7" t="n">
        <v>1</v>
      </c>
      <c r="C10" s="7" t="n">
        <v>9</v>
      </c>
      <c r="D10" s="9" t="s">
        <v>15</v>
      </c>
      <c r="E10" s="9" t="s">
        <v>16</v>
      </c>
      <c r="F10" s="9" t="s">
        <v>17</v>
      </c>
      <c r="G10" s="9" t="s">
        <v>18</v>
      </c>
      <c r="H10" s="10" t="s">
        <v>19</v>
      </c>
      <c r="I10" s="11" t="s">
        <v>20</v>
      </c>
      <c r="J10" s="12" t="s">
        <v>21</v>
      </c>
      <c r="K10" s="10" t="s">
        <v>22</v>
      </c>
      <c r="L10" s="12" t="s">
        <v>21</v>
      </c>
      <c r="M10" s="10" t="s">
        <v>22</v>
      </c>
      <c r="N10" s="8" t="n">
        <v>1</v>
      </c>
      <c r="O10" s="8" t="n">
        <v>0</v>
      </c>
    </row>
    <row r="11" customFormat="false" ht="16.25" hidden="false" customHeight="false" outlineLevel="0" collapsed="false">
      <c r="A11" s="8" t="n">
        <v>1</v>
      </c>
      <c r="B11" s="8" t="n">
        <v>1</v>
      </c>
      <c r="C11" s="7" t="n">
        <v>10</v>
      </c>
      <c r="D11" s="9" t="s">
        <v>15</v>
      </c>
      <c r="E11" s="9" t="s">
        <v>16</v>
      </c>
      <c r="F11" s="9" t="s">
        <v>17</v>
      </c>
      <c r="G11" s="9" t="s">
        <v>18</v>
      </c>
      <c r="H11" s="13" t="s">
        <v>19</v>
      </c>
      <c r="I11" s="11" t="s">
        <v>20</v>
      </c>
      <c r="J11" s="14" t="s">
        <v>21</v>
      </c>
      <c r="K11" s="13" t="s">
        <v>22</v>
      </c>
      <c r="L11" s="14" t="s">
        <v>21</v>
      </c>
      <c r="M11" s="13" t="s">
        <v>22</v>
      </c>
      <c r="N11" s="8" t="n">
        <v>0</v>
      </c>
      <c r="O11" s="8" t="n">
        <v>1</v>
      </c>
    </row>
    <row r="12" customFormat="false" ht="16.25" hidden="false" customHeight="false" outlineLevel="0" collapsed="false">
      <c r="A12" s="8" t="n">
        <v>1</v>
      </c>
      <c r="B12" s="8" t="n">
        <v>1</v>
      </c>
      <c r="C12" s="7" t="n">
        <v>11</v>
      </c>
      <c r="D12" s="9" t="s">
        <v>15</v>
      </c>
      <c r="E12" s="9" t="s">
        <v>16</v>
      </c>
      <c r="F12" s="9" t="s">
        <v>17</v>
      </c>
      <c r="G12" s="9" t="s">
        <v>18</v>
      </c>
      <c r="H12" s="10" t="s">
        <v>19</v>
      </c>
      <c r="I12" s="11" t="s">
        <v>20</v>
      </c>
      <c r="J12" s="12" t="s">
        <v>21</v>
      </c>
      <c r="K12" s="10" t="s">
        <v>22</v>
      </c>
      <c r="L12" s="12" t="s">
        <v>21</v>
      </c>
      <c r="M12" s="10" t="s">
        <v>22</v>
      </c>
      <c r="N12" s="8" t="n">
        <v>1</v>
      </c>
      <c r="O12" s="8" t="n">
        <v>0</v>
      </c>
    </row>
    <row r="13" customFormat="false" ht="16.25" hidden="false" customHeight="false" outlineLevel="0" collapsed="false">
      <c r="A13" s="7" t="n">
        <v>3</v>
      </c>
      <c r="B13" s="7" t="n">
        <v>1</v>
      </c>
      <c r="C13" s="7" t="n">
        <v>1</v>
      </c>
      <c r="D13" s="9" t="s">
        <v>23</v>
      </c>
      <c r="E13" s="9" t="s">
        <v>17</v>
      </c>
      <c r="F13" s="9" t="s">
        <v>15</v>
      </c>
      <c r="G13" s="9" t="s">
        <v>24</v>
      </c>
      <c r="H13" s="13" t="s">
        <v>19</v>
      </c>
      <c r="I13" s="11" t="s">
        <v>20</v>
      </c>
      <c r="J13" s="14" t="s">
        <v>21</v>
      </c>
      <c r="K13" s="13" t="s">
        <v>22</v>
      </c>
      <c r="L13" s="14" t="s">
        <v>21</v>
      </c>
      <c r="M13" s="13" t="s">
        <v>22</v>
      </c>
      <c r="N13" s="8" t="n">
        <v>0</v>
      </c>
      <c r="O13" s="8" t="n">
        <v>1</v>
      </c>
    </row>
    <row r="14" customFormat="false" ht="16.25" hidden="false" customHeight="false" outlineLevel="0" collapsed="false">
      <c r="A14" s="7" t="n">
        <v>3</v>
      </c>
      <c r="B14" s="7" t="n">
        <v>1</v>
      </c>
      <c r="C14" s="7" t="n">
        <v>2</v>
      </c>
      <c r="D14" s="9" t="s">
        <v>23</v>
      </c>
      <c r="E14" s="9" t="s">
        <v>17</v>
      </c>
      <c r="F14" s="9" t="s">
        <v>15</v>
      </c>
      <c r="G14" s="9" t="s">
        <v>24</v>
      </c>
      <c r="H14" s="10" t="s">
        <v>19</v>
      </c>
      <c r="I14" s="11" t="s">
        <v>20</v>
      </c>
      <c r="J14" s="12" t="s">
        <v>21</v>
      </c>
      <c r="K14" s="10" t="s">
        <v>22</v>
      </c>
      <c r="L14" s="12" t="s">
        <v>21</v>
      </c>
      <c r="M14" s="10" t="s">
        <v>22</v>
      </c>
      <c r="N14" s="8" t="n">
        <v>0</v>
      </c>
      <c r="O14" s="8" t="n">
        <v>1</v>
      </c>
    </row>
    <row r="15" customFormat="false" ht="16.25" hidden="false" customHeight="false" outlineLevel="0" collapsed="false">
      <c r="A15" s="7" t="n">
        <v>3</v>
      </c>
      <c r="B15" s="7" t="n">
        <v>1</v>
      </c>
      <c r="C15" s="7" t="n">
        <v>3</v>
      </c>
      <c r="D15" s="9" t="s">
        <v>23</v>
      </c>
      <c r="E15" s="9" t="s">
        <v>17</v>
      </c>
      <c r="F15" s="9" t="s">
        <v>15</v>
      </c>
      <c r="G15" s="9" t="s">
        <v>24</v>
      </c>
      <c r="H15" s="13" t="s">
        <v>19</v>
      </c>
      <c r="I15" s="11" t="s">
        <v>20</v>
      </c>
      <c r="J15" s="14" t="s">
        <v>21</v>
      </c>
      <c r="K15" s="13" t="s">
        <v>22</v>
      </c>
      <c r="L15" s="14" t="s">
        <v>21</v>
      </c>
      <c r="M15" s="13" t="s">
        <v>22</v>
      </c>
      <c r="N15" s="8" t="n">
        <v>1</v>
      </c>
      <c r="O15" s="8" t="n">
        <v>0</v>
      </c>
    </row>
    <row r="16" customFormat="false" ht="16.25" hidden="false" customHeight="false" outlineLevel="0" collapsed="false">
      <c r="A16" s="7" t="n">
        <v>3</v>
      </c>
      <c r="B16" s="7" t="n">
        <v>1</v>
      </c>
      <c r="C16" s="7" t="n">
        <v>4</v>
      </c>
      <c r="D16" s="9" t="s">
        <v>23</v>
      </c>
      <c r="E16" s="9" t="s">
        <v>17</v>
      </c>
      <c r="F16" s="9" t="s">
        <v>15</v>
      </c>
      <c r="G16" s="9" t="s">
        <v>24</v>
      </c>
      <c r="H16" s="10" t="s">
        <v>19</v>
      </c>
      <c r="I16" s="11" t="s">
        <v>20</v>
      </c>
      <c r="J16" s="12" t="s">
        <v>21</v>
      </c>
      <c r="K16" s="10" t="s">
        <v>22</v>
      </c>
      <c r="L16" s="12" t="s">
        <v>21</v>
      </c>
      <c r="M16" s="10" t="s">
        <v>22</v>
      </c>
      <c r="N16" s="8" t="n">
        <v>1</v>
      </c>
      <c r="O16" s="8" t="n">
        <v>0</v>
      </c>
    </row>
    <row r="17" customFormat="false" ht="16.25" hidden="false" customHeight="false" outlineLevel="0" collapsed="false">
      <c r="A17" s="7" t="n">
        <v>3</v>
      </c>
      <c r="B17" s="7" t="n">
        <v>1</v>
      </c>
      <c r="C17" s="7" t="n">
        <v>5</v>
      </c>
      <c r="D17" s="9" t="s">
        <v>23</v>
      </c>
      <c r="E17" s="9" t="s">
        <v>17</v>
      </c>
      <c r="F17" s="9" t="s">
        <v>15</v>
      </c>
      <c r="G17" s="9" t="s">
        <v>24</v>
      </c>
      <c r="H17" s="13" t="s">
        <v>19</v>
      </c>
      <c r="I17" s="11" t="s">
        <v>20</v>
      </c>
      <c r="J17" s="14" t="s">
        <v>21</v>
      </c>
      <c r="K17" s="13" t="s">
        <v>22</v>
      </c>
      <c r="L17" s="14" t="s">
        <v>21</v>
      </c>
      <c r="M17" s="13" t="s">
        <v>22</v>
      </c>
      <c r="N17" s="8" t="n">
        <v>1</v>
      </c>
      <c r="O17" s="8" t="n">
        <v>0</v>
      </c>
    </row>
    <row r="18" customFormat="false" ht="16.25" hidden="false" customHeight="false" outlineLevel="0" collapsed="false">
      <c r="A18" s="7" t="n">
        <v>3</v>
      </c>
      <c r="B18" s="7" t="n">
        <v>1</v>
      </c>
      <c r="C18" s="7" t="n">
        <v>6</v>
      </c>
      <c r="D18" s="9" t="s">
        <v>23</v>
      </c>
      <c r="E18" s="9" t="s">
        <v>17</v>
      </c>
      <c r="F18" s="9" t="s">
        <v>15</v>
      </c>
      <c r="G18" s="9" t="s">
        <v>24</v>
      </c>
      <c r="H18" s="10" t="s">
        <v>19</v>
      </c>
      <c r="I18" s="11" t="s">
        <v>20</v>
      </c>
      <c r="J18" s="12" t="s">
        <v>21</v>
      </c>
      <c r="K18" s="10" t="s">
        <v>22</v>
      </c>
      <c r="L18" s="12" t="s">
        <v>21</v>
      </c>
      <c r="M18" s="10" t="s">
        <v>22</v>
      </c>
      <c r="N18" s="8" t="n">
        <v>1</v>
      </c>
      <c r="O18" s="8" t="n">
        <v>0</v>
      </c>
    </row>
    <row r="19" customFormat="false" ht="16.25" hidden="false" customHeight="false" outlineLevel="0" collapsed="false">
      <c r="A19" s="7" t="n">
        <v>3</v>
      </c>
      <c r="B19" s="7" t="n">
        <v>1</v>
      </c>
      <c r="C19" s="7" t="n">
        <v>7</v>
      </c>
      <c r="D19" s="9" t="s">
        <v>23</v>
      </c>
      <c r="E19" s="9" t="s">
        <v>17</v>
      </c>
      <c r="F19" s="9" t="s">
        <v>15</v>
      </c>
      <c r="G19" s="9" t="s">
        <v>24</v>
      </c>
      <c r="H19" s="13" t="s">
        <v>19</v>
      </c>
      <c r="I19" s="11" t="s">
        <v>20</v>
      </c>
      <c r="J19" s="14" t="s">
        <v>21</v>
      </c>
      <c r="K19" s="13" t="s">
        <v>22</v>
      </c>
      <c r="L19" s="14" t="s">
        <v>21</v>
      </c>
      <c r="M19" s="13" t="s">
        <v>22</v>
      </c>
      <c r="N19" s="8" t="n">
        <v>0</v>
      </c>
      <c r="O19" s="8" t="n">
        <v>1</v>
      </c>
    </row>
    <row r="20" customFormat="false" ht="16.25" hidden="false" customHeight="false" outlineLevel="0" collapsed="false">
      <c r="A20" s="7" t="n">
        <v>3</v>
      </c>
      <c r="B20" s="7" t="n">
        <v>1</v>
      </c>
      <c r="C20" s="7" t="n">
        <v>8</v>
      </c>
      <c r="D20" s="9" t="s">
        <v>23</v>
      </c>
      <c r="E20" s="9" t="s">
        <v>17</v>
      </c>
      <c r="F20" s="9" t="s">
        <v>15</v>
      </c>
      <c r="G20" s="9" t="s">
        <v>24</v>
      </c>
      <c r="H20" s="10" t="s">
        <v>19</v>
      </c>
      <c r="I20" s="11" t="s">
        <v>20</v>
      </c>
      <c r="J20" s="12" t="s">
        <v>21</v>
      </c>
      <c r="K20" s="10" t="s">
        <v>22</v>
      </c>
      <c r="L20" s="12" t="s">
        <v>21</v>
      </c>
      <c r="M20" s="10" t="s">
        <v>22</v>
      </c>
      <c r="N20" s="8" t="n">
        <v>1</v>
      </c>
      <c r="O20" s="8" t="n">
        <v>0</v>
      </c>
    </row>
    <row r="21" customFormat="false" ht="15.75" hidden="false" customHeight="true" outlineLevel="0" collapsed="false">
      <c r="A21" s="7" t="n">
        <v>3</v>
      </c>
      <c r="B21" s="7" t="n">
        <v>1</v>
      </c>
      <c r="C21" s="7" t="n">
        <v>9</v>
      </c>
      <c r="D21" s="9" t="s">
        <v>23</v>
      </c>
      <c r="E21" s="9" t="s">
        <v>17</v>
      </c>
      <c r="F21" s="9" t="s">
        <v>15</v>
      </c>
      <c r="G21" s="9" t="s">
        <v>24</v>
      </c>
      <c r="H21" s="13" t="s">
        <v>19</v>
      </c>
      <c r="I21" s="11" t="s">
        <v>20</v>
      </c>
      <c r="J21" s="14" t="s">
        <v>21</v>
      </c>
      <c r="K21" s="13" t="s">
        <v>22</v>
      </c>
      <c r="L21" s="14" t="s">
        <v>21</v>
      </c>
      <c r="M21" s="13" t="s">
        <v>22</v>
      </c>
      <c r="N21" s="8" t="n">
        <v>1</v>
      </c>
      <c r="O21" s="8" t="n">
        <v>0</v>
      </c>
    </row>
    <row r="22" customFormat="false" ht="15.75" hidden="false" customHeight="true" outlineLevel="0" collapsed="false">
      <c r="A22" s="7" t="n">
        <v>3</v>
      </c>
      <c r="B22" s="7" t="n">
        <v>1</v>
      </c>
      <c r="C22" s="7" t="n">
        <v>10</v>
      </c>
      <c r="D22" s="9" t="s">
        <v>23</v>
      </c>
      <c r="E22" s="9" t="s">
        <v>17</v>
      </c>
      <c r="F22" s="9" t="s">
        <v>15</v>
      </c>
      <c r="G22" s="9" t="s">
        <v>24</v>
      </c>
      <c r="H22" s="10" t="s">
        <v>19</v>
      </c>
      <c r="I22" s="11" t="s">
        <v>20</v>
      </c>
      <c r="J22" s="12" t="s">
        <v>21</v>
      </c>
      <c r="K22" s="10" t="s">
        <v>22</v>
      </c>
      <c r="L22" s="12" t="s">
        <v>21</v>
      </c>
      <c r="M22" s="10" t="s">
        <v>22</v>
      </c>
      <c r="N22" s="8" t="n">
        <v>1</v>
      </c>
      <c r="O22" s="8" t="n">
        <v>0</v>
      </c>
    </row>
    <row r="23" customFormat="false" ht="15.75" hidden="false" customHeight="true" outlineLevel="0" collapsed="false">
      <c r="A23" s="7" t="n">
        <v>3</v>
      </c>
      <c r="B23" s="7" t="n">
        <v>1</v>
      </c>
      <c r="C23" s="7" t="n">
        <v>11</v>
      </c>
      <c r="D23" s="9" t="s">
        <v>23</v>
      </c>
      <c r="E23" s="9" t="s">
        <v>17</v>
      </c>
      <c r="F23" s="9" t="s">
        <v>15</v>
      </c>
      <c r="G23" s="9" t="s">
        <v>24</v>
      </c>
      <c r="H23" s="13" t="s">
        <v>19</v>
      </c>
      <c r="I23" s="11" t="s">
        <v>20</v>
      </c>
      <c r="J23" s="14" t="s">
        <v>21</v>
      </c>
      <c r="K23" s="13" t="s">
        <v>22</v>
      </c>
      <c r="L23" s="14" t="s">
        <v>21</v>
      </c>
      <c r="M23" s="13" t="s">
        <v>22</v>
      </c>
      <c r="N23" s="8" t="n">
        <v>1</v>
      </c>
      <c r="O23" s="8" t="n">
        <v>0</v>
      </c>
    </row>
    <row r="24" customFormat="false" ht="15.75" hidden="false" customHeight="true" outlineLevel="0" collapsed="false">
      <c r="A24" s="8" t="n">
        <v>5</v>
      </c>
      <c r="B24" s="8" t="n">
        <v>1</v>
      </c>
      <c r="C24" s="7" t="n">
        <v>1</v>
      </c>
      <c r="D24" s="9" t="s">
        <v>25</v>
      </c>
      <c r="E24" s="9" t="s">
        <v>26</v>
      </c>
      <c r="F24" s="9" t="s">
        <v>27</v>
      </c>
      <c r="G24" s="9" t="s">
        <v>28</v>
      </c>
      <c r="H24" s="10" t="s">
        <v>20</v>
      </c>
      <c r="I24" s="11" t="s">
        <v>19</v>
      </c>
      <c r="J24" s="10" t="s">
        <v>22</v>
      </c>
      <c r="K24" s="12" t="s">
        <v>21</v>
      </c>
      <c r="L24" s="10" t="s">
        <v>22</v>
      </c>
      <c r="M24" s="12" t="s">
        <v>21</v>
      </c>
      <c r="N24" s="7" t="n">
        <v>0</v>
      </c>
      <c r="O24" s="7" t="n">
        <v>1</v>
      </c>
    </row>
    <row r="25" customFormat="false" ht="15.75" hidden="false" customHeight="true" outlineLevel="0" collapsed="false">
      <c r="A25" s="7" t="n">
        <v>5</v>
      </c>
      <c r="B25" s="7" t="n">
        <v>1</v>
      </c>
      <c r="C25" s="7" t="n">
        <v>2</v>
      </c>
      <c r="D25" s="9" t="s">
        <v>25</v>
      </c>
      <c r="E25" s="9" t="s">
        <v>26</v>
      </c>
      <c r="F25" s="9" t="s">
        <v>27</v>
      </c>
      <c r="G25" s="9" t="s">
        <v>28</v>
      </c>
      <c r="H25" s="13" t="s">
        <v>20</v>
      </c>
      <c r="I25" s="11" t="s">
        <v>19</v>
      </c>
      <c r="J25" s="13" t="s">
        <v>22</v>
      </c>
      <c r="K25" s="14" t="s">
        <v>21</v>
      </c>
      <c r="L25" s="13" t="s">
        <v>22</v>
      </c>
      <c r="M25" s="14" t="s">
        <v>21</v>
      </c>
      <c r="N25" s="7" t="n">
        <v>1</v>
      </c>
      <c r="O25" s="7" t="n">
        <v>0</v>
      </c>
    </row>
    <row r="26" customFormat="false" ht="15.75" hidden="false" customHeight="true" outlineLevel="0" collapsed="false">
      <c r="A26" s="7" t="n">
        <v>5</v>
      </c>
      <c r="B26" s="7" t="n">
        <v>1</v>
      </c>
      <c r="C26" s="7" t="n">
        <v>3</v>
      </c>
      <c r="D26" s="9" t="s">
        <v>25</v>
      </c>
      <c r="E26" s="9" t="s">
        <v>26</v>
      </c>
      <c r="F26" s="9" t="s">
        <v>27</v>
      </c>
      <c r="G26" s="9" t="s">
        <v>28</v>
      </c>
      <c r="H26" s="10" t="s">
        <v>20</v>
      </c>
      <c r="I26" s="11" t="s">
        <v>19</v>
      </c>
      <c r="J26" s="10" t="s">
        <v>22</v>
      </c>
      <c r="K26" s="12" t="s">
        <v>21</v>
      </c>
      <c r="L26" s="10" t="s">
        <v>22</v>
      </c>
      <c r="M26" s="12" t="s">
        <v>21</v>
      </c>
      <c r="N26" s="7" t="n">
        <v>0</v>
      </c>
      <c r="O26" s="7" t="n">
        <v>1</v>
      </c>
    </row>
    <row r="27" customFormat="false" ht="15.75" hidden="false" customHeight="true" outlineLevel="0" collapsed="false">
      <c r="A27" s="7" t="n">
        <v>5</v>
      </c>
      <c r="B27" s="7" t="n">
        <v>1</v>
      </c>
      <c r="C27" s="7" t="n">
        <v>4</v>
      </c>
      <c r="D27" s="9" t="s">
        <v>25</v>
      </c>
      <c r="E27" s="9" t="s">
        <v>26</v>
      </c>
      <c r="F27" s="9" t="s">
        <v>27</v>
      </c>
      <c r="G27" s="9" t="s">
        <v>28</v>
      </c>
      <c r="H27" s="13" t="s">
        <v>20</v>
      </c>
      <c r="I27" s="11" t="s">
        <v>19</v>
      </c>
      <c r="J27" s="13" t="s">
        <v>22</v>
      </c>
      <c r="K27" s="14" t="s">
        <v>21</v>
      </c>
      <c r="L27" s="13" t="s">
        <v>22</v>
      </c>
      <c r="M27" s="14" t="s">
        <v>21</v>
      </c>
      <c r="N27" s="7" t="n">
        <v>1</v>
      </c>
      <c r="O27" s="7" t="n">
        <v>0</v>
      </c>
    </row>
    <row r="28" customFormat="false" ht="15.75" hidden="false" customHeight="true" outlineLevel="0" collapsed="false">
      <c r="A28" s="7" t="n">
        <v>5</v>
      </c>
      <c r="B28" s="7" t="n">
        <v>1</v>
      </c>
      <c r="C28" s="7" t="n">
        <v>5</v>
      </c>
      <c r="D28" s="9" t="s">
        <v>25</v>
      </c>
      <c r="E28" s="9" t="s">
        <v>26</v>
      </c>
      <c r="F28" s="9" t="s">
        <v>27</v>
      </c>
      <c r="G28" s="9" t="s">
        <v>28</v>
      </c>
      <c r="H28" s="10" t="s">
        <v>20</v>
      </c>
      <c r="I28" s="11" t="s">
        <v>19</v>
      </c>
      <c r="J28" s="10" t="s">
        <v>22</v>
      </c>
      <c r="K28" s="12" t="s">
        <v>21</v>
      </c>
      <c r="L28" s="10" t="s">
        <v>22</v>
      </c>
      <c r="M28" s="12" t="s">
        <v>21</v>
      </c>
      <c r="N28" s="7" t="n">
        <v>0</v>
      </c>
      <c r="O28" s="7" t="n">
        <v>1</v>
      </c>
    </row>
    <row r="29" customFormat="false" ht="15.75" hidden="false" customHeight="true" outlineLevel="0" collapsed="false">
      <c r="A29" s="7" t="n">
        <v>5</v>
      </c>
      <c r="B29" s="7" t="n">
        <v>1</v>
      </c>
      <c r="C29" s="7" t="n">
        <v>6</v>
      </c>
      <c r="D29" s="9" t="s">
        <v>25</v>
      </c>
      <c r="E29" s="9" t="s">
        <v>26</v>
      </c>
      <c r="F29" s="9" t="s">
        <v>27</v>
      </c>
      <c r="G29" s="9" t="s">
        <v>28</v>
      </c>
      <c r="H29" s="13" t="s">
        <v>20</v>
      </c>
      <c r="I29" s="11" t="s">
        <v>19</v>
      </c>
      <c r="J29" s="13" t="s">
        <v>22</v>
      </c>
      <c r="K29" s="14" t="s">
        <v>21</v>
      </c>
      <c r="L29" s="13" t="s">
        <v>22</v>
      </c>
      <c r="M29" s="14" t="s">
        <v>21</v>
      </c>
      <c r="N29" s="7" t="n">
        <v>0</v>
      </c>
      <c r="O29" s="7" t="n">
        <v>1</v>
      </c>
    </row>
    <row r="30" customFormat="false" ht="15.75" hidden="false" customHeight="true" outlineLevel="0" collapsed="false">
      <c r="A30" s="7" t="n">
        <v>5</v>
      </c>
      <c r="B30" s="7" t="n">
        <v>1</v>
      </c>
      <c r="C30" s="7" t="n">
        <v>7</v>
      </c>
      <c r="D30" s="9" t="s">
        <v>25</v>
      </c>
      <c r="E30" s="9" t="s">
        <v>26</v>
      </c>
      <c r="F30" s="9" t="s">
        <v>27</v>
      </c>
      <c r="G30" s="9" t="s">
        <v>28</v>
      </c>
      <c r="H30" s="10" t="s">
        <v>20</v>
      </c>
      <c r="I30" s="11" t="s">
        <v>19</v>
      </c>
      <c r="J30" s="10" t="s">
        <v>22</v>
      </c>
      <c r="K30" s="12" t="s">
        <v>21</v>
      </c>
      <c r="L30" s="10" t="s">
        <v>22</v>
      </c>
      <c r="M30" s="12" t="s">
        <v>21</v>
      </c>
      <c r="N30" s="7" t="n">
        <v>1</v>
      </c>
      <c r="O30" s="7" t="n">
        <v>0</v>
      </c>
    </row>
    <row r="31" customFormat="false" ht="15.75" hidden="false" customHeight="true" outlineLevel="0" collapsed="false">
      <c r="A31" s="7" t="n">
        <v>5</v>
      </c>
      <c r="B31" s="7" t="n">
        <v>1</v>
      </c>
      <c r="C31" s="7" t="n">
        <v>8</v>
      </c>
      <c r="D31" s="9" t="s">
        <v>25</v>
      </c>
      <c r="E31" s="9" t="s">
        <v>26</v>
      </c>
      <c r="F31" s="9" t="s">
        <v>27</v>
      </c>
      <c r="G31" s="9" t="s">
        <v>28</v>
      </c>
      <c r="H31" s="13" t="s">
        <v>20</v>
      </c>
      <c r="I31" s="11" t="s">
        <v>19</v>
      </c>
      <c r="J31" s="13" t="s">
        <v>22</v>
      </c>
      <c r="K31" s="14" t="s">
        <v>21</v>
      </c>
      <c r="L31" s="13" t="s">
        <v>22</v>
      </c>
      <c r="M31" s="14" t="s">
        <v>21</v>
      </c>
      <c r="N31" s="7" t="n">
        <v>1</v>
      </c>
      <c r="O31" s="7" t="n">
        <v>0</v>
      </c>
    </row>
    <row r="32" customFormat="false" ht="15.75" hidden="false" customHeight="true" outlineLevel="0" collapsed="false">
      <c r="A32" s="7" t="n">
        <v>5</v>
      </c>
      <c r="B32" s="7" t="n">
        <v>1</v>
      </c>
      <c r="C32" s="7" t="n">
        <v>9</v>
      </c>
      <c r="D32" s="9" t="s">
        <v>25</v>
      </c>
      <c r="E32" s="9" t="s">
        <v>26</v>
      </c>
      <c r="F32" s="9" t="s">
        <v>27</v>
      </c>
      <c r="G32" s="9" t="s">
        <v>28</v>
      </c>
      <c r="H32" s="10" t="s">
        <v>20</v>
      </c>
      <c r="I32" s="11" t="s">
        <v>19</v>
      </c>
      <c r="J32" s="10" t="s">
        <v>22</v>
      </c>
      <c r="K32" s="12" t="s">
        <v>21</v>
      </c>
      <c r="L32" s="10" t="s">
        <v>22</v>
      </c>
      <c r="M32" s="12" t="s">
        <v>21</v>
      </c>
      <c r="N32" s="7" t="n">
        <v>1</v>
      </c>
      <c r="O32" s="7" t="n">
        <v>0</v>
      </c>
    </row>
    <row r="33" customFormat="false" ht="15.75" hidden="false" customHeight="true" outlineLevel="0" collapsed="false">
      <c r="A33" s="7" t="n">
        <v>5</v>
      </c>
      <c r="B33" s="7" t="n">
        <v>1</v>
      </c>
      <c r="C33" s="7" t="n">
        <v>10</v>
      </c>
      <c r="D33" s="9" t="s">
        <v>25</v>
      </c>
      <c r="E33" s="9" t="s">
        <v>26</v>
      </c>
      <c r="F33" s="9" t="s">
        <v>27</v>
      </c>
      <c r="G33" s="9" t="s">
        <v>28</v>
      </c>
      <c r="H33" s="13" t="s">
        <v>20</v>
      </c>
      <c r="I33" s="11" t="s">
        <v>19</v>
      </c>
      <c r="J33" s="13" t="s">
        <v>22</v>
      </c>
      <c r="K33" s="14" t="s">
        <v>21</v>
      </c>
      <c r="L33" s="13" t="s">
        <v>22</v>
      </c>
      <c r="M33" s="14" t="s">
        <v>21</v>
      </c>
      <c r="N33" s="7" t="n">
        <v>1</v>
      </c>
      <c r="O33" s="7" t="n">
        <v>0</v>
      </c>
    </row>
    <row r="34" customFormat="false" ht="15.75" hidden="false" customHeight="true" outlineLevel="0" collapsed="false">
      <c r="A34" s="7" t="n">
        <v>5</v>
      </c>
      <c r="B34" s="7" t="n">
        <v>1</v>
      </c>
      <c r="C34" s="7" t="n">
        <v>11</v>
      </c>
      <c r="D34" s="9" t="s">
        <v>25</v>
      </c>
      <c r="E34" s="9" t="s">
        <v>26</v>
      </c>
      <c r="F34" s="9" t="s">
        <v>27</v>
      </c>
      <c r="G34" s="9" t="s">
        <v>28</v>
      </c>
      <c r="H34" s="10" t="s">
        <v>20</v>
      </c>
      <c r="I34" s="11" t="s">
        <v>19</v>
      </c>
      <c r="J34" s="10" t="s">
        <v>22</v>
      </c>
      <c r="K34" s="12" t="s">
        <v>21</v>
      </c>
      <c r="L34" s="10" t="s">
        <v>22</v>
      </c>
      <c r="M34" s="12" t="s">
        <v>21</v>
      </c>
      <c r="N34" s="7" t="n">
        <v>1</v>
      </c>
      <c r="O34" s="7" t="n">
        <v>0</v>
      </c>
    </row>
    <row r="35" customFormat="false" ht="15.75" hidden="false" customHeight="true" outlineLevel="0" collapsed="false">
      <c r="A35" s="7" t="n">
        <v>7</v>
      </c>
      <c r="B35" s="7" t="n">
        <v>1</v>
      </c>
      <c r="C35" s="7" t="n">
        <v>1</v>
      </c>
      <c r="D35" s="9" t="s">
        <v>29</v>
      </c>
      <c r="E35" s="9" t="s">
        <v>30</v>
      </c>
      <c r="F35" s="9" t="s">
        <v>31</v>
      </c>
      <c r="G35" s="9" t="s">
        <v>16</v>
      </c>
      <c r="H35" s="13" t="s">
        <v>19</v>
      </c>
      <c r="I35" s="11" t="s">
        <v>20</v>
      </c>
      <c r="J35" s="14" t="s">
        <v>21</v>
      </c>
      <c r="K35" s="13" t="s">
        <v>22</v>
      </c>
      <c r="L35" s="13" t="s">
        <v>22</v>
      </c>
      <c r="M35" s="14" t="s">
        <v>21</v>
      </c>
      <c r="N35" s="7" t="n">
        <v>0</v>
      </c>
      <c r="O35" s="7" t="n">
        <v>1</v>
      </c>
    </row>
    <row r="36" customFormat="false" ht="15.75" hidden="false" customHeight="true" outlineLevel="0" collapsed="false">
      <c r="A36" s="7" t="n">
        <v>7</v>
      </c>
      <c r="B36" s="7" t="n">
        <v>1</v>
      </c>
      <c r="C36" s="7" t="n">
        <v>2</v>
      </c>
      <c r="D36" s="9" t="s">
        <v>29</v>
      </c>
      <c r="E36" s="9" t="s">
        <v>30</v>
      </c>
      <c r="F36" s="9" t="s">
        <v>31</v>
      </c>
      <c r="G36" s="9" t="s">
        <v>16</v>
      </c>
      <c r="H36" s="10" t="s">
        <v>19</v>
      </c>
      <c r="I36" s="11" t="s">
        <v>20</v>
      </c>
      <c r="J36" s="12" t="s">
        <v>21</v>
      </c>
      <c r="K36" s="10" t="s">
        <v>22</v>
      </c>
      <c r="L36" s="10" t="s">
        <v>22</v>
      </c>
      <c r="M36" s="12" t="s">
        <v>21</v>
      </c>
      <c r="N36" s="7" t="n">
        <v>1</v>
      </c>
      <c r="O36" s="7" t="n">
        <v>0</v>
      </c>
    </row>
    <row r="37" customFormat="false" ht="15.75" hidden="false" customHeight="true" outlineLevel="0" collapsed="false">
      <c r="A37" s="7" t="n">
        <v>7</v>
      </c>
      <c r="B37" s="7" t="n">
        <v>1</v>
      </c>
      <c r="C37" s="7" t="n">
        <v>3</v>
      </c>
      <c r="D37" s="9" t="s">
        <v>29</v>
      </c>
      <c r="E37" s="9" t="s">
        <v>30</v>
      </c>
      <c r="F37" s="9" t="s">
        <v>31</v>
      </c>
      <c r="G37" s="9" t="s">
        <v>16</v>
      </c>
      <c r="H37" s="13" t="s">
        <v>19</v>
      </c>
      <c r="I37" s="11" t="s">
        <v>20</v>
      </c>
      <c r="J37" s="14" t="s">
        <v>21</v>
      </c>
      <c r="K37" s="13" t="s">
        <v>22</v>
      </c>
      <c r="L37" s="13" t="s">
        <v>22</v>
      </c>
      <c r="M37" s="14" t="s">
        <v>21</v>
      </c>
      <c r="N37" s="7" t="n">
        <v>0</v>
      </c>
      <c r="O37" s="7" t="n">
        <v>1</v>
      </c>
    </row>
    <row r="38" customFormat="false" ht="15.75" hidden="false" customHeight="true" outlineLevel="0" collapsed="false">
      <c r="A38" s="7" t="n">
        <v>7</v>
      </c>
      <c r="B38" s="7" t="n">
        <v>1</v>
      </c>
      <c r="C38" s="7" t="n">
        <v>4</v>
      </c>
      <c r="D38" s="9" t="s">
        <v>29</v>
      </c>
      <c r="E38" s="9" t="s">
        <v>30</v>
      </c>
      <c r="F38" s="9" t="s">
        <v>31</v>
      </c>
      <c r="G38" s="9" t="s">
        <v>16</v>
      </c>
      <c r="H38" s="10" t="s">
        <v>19</v>
      </c>
      <c r="I38" s="11" t="s">
        <v>20</v>
      </c>
      <c r="J38" s="12" t="s">
        <v>21</v>
      </c>
      <c r="K38" s="10" t="s">
        <v>22</v>
      </c>
      <c r="L38" s="10" t="s">
        <v>22</v>
      </c>
      <c r="M38" s="12" t="s">
        <v>21</v>
      </c>
      <c r="N38" s="7" t="n">
        <v>0</v>
      </c>
      <c r="O38" s="7" t="n">
        <v>1</v>
      </c>
    </row>
    <row r="39" customFormat="false" ht="15.75" hidden="false" customHeight="true" outlineLevel="0" collapsed="false">
      <c r="A39" s="7" t="n">
        <v>7</v>
      </c>
      <c r="B39" s="7" t="n">
        <v>1</v>
      </c>
      <c r="C39" s="7" t="n">
        <v>5</v>
      </c>
      <c r="D39" s="9" t="s">
        <v>29</v>
      </c>
      <c r="E39" s="9" t="s">
        <v>30</v>
      </c>
      <c r="F39" s="9" t="s">
        <v>31</v>
      </c>
      <c r="G39" s="9" t="s">
        <v>16</v>
      </c>
      <c r="H39" s="13" t="s">
        <v>19</v>
      </c>
      <c r="I39" s="11" t="s">
        <v>20</v>
      </c>
      <c r="J39" s="14" t="s">
        <v>21</v>
      </c>
      <c r="K39" s="13" t="s">
        <v>22</v>
      </c>
      <c r="L39" s="13" t="s">
        <v>22</v>
      </c>
      <c r="M39" s="14" t="s">
        <v>21</v>
      </c>
      <c r="N39" s="7" t="n">
        <v>0</v>
      </c>
      <c r="O39" s="7" t="n">
        <v>1</v>
      </c>
    </row>
    <row r="40" customFormat="false" ht="15.75" hidden="false" customHeight="true" outlineLevel="0" collapsed="false">
      <c r="A40" s="7" t="n">
        <v>7</v>
      </c>
      <c r="B40" s="7" t="n">
        <v>1</v>
      </c>
      <c r="C40" s="7" t="n">
        <v>6</v>
      </c>
      <c r="D40" s="9" t="s">
        <v>29</v>
      </c>
      <c r="E40" s="9" t="s">
        <v>30</v>
      </c>
      <c r="F40" s="9" t="s">
        <v>31</v>
      </c>
      <c r="G40" s="9" t="s">
        <v>16</v>
      </c>
      <c r="H40" s="10" t="s">
        <v>19</v>
      </c>
      <c r="I40" s="11" t="s">
        <v>20</v>
      </c>
      <c r="J40" s="12" t="s">
        <v>21</v>
      </c>
      <c r="K40" s="10" t="s">
        <v>22</v>
      </c>
      <c r="L40" s="10" t="s">
        <v>22</v>
      </c>
      <c r="M40" s="12" t="s">
        <v>21</v>
      </c>
      <c r="N40" s="7" t="n">
        <v>0</v>
      </c>
      <c r="O40" s="7" t="n">
        <v>1</v>
      </c>
    </row>
    <row r="41" customFormat="false" ht="15.75" hidden="false" customHeight="true" outlineLevel="0" collapsed="false">
      <c r="A41" s="7" t="n">
        <v>7</v>
      </c>
      <c r="B41" s="7" t="n">
        <v>1</v>
      </c>
      <c r="C41" s="7" t="n">
        <v>7</v>
      </c>
      <c r="D41" s="9" t="s">
        <v>29</v>
      </c>
      <c r="E41" s="9" t="s">
        <v>30</v>
      </c>
      <c r="F41" s="9" t="s">
        <v>31</v>
      </c>
      <c r="G41" s="9" t="s">
        <v>16</v>
      </c>
      <c r="H41" s="13" t="s">
        <v>19</v>
      </c>
      <c r="I41" s="11" t="s">
        <v>20</v>
      </c>
      <c r="J41" s="14" t="s">
        <v>21</v>
      </c>
      <c r="K41" s="13" t="s">
        <v>22</v>
      </c>
      <c r="L41" s="13" t="s">
        <v>22</v>
      </c>
      <c r="M41" s="14" t="s">
        <v>21</v>
      </c>
      <c r="N41" s="7" t="n">
        <v>0</v>
      </c>
      <c r="O41" s="7" t="n">
        <v>1</v>
      </c>
    </row>
    <row r="42" customFormat="false" ht="15.75" hidden="false" customHeight="true" outlineLevel="0" collapsed="false">
      <c r="A42" s="7" t="n">
        <v>7</v>
      </c>
      <c r="B42" s="7" t="n">
        <v>1</v>
      </c>
      <c r="C42" s="7" t="n">
        <v>8</v>
      </c>
      <c r="D42" s="9" t="s">
        <v>29</v>
      </c>
      <c r="E42" s="9" t="s">
        <v>30</v>
      </c>
      <c r="F42" s="9" t="s">
        <v>31</v>
      </c>
      <c r="G42" s="9" t="s">
        <v>16</v>
      </c>
      <c r="H42" s="10" t="s">
        <v>19</v>
      </c>
      <c r="I42" s="11" t="s">
        <v>20</v>
      </c>
      <c r="J42" s="12" t="s">
        <v>21</v>
      </c>
      <c r="K42" s="10" t="s">
        <v>22</v>
      </c>
      <c r="L42" s="10" t="s">
        <v>22</v>
      </c>
      <c r="M42" s="12" t="s">
        <v>21</v>
      </c>
      <c r="N42" s="7" t="n">
        <v>0</v>
      </c>
      <c r="O42" s="7" t="n">
        <v>1</v>
      </c>
    </row>
    <row r="43" customFormat="false" ht="15.75" hidden="false" customHeight="true" outlineLevel="0" collapsed="false">
      <c r="A43" s="7" t="n">
        <v>7</v>
      </c>
      <c r="B43" s="7" t="n">
        <v>1</v>
      </c>
      <c r="C43" s="7" t="n">
        <v>9</v>
      </c>
      <c r="D43" s="9" t="s">
        <v>29</v>
      </c>
      <c r="E43" s="9" t="s">
        <v>30</v>
      </c>
      <c r="F43" s="9" t="s">
        <v>31</v>
      </c>
      <c r="G43" s="9" t="s">
        <v>16</v>
      </c>
      <c r="H43" s="13" t="s">
        <v>19</v>
      </c>
      <c r="I43" s="11" t="s">
        <v>20</v>
      </c>
      <c r="J43" s="14" t="s">
        <v>21</v>
      </c>
      <c r="K43" s="13" t="s">
        <v>22</v>
      </c>
      <c r="L43" s="13" t="s">
        <v>22</v>
      </c>
      <c r="M43" s="14" t="s">
        <v>21</v>
      </c>
      <c r="N43" s="7" t="n">
        <v>1</v>
      </c>
      <c r="O43" s="7" t="n">
        <v>0</v>
      </c>
    </row>
    <row r="44" customFormat="false" ht="15.75" hidden="false" customHeight="true" outlineLevel="0" collapsed="false">
      <c r="A44" s="7" t="n">
        <v>9</v>
      </c>
      <c r="B44" s="7" t="n">
        <v>1</v>
      </c>
      <c r="C44" s="7" t="n">
        <v>1</v>
      </c>
      <c r="D44" s="9" t="s">
        <v>32</v>
      </c>
      <c r="E44" s="9" t="s">
        <v>31</v>
      </c>
      <c r="F44" s="9" t="s">
        <v>33</v>
      </c>
      <c r="G44" s="9" t="s">
        <v>34</v>
      </c>
      <c r="H44" s="10" t="s">
        <v>19</v>
      </c>
      <c r="I44" s="11" t="s">
        <v>20</v>
      </c>
      <c r="J44" s="12" t="s">
        <v>21</v>
      </c>
      <c r="K44" s="10" t="s">
        <v>22</v>
      </c>
      <c r="L44" s="12" t="s">
        <v>21</v>
      </c>
      <c r="M44" s="10" t="s">
        <v>22</v>
      </c>
      <c r="N44" s="7" t="n">
        <v>1</v>
      </c>
      <c r="O44" s="7" t="n">
        <v>0</v>
      </c>
    </row>
    <row r="45" customFormat="false" ht="15.75" hidden="false" customHeight="true" outlineLevel="0" collapsed="false">
      <c r="A45" s="7" t="n">
        <v>9</v>
      </c>
      <c r="B45" s="7" t="n">
        <v>1</v>
      </c>
      <c r="C45" s="7" t="n">
        <v>2</v>
      </c>
      <c r="D45" s="9" t="s">
        <v>32</v>
      </c>
      <c r="E45" s="9" t="s">
        <v>31</v>
      </c>
      <c r="F45" s="9" t="s">
        <v>33</v>
      </c>
      <c r="G45" s="9" t="s">
        <v>34</v>
      </c>
      <c r="H45" s="13" t="s">
        <v>19</v>
      </c>
      <c r="I45" s="11" t="s">
        <v>20</v>
      </c>
      <c r="J45" s="14" t="s">
        <v>21</v>
      </c>
      <c r="K45" s="13" t="s">
        <v>22</v>
      </c>
      <c r="L45" s="14" t="s">
        <v>21</v>
      </c>
      <c r="M45" s="13" t="s">
        <v>22</v>
      </c>
      <c r="N45" s="7" t="n">
        <v>0</v>
      </c>
      <c r="O45" s="7" t="n">
        <v>1</v>
      </c>
    </row>
    <row r="46" customFormat="false" ht="15.75" hidden="false" customHeight="true" outlineLevel="0" collapsed="false">
      <c r="A46" s="7" t="n">
        <v>9</v>
      </c>
      <c r="B46" s="7" t="n">
        <v>1</v>
      </c>
      <c r="C46" s="7" t="n">
        <v>3</v>
      </c>
      <c r="D46" s="9" t="s">
        <v>32</v>
      </c>
      <c r="E46" s="9" t="s">
        <v>31</v>
      </c>
      <c r="F46" s="9" t="s">
        <v>33</v>
      </c>
      <c r="G46" s="9" t="s">
        <v>34</v>
      </c>
      <c r="H46" s="10" t="s">
        <v>19</v>
      </c>
      <c r="I46" s="11" t="s">
        <v>20</v>
      </c>
      <c r="J46" s="12" t="s">
        <v>21</v>
      </c>
      <c r="K46" s="10" t="s">
        <v>22</v>
      </c>
      <c r="L46" s="12" t="s">
        <v>21</v>
      </c>
      <c r="M46" s="10" t="s">
        <v>22</v>
      </c>
      <c r="N46" s="7" t="n">
        <v>0</v>
      </c>
      <c r="O46" s="7" t="n">
        <v>1</v>
      </c>
    </row>
    <row r="47" customFormat="false" ht="15.75" hidden="false" customHeight="true" outlineLevel="0" collapsed="false">
      <c r="A47" s="7" t="n">
        <v>9</v>
      </c>
      <c r="B47" s="7" t="n">
        <v>1</v>
      </c>
      <c r="C47" s="7" t="n">
        <v>4</v>
      </c>
      <c r="D47" s="9" t="s">
        <v>32</v>
      </c>
      <c r="E47" s="9" t="s">
        <v>31</v>
      </c>
      <c r="F47" s="9" t="s">
        <v>33</v>
      </c>
      <c r="G47" s="9" t="s">
        <v>34</v>
      </c>
      <c r="H47" s="13" t="s">
        <v>19</v>
      </c>
      <c r="I47" s="11" t="s">
        <v>20</v>
      </c>
      <c r="J47" s="14" t="s">
        <v>21</v>
      </c>
      <c r="K47" s="13" t="s">
        <v>22</v>
      </c>
      <c r="L47" s="14" t="s">
        <v>21</v>
      </c>
      <c r="M47" s="13" t="s">
        <v>22</v>
      </c>
      <c r="N47" s="7" t="n">
        <v>1</v>
      </c>
      <c r="O47" s="7" t="n">
        <v>0</v>
      </c>
    </row>
    <row r="48" customFormat="false" ht="15.75" hidden="false" customHeight="true" outlineLevel="0" collapsed="false">
      <c r="A48" s="7" t="n">
        <v>9</v>
      </c>
      <c r="B48" s="7" t="n">
        <v>1</v>
      </c>
      <c r="C48" s="7" t="n">
        <v>5</v>
      </c>
      <c r="D48" s="9" t="s">
        <v>32</v>
      </c>
      <c r="E48" s="9" t="s">
        <v>31</v>
      </c>
      <c r="F48" s="9" t="s">
        <v>33</v>
      </c>
      <c r="G48" s="9" t="s">
        <v>34</v>
      </c>
      <c r="H48" s="10" t="s">
        <v>19</v>
      </c>
      <c r="I48" s="11" t="s">
        <v>20</v>
      </c>
      <c r="J48" s="12" t="s">
        <v>21</v>
      </c>
      <c r="K48" s="10" t="s">
        <v>22</v>
      </c>
      <c r="L48" s="12" t="s">
        <v>21</v>
      </c>
      <c r="M48" s="10" t="s">
        <v>22</v>
      </c>
      <c r="N48" s="7" t="n">
        <v>0</v>
      </c>
      <c r="O48" s="7" t="n">
        <v>1</v>
      </c>
    </row>
    <row r="49" customFormat="false" ht="15.75" hidden="false" customHeight="true" outlineLevel="0" collapsed="false">
      <c r="A49" s="7" t="n">
        <v>9</v>
      </c>
      <c r="B49" s="7" t="n">
        <v>1</v>
      </c>
      <c r="C49" s="7" t="n">
        <v>6</v>
      </c>
      <c r="D49" s="9" t="s">
        <v>32</v>
      </c>
      <c r="E49" s="9" t="s">
        <v>31</v>
      </c>
      <c r="F49" s="9" t="s">
        <v>33</v>
      </c>
      <c r="G49" s="9" t="s">
        <v>34</v>
      </c>
      <c r="H49" s="13" t="s">
        <v>19</v>
      </c>
      <c r="I49" s="11" t="s">
        <v>20</v>
      </c>
      <c r="J49" s="14" t="s">
        <v>21</v>
      </c>
      <c r="K49" s="13" t="s">
        <v>22</v>
      </c>
      <c r="L49" s="14" t="s">
        <v>21</v>
      </c>
      <c r="M49" s="13" t="s">
        <v>22</v>
      </c>
      <c r="N49" s="7" t="n">
        <v>0</v>
      </c>
      <c r="O49" s="7" t="n">
        <v>1</v>
      </c>
    </row>
    <row r="50" customFormat="false" ht="15.75" hidden="false" customHeight="true" outlineLevel="0" collapsed="false">
      <c r="A50" s="7" t="n">
        <v>9</v>
      </c>
      <c r="B50" s="7" t="n">
        <v>1</v>
      </c>
      <c r="C50" s="7" t="n">
        <v>7</v>
      </c>
      <c r="D50" s="9" t="s">
        <v>32</v>
      </c>
      <c r="E50" s="9" t="s">
        <v>31</v>
      </c>
      <c r="F50" s="9" t="s">
        <v>33</v>
      </c>
      <c r="G50" s="9" t="s">
        <v>34</v>
      </c>
      <c r="H50" s="10" t="s">
        <v>19</v>
      </c>
      <c r="I50" s="11" t="s">
        <v>20</v>
      </c>
      <c r="J50" s="12" t="s">
        <v>21</v>
      </c>
      <c r="K50" s="10" t="s">
        <v>22</v>
      </c>
      <c r="L50" s="12" t="s">
        <v>21</v>
      </c>
      <c r="M50" s="10" t="s">
        <v>22</v>
      </c>
      <c r="N50" s="7" t="n">
        <v>0</v>
      </c>
      <c r="O50" s="7" t="n">
        <v>1</v>
      </c>
    </row>
    <row r="51" customFormat="false" ht="15.75" hidden="false" customHeight="true" outlineLevel="0" collapsed="false">
      <c r="A51" s="7" t="n">
        <v>9</v>
      </c>
      <c r="B51" s="7" t="n">
        <v>1</v>
      </c>
      <c r="C51" s="7" t="n">
        <v>8</v>
      </c>
      <c r="D51" s="9" t="s">
        <v>32</v>
      </c>
      <c r="E51" s="9" t="s">
        <v>31</v>
      </c>
      <c r="F51" s="9" t="s">
        <v>33</v>
      </c>
      <c r="G51" s="9" t="s">
        <v>34</v>
      </c>
      <c r="H51" s="13" t="s">
        <v>19</v>
      </c>
      <c r="I51" s="11" t="s">
        <v>20</v>
      </c>
      <c r="J51" s="14" t="s">
        <v>21</v>
      </c>
      <c r="K51" s="13" t="s">
        <v>22</v>
      </c>
      <c r="L51" s="14" t="s">
        <v>21</v>
      </c>
      <c r="M51" s="13" t="s">
        <v>22</v>
      </c>
      <c r="N51" s="7" t="n">
        <v>0</v>
      </c>
      <c r="O51" s="7" t="n">
        <v>1</v>
      </c>
    </row>
    <row r="52" customFormat="false" ht="15.75" hidden="false" customHeight="true" outlineLevel="0" collapsed="false">
      <c r="A52" s="7" t="n">
        <v>9</v>
      </c>
      <c r="B52" s="7" t="n">
        <v>1</v>
      </c>
      <c r="C52" s="7" t="n">
        <v>9</v>
      </c>
      <c r="D52" s="9" t="s">
        <v>32</v>
      </c>
      <c r="E52" s="9" t="s">
        <v>31</v>
      </c>
      <c r="F52" s="9" t="s">
        <v>33</v>
      </c>
      <c r="G52" s="9" t="s">
        <v>34</v>
      </c>
      <c r="H52" s="10" t="s">
        <v>19</v>
      </c>
      <c r="I52" s="11" t="s">
        <v>20</v>
      </c>
      <c r="J52" s="12" t="s">
        <v>21</v>
      </c>
      <c r="K52" s="10" t="s">
        <v>22</v>
      </c>
      <c r="L52" s="12" t="s">
        <v>21</v>
      </c>
      <c r="M52" s="10" t="s">
        <v>22</v>
      </c>
      <c r="N52" s="7" t="n">
        <v>0</v>
      </c>
      <c r="O52" s="7" t="n">
        <v>1</v>
      </c>
    </row>
    <row r="53" customFormat="false" ht="15.75" hidden="false" customHeight="true" outlineLevel="0" collapsed="false">
      <c r="A53" s="7" t="n">
        <v>11</v>
      </c>
      <c r="B53" s="7" t="n">
        <v>1</v>
      </c>
      <c r="C53" s="7" t="n">
        <v>1</v>
      </c>
      <c r="D53" s="9" t="s">
        <v>31</v>
      </c>
      <c r="E53" s="9" t="s">
        <v>35</v>
      </c>
      <c r="F53" s="9" t="s">
        <v>36</v>
      </c>
      <c r="G53" s="9" t="s">
        <v>25</v>
      </c>
      <c r="H53" s="14" t="s">
        <v>19</v>
      </c>
      <c r="I53" s="11" t="s">
        <v>20</v>
      </c>
      <c r="J53" s="14" t="s">
        <v>21</v>
      </c>
      <c r="K53" s="13" t="s">
        <v>22</v>
      </c>
      <c r="L53" s="13" t="s">
        <v>22</v>
      </c>
      <c r="M53" s="14" t="s">
        <v>21</v>
      </c>
      <c r="N53" s="15" t="n">
        <v>0</v>
      </c>
      <c r="O53" s="7" t="n">
        <v>1</v>
      </c>
    </row>
    <row r="54" customFormat="false" ht="15.75" hidden="false" customHeight="true" outlineLevel="0" collapsed="false">
      <c r="A54" s="7" t="n">
        <v>11</v>
      </c>
      <c r="B54" s="7" t="n">
        <v>1</v>
      </c>
      <c r="C54" s="7" t="n">
        <v>2</v>
      </c>
      <c r="D54" s="9" t="s">
        <v>31</v>
      </c>
      <c r="E54" s="9" t="s">
        <v>35</v>
      </c>
      <c r="F54" s="9" t="s">
        <v>36</v>
      </c>
      <c r="G54" s="9" t="s">
        <v>25</v>
      </c>
      <c r="H54" s="12" t="s">
        <v>19</v>
      </c>
      <c r="I54" s="11" t="s">
        <v>20</v>
      </c>
      <c r="J54" s="12" t="s">
        <v>21</v>
      </c>
      <c r="K54" s="10" t="s">
        <v>22</v>
      </c>
      <c r="L54" s="10" t="s">
        <v>22</v>
      </c>
      <c r="M54" s="12" t="s">
        <v>21</v>
      </c>
      <c r="N54" s="7" t="n">
        <v>1</v>
      </c>
      <c r="O54" s="7" t="n">
        <v>0</v>
      </c>
    </row>
    <row r="55" customFormat="false" ht="15.75" hidden="false" customHeight="true" outlineLevel="0" collapsed="false">
      <c r="A55" s="7" t="n">
        <v>11</v>
      </c>
      <c r="B55" s="7" t="n">
        <v>1</v>
      </c>
      <c r="C55" s="7" t="n">
        <v>3</v>
      </c>
      <c r="D55" s="9" t="s">
        <v>31</v>
      </c>
      <c r="E55" s="9" t="s">
        <v>35</v>
      </c>
      <c r="F55" s="9" t="s">
        <v>36</v>
      </c>
      <c r="G55" s="9" t="s">
        <v>25</v>
      </c>
      <c r="H55" s="14" t="s">
        <v>19</v>
      </c>
      <c r="I55" s="11" t="s">
        <v>20</v>
      </c>
      <c r="J55" s="14" t="s">
        <v>21</v>
      </c>
      <c r="K55" s="13" t="s">
        <v>22</v>
      </c>
      <c r="L55" s="13" t="s">
        <v>22</v>
      </c>
      <c r="M55" s="14" t="s">
        <v>21</v>
      </c>
      <c r="N55" s="7" t="n">
        <v>1</v>
      </c>
      <c r="O55" s="7" t="n">
        <v>0</v>
      </c>
    </row>
    <row r="56" customFormat="false" ht="15.75" hidden="false" customHeight="true" outlineLevel="0" collapsed="false">
      <c r="A56" s="7" t="n">
        <v>11</v>
      </c>
      <c r="B56" s="7" t="n">
        <v>1</v>
      </c>
      <c r="C56" s="7" t="n">
        <v>4</v>
      </c>
      <c r="D56" s="9" t="s">
        <v>31</v>
      </c>
      <c r="E56" s="9" t="s">
        <v>35</v>
      </c>
      <c r="F56" s="9" t="s">
        <v>36</v>
      </c>
      <c r="G56" s="9" t="s">
        <v>25</v>
      </c>
      <c r="H56" s="12" t="s">
        <v>19</v>
      </c>
      <c r="I56" s="11" t="s">
        <v>20</v>
      </c>
      <c r="J56" s="12" t="s">
        <v>21</v>
      </c>
      <c r="K56" s="10" t="s">
        <v>22</v>
      </c>
      <c r="L56" s="10" t="s">
        <v>22</v>
      </c>
      <c r="M56" s="12" t="s">
        <v>21</v>
      </c>
      <c r="N56" s="7" t="n">
        <v>0</v>
      </c>
      <c r="O56" s="7" t="n">
        <v>1</v>
      </c>
    </row>
    <row r="57" customFormat="false" ht="15.75" hidden="false" customHeight="true" outlineLevel="0" collapsed="false">
      <c r="A57" s="7" t="n">
        <v>11</v>
      </c>
      <c r="B57" s="7" t="n">
        <v>1</v>
      </c>
      <c r="C57" s="7" t="n">
        <v>5</v>
      </c>
      <c r="D57" s="9" t="s">
        <v>31</v>
      </c>
      <c r="E57" s="9" t="s">
        <v>35</v>
      </c>
      <c r="F57" s="9" t="s">
        <v>36</v>
      </c>
      <c r="G57" s="9" t="s">
        <v>25</v>
      </c>
      <c r="H57" s="14" t="s">
        <v>19</v>
      </c>
      <c r="I57" s="11" t="s">
        <v>20</v>
      </c>
      <c r="J57" s="14" t="s">
        <v>21</v>
      </c>
      <c r="K57" s="13" t="s">
        <v>22</v>
      </c>
      <c r="L57" s="13" t="s">
        <v>22</v>
      </c>
      <c r="M57" s="14" t="s">
        <v>21</v>
      </c>
      <c r="N57" s="7" t="n">
        <v>0</v>
      </c>
      <c r="O57" s="7" t="n">
        <v>1</v>
      </c>
    </row>
    <row r="58" customFormat="false" ht="15.75" hidden="false" customHeight="true" outlineLevel="0" collapsed="false">
      <c r="A58" s="7" t="n">
        <v>11</v>
      </c>
      <c r="B58" s="7" t="n">
        <v>1</v>
      </c>
      <c r="C58" s="7" t="n">
        <v>6</v>
      </c>
      <c r="D58" s="9" t="s">
        <v>31</v>
      </c>
      <c r="E58" s="9" t="s">
        <v>35</v>
      </c>
      <c r="F58" s="9" t="s">
        <v>36</v>
      </c>
      <c r="G58" s="9" t="s">
        <v>25</v>
      </c>
      <c r="H58" s="12" t="s">
        <v>19</v>
      </c>
      <c r="I58" s="11" t="s">
        <v>20</v>
      </c>
      <c r="J58" s="12" t="s">
        <v>21</v>
      </c>
      <c r="K58" s="10" t="s">
        <v>22</v>
      </c>
      <c r="L58" s="10" t="s">
        <v>22</v>
      </c>
      <c r="M58" s="12" t="s">
        <v>21</v>
      </c>
      <c r="N58" s="7" t="n">
        <v>0</v>
      </c>
      <c r="O58" s="7" t="n">
        <v>1</v>
      </c>
    </row>
    <row r="59" customFormat="false" ht="15.75" hidden="false" customHeight="true" outlineLevel="0" collapsed="false">
      <c r="A59" s="7" t="n">
        <v>11</v>
      </c>
      <c r="B59" s="7" t="n">
        <v>1</v>
      </c>
      <c r="C59" s="7" t="n">
        <v>7</v>
      </c>
      <c r="D59" s="9" t="s">
        <v>31</v>
      </c>
      <c r="E59" s="9" t="s">
        <v>35</v>
      </c>
      <c r="F59" s="9" t="s">
        <v>36</v>
      </c>
      <c r="G59" s="9" t="s">
        <v>25</v>
      </c>
      <c r="H59" s="14" t="s">
        <v>19</v>
      </c>
      <c r="I59" s="11" t="s">
        <v>20</v>
      </c>
      <c r="J59" s="14" t="s">
        <v>21</v>
      </c>
      <c r="K59" s="13" t="s">
        <v>22</v>
      </c>
      <c r="L59" s="13" t="s">
        <v>22</v>
      </c>
      <c r="M59" s="14" t="s">
        <v>21</v>
      </c>
      <c r="N59" s="7" t="n">
        <v>0</v>
      </c>
      <c r="O59" s="7" t="n">
        <v>1</v>
      </c>
    </row>
    <row r="60" customFormat="false" ht="15.75" hidden="false" customHeight="true" outlineLevel="0" collapsed="false">
      <c r="A60" s="7" t="n">
        <v>11</v>
      </c>
      <c r="B60" s="7" t="n">
        <v>1</v>
      </c>
      <c r="C60" s="7" t="n">
        <v>8</v>
      </c>
      <c r="D60" s="9" t="s">
        <v>31</v>
      </c>
      <c r="E60" s="9" t="s">
        <v>35</v>
      </c>
      <c r="F60" s="9" t="s">
        <v>36</v>
      </c>
      <c r="G60" s="9" t="s">
        <v>25</v>
      </c>
      <c r="H60" s="12" t="s">
        <v>19</v>
      </c>
      <c r="I60" s="11" t="s">
        <v>20</v>
      </c>
      <c r="J60" s="12" t="s">
        <v>21</v>
      </c>
      <c r="K60" s="10" t="s">
        <v>22</v>
      </c>
      <c r="L60" s="10" t="s">
        <v>22</v>
      </c>
      <c r="M60" s="12" t="s">
        <v>21</v>
      </c>
      <c r="N60" s="7" t="n">
        <v>0</v>
      </c>
      <c r="O60" s="7" t="n">
        <v>1</v>
      </c>
    </row>
    <row r="61" customFormat="false" ht="15.75" hidden="false" customHeight="true" outlineLevel="0" collapsed="false">
      <c r="A61" s="7" t="n">
        <v>11</v>
      </c>
      <c r="B61" s="7" t="n">
        <v>1</v>
      </c>
      <c r="C61" s="7" t="n">
        <v>9</v>
      </c>
      <c r="D61" s="9" t="s">
        <v>31</v>
      </c>
      <c r="E61" s="9" t="s">
        <v>35</v>
      </c>
      <c r="F61" s="9" t="s">
        <v>36</v>
      </c>
      <c r="G61" s="9" t="s">
        <v>25</v>
      </c>
      <c r="H61" s="14" t="s">
        <v>19</v>
      </c>
      <c r="I61" s="11" t="s">
        <v>20</v>
      </c>
      <c r="J61" s="14" t="s">
        <v>21</v>
      </c>
      <c r="K61" s="13" t="s">
        <v>22</v>
      </c>
      <c r="L61" s="13" t="s">
        <v>22</v>
      </c>
      <c r="M61" s="14" t="s">
        <v>21</v>
      </c>
      <c r="N61" s="7" t="n">
        <v>0</v>
      </c>
      <c r="O61" s="7" t="n">
        <v>1</v>
      </c>
    </row>
    <row r="62" customFormat="false" ht="15.75" hidden="false" customHeight="true" outlineLevel="0" collapsed="false">
      <c r="A62" s="7" t="n">
        <v>13</v>
      </c>
      <c r="B62" s="7" t="n">
        <v>1</v>
      </c>
      <c r="C62" s="7" t="n">
        <v>1</v>
      </c>
      <c r="D62" s="9" t="s">
        <v>17</v>
      </c>
      <c r="E62" s="9" t="s">
        <v>37</v>
      </c>
      <c r="F62" s="9" t="s">
        <v>38</v>
      </c>
      <c r="G62" s="9" t="s">
        <v>39</v>
      </c>
      <c r="H62" s="12" t="s">
        <v>19</v>
      </c>
      <c r="I62" s="11" t="s">
        <v>20</v>
      </c>
      <c r="J62" s="12" t="s">
        <v>21</v>
      </c>
      <c r="K62" s="10" t="s">
        <v>22</v>
      </c>
      <c r="L62" s="10" t="s">
        <v>22</v>
      </c>
      <c r="M62" s="12" t="s">
        <v>21</v>
      </c>
      <c r="N62" s="16" t="n">
        <v>1</v>
      </c>
      <c r="O62" s="7" t="n">
        <v>0</v>
      </c>
    </row>
    <row r="63" customFormat="false" ht="15.75" hidden="false" customHeight="true" outlineLevel="0" collapsed="false">
      <c r="A63" s="7" t="n">
        <v>13</v>
      </c>
      <c r="B63" s="7" t="n">
        <v>1</v>
      </c>
      <c r="C63" s="7" t="n">
        <v>2</v>
      </c>
      <c r="D63" s="9" t="s">
        <v>17</v>
      </c>
      <c r="E63" s="9" t="s">
        <v>37</v>
      </c>
      <c r="F63" s="9" t="s">
        <v>38</v>
      </c>
      <c r="G63" s="9" t="s">
        <v>39</v>
      </c>
      <c r="H63" s="14" t="s">
        <v>19</v>
      </c>
      <c r="I63" s="11" t="s">
        <v>20</v>
      </c>
      <c r="J63" s="14" t="s">
        <v>21</v>
      </c>
      <c r="K63" s="13" t="s">
        <v>22</v>
      </c>
      <c r="L63" s="13" t="s">
        <v>22</v>
      </c>
      <c r="M63" s="14" t="s">
        <v>21</v>
      </c>
      <c r="N63" s="7" t="n">
        <v>1</v>
      </c>
      <c r="O63" s="7" t="n">
        <v>0</v>
      </c>
    </row>
    <row r="64" customFormat="false" ht="15.75" hidden="false" customHeight="true" outlineLevel="0" collapsed="false">
      <c r="A64" s="7" t="n">
        <v>13</v>
      </c>
      <c r="B64" s="7" t="n">
        <v>1</v>
      </c>
      <c r="C64" s="7" t="n">
        <v>3</v>
      </c>
      <c r="D64" s="9" t="s">
        <v>17</v>
      </c>
      <c r="E64" s="9" t="s">
        <v>37</v>
      </c>
      <c r="F64" s="9" t="s">
        <v>38</v>
      </c>
      <c r="G64" s="9" t="s">
        <v>39</v>
      </c>
      <c r="H64" s="12" t="s">
        <v>19</v>
      </c>
      <c r="I64" s="11" t="s">
        <v>20</v>
      </c>
      <c r="J64" s="12" t="s">
        <v>21</v>
      </c>
      <c r="K64" s="10" t="s">
        <v>22</v>
      </c>
      <c r="L64" s="10" t="s">
        <v>22</v>
      </c>
      <c r="M64" s="12" t="s">
        <v>21</v>
      </c>
      <c r="N64" s="7" t="n">
        <v>1</v>
      </c>
      <c r="O64" s="7" t="n">
        <v>0</v>
      </c>
    </row>
    <row r="65" customFormat="false" ht="15.75" hidden="false" customHeight="true" outlineLevel="0" collapsed="false">
      <c r="A65" s="7" t="n">
        <v>13</v>
      </c>
      <c r="B65" s="7" t="n">
        <v>1</v>
      </c>
      <c r="C65" s="7" t="n">
        <v>4</v>
      </c>
      <c r="D65" s="9" t="s">
        <v>17</v>
      </c>
      <c r="E65" s="9" t="s">
        <v>37</v>
      </c>
      <c r="F65" s="9" t="s">
        <v>38</v>
      </c>
      <c r="G65" s="9" t="s">
        <v>39</v>
      </c>
      <c r="H65" s="14" t="s">
        <v>19</v>
      </c>
      <c r="I65" s="11" t="s">
        <v>20</v>
      </c>
      <c r="J65" s="14" t="s">
        <v>21</v>
      </c>
      <c r="K65" s="13" t="s">
        <v>22</v>
      </c>
      <c r="L65" s="13" t="s">
        <v>22</v>
      </c>
      <c r="M65" s="14" t="s">
        <v>21</v>
      </c>
      <c r="N65" s="7" t="n">
        <v>1</v>
      </c>
      <c r="O65" s="7" t="n">
        <v>0</v>
      </c>
    </row>
    <row r="66" customFormat="false" ht="15.75" hidden="false" customHeight="true" outlineLevel="0" collapsed="false">
      <c r="A66" s="7" t="n">
        <v>13</v>
      </c>
      <c r="B66" s="7" t="n">
        <v>1</v>
      </c>
      <c r="C66" s="7" t="n">
        <v>5</v>
      </c>
      <c r="D66" s="9" t="s">
        <v>17</v>
      </c>
      <c r="E66" s="9" t="s">
        <v>37</v>
      </c>
      <c r="F66" s="9" t="s">
        <v>38</v>
      </c>
      <c r="G66" s="9" t="s">
        <v>39</v>
      </c>
      <c r="H66" s="12" t="s">
        <v>19</v>
      </c>
      <c r="I66" s="11" t="s">
        <v>20</v>
      </c>
      <c r="J66" s="12" t="s">
        <v>21</v>
      </c>
      <c r="K66" s="10" t="s">
        <v>22</v>
      </c>
      <c r="L66" s="10" t="s">
        <v>22</v>
      </c>
      <c r="M66" s="12" t="s">
        <v>21</v>
      </c>
      <c r="N66" s="7" t="n">
        <v>0</v>
      </c>
      <c r="O66" s="7" t="n">
        <v>1</v>
      </c>
    </row>
    <row r="67" customFormat="false" ht="15.75" hidden="false" customHeight="true" outlineLevel="0" collapsed="false">
      <c r="A67" s="7" t="n">
        <v>13</v>
      </c>
      <c r="B67" s="7" t="n">
        <v>1</v>
      </c>
      <c r="C67" s="7" t="n">
        <v>6</v>
      </c>
      <c r="D67" s="9" t="s">
        <v>17</v>
      </c>
      <c r="E67" s="9" t="s">
        <v>37</v>
      </c>
      <c r="F67" s="9" t="s">
        <v>38</v>
      </c>
      <c r="G67" s="9" t="s">
        <v>39</v>
      </c>
      <c r="H67" s="14" t="s">
        <v>19</v>
      </c>
      <c r="I67" s="11" t="s">
        <v>20</v>
      </c>
      <c r="J67" s="14" t="s">
        <v>21</v>
      </c>
      <c r="K67" s="13" t="s">
        <v>22</v>
      </c>
      <c r="L67" s="13" t="s">
        <v>22</v>
      </c>
      <c r="M67" s="14" t="s">
        <v>21</v>
      </c>
      <c r="N67" s="7" t="n">
        <v>1</v>
      </c>
      <c r="O67" s="7" t="n">
        <v>0</v>
      </c>
    </row>
    <row r="68" customFormat="false" ht="15.75" hidden="false" customHeight="true" outlineLevel="0" collapsed="false">
      <c r="A68" s="7" t="n">
        <v>13</v>
      </c>
      <c r="B68" s="7" t="n">
        <v>1</v>
      </c>
      <c r="C68" s="7" t="n">
        <v>7</v>
      </c>
      <c r="D68" s="9" t="s">
        <v>17</v>
      </c>
      <c r="E68" s="9" t="s">
        <v>37</v>
      </c>
      <c r="F68" s="9" t="s">
        <v>38</v>
      </c>
      <c r="G68" s="9" t="s">
        <v>39</v>
      </c>
      <c r="H68" s="12" t="s">
        <v>19</v>
      </c>
      <c r="I68" s="11" t="s">
        <v>20</v>
      </c>
      <c r="J68" s="12" t="s">
        <v>21</v>
      </c>
      <c r="K68" s="10" t="s">
        <v>22</v>
      </c>
      <c r="L68" s="10" t="s">
        <v>22</v>
      </c>
      <c r="M68" s="12" t="s">
        <v>21</v>
      </c>
      <c r="N68" s="7" t="n">
        <v>0</v>
      </c>
      <c r="O68" s="7" t="n">
        <v>1</v>
      </c>
    </row>
    <row r="69" customFormat="false" ht="15.75" hidden="false" customHeight="true" outlineLevel="0" collapsed="false">
      <c r="A69" s="7" t="n">
        <v>13</v>
      </c>
      <c r="B69" s="7" t="n">
        <v>1</v>
      </c>
      <c r="C69" s="7" t="n">
        <v>8</v>
      </c>
      <c r="D69" s="9" t="s">
        <v>17</v>
      </c>
      <c r="E69" s="9" t="s">
        <v>37</v>
      </c>
      <c r="F69" s="9" t="s">
        <v>38</v>
      </c>
      <c r="G69" s="9" t="s">
        <v>39</v>
      </c>
      <c r="H69" s="14" t="s">
        <v>19</v>
      </c>
      <c r="I69" s="11" t="s">
        <v>20</v>
      </c>
      <c r="J69" s="14" t="s">
        <v>21</v>
      </c>
      <c r="K69" s="13" t="s">
        <v>22</v>
      </c>
      <c r="L69" s="13" t="s">
        <v>22</v>
      </c>
      <c r="M69" s="14" t="s">
        <v>21</v>
      </c>
      <c r="N69" s="7" t="n">
        <v>1</v>
      </c>
      <c r="O69" s="7" t="n">
        <v>0</v>
      </c>
    </row>
    <row r="70" customFormat="false" ht="15.75" hidden="false" customHeight="true" outlineLevel="0" collapsed="false">
      <c r="A70" s="7" t="n">
        <v>13</v>
      </c>
      <c r="B70" s="7" t="n">
        <v>1</v>
      </c>
      <c r="C70" s="7" t="n">
        <v>9</v>
      </c>
      <c r="D70" s="9" t="s">
        <v>17</v>
      </c>
      <c r="E70" s="9" t="s">
        <v>37</v>
      </c>
      <c r="F70" s="9" t="s">
        <v>38</v>
      </c>
      <c r="G70" s="9" t="s">
        <v>39</v>
      </c>
      <c r="H70" s="12" t="s">
        <v>19</v>
      </c>
      <c r="I70" s="11" t="s">
        <v>20</v>
      </c>
      <c r="J70" s="12" t="s">
        <v>21</v>
      </c>
      <c r="K70" s="10" t="s">
        <v>22</v>
      </c>
      <c r="L70" s="10" t="s">
        <v>22</v>
      </c>
      <c r="M70" s="12" t="s">
        <v>21</v>
      </c>
      <c r="N70" s="7" t="n">
        <v>0</v>
      </c>
      <c r="O70" s="7" t="n">
        <v>1</v>
      </c>
    </row>
    <row r="71" customFormat="false" ht="15.75" hidden="false" customHeight="true" outlineLevel="0" collapsed="false">
      <c r="A71" s="7" t="n">
        <v>13</v>
      </c>
      <c r="B71" s="7" t="n">
        <v>1</v>
      </c>
      <c r="C71" s="7" t="n">
        <v>10</v>
      </c>
      <c r="D71" s="9" t="s">
        <v>17</v>
      </c>
      <c r="E71" s="9" t="s">
        <v>37</v>
      </c>
      <c r="F71" s="9" t="s">
        <v>38</v>
      </c>
      <c r="G71" s="9" t="s">
        <v>39</v>
      </c>
      <c r="H71" s="14" t="s">
        <v>19</v>
      </c>
      <c r="I71" s="11" t="s">
        <v>20</v>
      </c>
      <c r="J71" s="14" t="s">
        <v>21</v>
      </c>
      <c r="K71" s="13" t="s">
        <v>22</v>
      </c>
      <c r="L71" s="13" t="s">
        <v>22</v>
      </c>
      <c r="M71" s="14" t="s">
        <v>21</v>
      </c>
      <c r="N71" s="7" t="n">
        <v>0</v>
      </c>
      <c r="O71" s="7" t="n">
        <v>1</v>
      </c>
    </row>
    <row r="72" customFormat="false" ht="15.75" hidden="false" customHeight="true" outlineLevel="0" collapsed="false">
      <c r="A72" s="7" t="n">
        <v>13</v>
      </c>
      <c r="B72" s="7" t="n">
        <v>1</v>
      </c>
      <c r="C72" s="7" t="n">
        <v>11</v>
      </c>
      <c r="D72" s="9" t="s">
        <v>17</v>
      </c>
      <c r="E72" s="9" t="s">
        <v>37</v>
      </c>
      <c r="F72" s="9" t="s">
        <v>38</v>
      </c>
      <c r="G72" s="9" t="s">
        <v>39</v>
      </c>
      <c r="H72" s="12" t="s">
        <v>19</v>
      </c>
      <c r="I72" s="11" t="s">
        <v>20</v>
      </c>
      <c r="J72" s="12" t="s">
        <v>21</v>
      </c>
      <c r="K72" s="10" t="s">
        <v>22</v>
      </c>
      <c r="L72" s="10" t="s">
        <v>22</v>
      </c>
      <c r="M72" s="12" t="s">
        <v>21</v>
      </c>
      <c r="N72" s="7" t="n">
        <v>1</v>
      </c>
      <c r="O72" s="7" t="n">
        <v>0</v>
      </c>
    </row>
    <row r="73" customFormat="false" ht="15.75" hidden="false" customHeight="true" outlineLevel="0" collapsed="false">
      <c r="A73" s="7" t="n">
        <v>15</v>
      </c>
      <c r="B73" s="7" t="n">
        <v>1</v>
      </c>
      <c r="C73" s="7" t="n">
        <v>1</v>
      </c>
      <c r="D73" s="9" t="s">
        <v>40</v>
      </c>
      <c r="E73" s="9" t="s">
        <v>41</v>
      </c>
      <c r="F73" s="9" t="s">
        <v>33</v>
      </c>
      <c r="G73" s="9" t="s">
        <v>36</v>
      </c>
      <c r="H73" s="13" t="s">
        <v>19</v>
      </c>
      <c r="I73" s="11" t="s">
        <v>20</v>
      </c>
      <c r="J73" s="13" t="s">
        <v>22</v>
      </c>
      <c r="K73" s="14" t="s">
        <v>21</v>
      </c>
      <c r="L73" s="14" t="s">
        <v>21</v>
      </c>
      <c r="M73" s="13" t="s">
        <v>22</v>
      </c>
      <c r="N73" s="17" t="n">
        <v>1</v>
      </c>
      <c r="O73" s="7" t="n">
        <v>0</v>
      </c>
    </row>
    <row r="74" customFormat="false" ht="15.75" hidden="false" customHeight="true" outlineLevel="0" collapsed="false">
      <c r="A74" s="7" t="n">
        <v>15</v>
      </c>
      <c r="B74" s="7" t="n">
        <v>1</v>
      </c>
      <c r="C74" s="7" t="n">
        <v>2</v>
      </c>
      <c r="D74" s="9" t="s">
        <v>40</v>
      </c>
      <c r="E74" s="9" t="s">
        <v>41</v>
      </c>
      <c r="F74" s="9" t="s">
        <v>33</v>
      </c>
      <c r="G74" s="9" t="s">
        <v>36</v>
      </c>
      <c r="H74" s="10" t="s">
        <v>19</v>
      </c>
      <c r="I74" s="11" t="s">
        <v>20</v>
      </c>
      <c r="J74" s="10" t="s">
        <v>22</v>
      </c>
      <c r="K74" s="12" t="s">
        <v>21</v>
      </c>
      <c r="L74" s="12" t="s">
        <v>21</v>
      </c>
      <c r="M74" s="10" t="s">
        <v>22</v>
      </c>
      <c r="N74" s="7" t="n">
        <v>1</v>
      </c>
      <c r="O74" s="7" t="n">
        <v>0</v>
      </c>
    </row>
    <row r="75" customFormat="false" ht="15.75" hidden="false" customHeight="true" outlineLevel="0" collapsed="false">
      <c r="A75" s="7" t="n">
        <v>15</v>
      </c>
      <c r="B75" s="7" t="n">
        <v>1</v>
      </c>
      <c r="C75" s="7" t="n">
        <v>3</v>
      </c>
      <c r="D75" s="9" t="s">
        <v>40</v>
      </c>
      <c r="E75" s="9" t="s">
        <v>41</v>
      </c>
      <c r="F75" s="9" t="s">
        <v>33</v>
      </c>
      <c r="G75" s="9" t="s">
        <v>36</v>
      </c>
      <c r="H75" s="13" t="s">
        <v>19</v>
      </c>
      <c r="I75" s="11" t="s">
        <v>20</v>
      </c>
      <c r="J75" s="13" t="s">
        <v>22</v>
      </c>
      <c r="K75" s="14" t="s">
        <v>21</v>
      </c>
      <c r="L75" s="14" t="s">
        <v>21</v>
      </c>
      <c r="M75" s="13" t="s">
        <v>22</v>
      </c>
      <c r="N75" s="7" t="n">
        <v>1</v>
      </c>
      <c r="O75" s="7" t="n">
        <v>0</v>
      </c>
    </row>
    <row r="76" customFormat="false" ht="15.75" hidden="false" customHeight="true" outlineLevel="0" collapsed="false">
      <c r="A76" s="7" t="n">
        <v>15</v>
      </c>
      <c r="B76" s="7" t="n">
        <v>1</v>
      </c>
      <c r="C76" s="7" t="n">
        <v>4</v>
      </c>
      <c r="D76" s="9" t="s">
        <v>40</v>
      </c>
      <c r="E76" s="9" t="s">
        <v>41</v>
      </c>
      <c r="F76" s="9" t="s">
        <v>33</v>
      </c>
      <c r="G76" s="9" t="s">
        <v>36</v>
      </c>
      <c r="H76" s="10" t="s">
        <v>19</v>
      </c>
      <c r="I76" s="11" t="s">
        <v>20</v>
      </c>
      <c r="J76" s="10" t="s">
        <v>22</v>
      </c>
      <c r="K76" s="12" t="s">
        <v>21</v>
      </c>
      <c r="L76" s="12" t="s">
        <v>21</v>
      </c>
      <c r="M76" s="10" t="s">
        <v>22</v>
      </c>
      <c r="N76" s="7" t="n">
        <v>1</v>
      </c>
      <c r="O76" s="7" t="n">
        <v>0</v>
      </c>
    </row>
    <row r="77" customFormat="false" ht="15.75" hidden="false" customHeight="true" outlineLevel="0" collapsed="false">
      <c r="A77" s="7" t="n">
        <v>15</v>
      </c>
      <c r="B77" s="7" t="n">
        <v>1</v>
      </c>
      <c r="C77" s="7" t="n">
        <v>5</v>
      </c>
      <c r="D77" s="9" t="s">
        <v>40</v>
      </c>
      <c r="E77" s="9" t="s">
        <v>41</v>
      </c>
      <c r="F77" s="9" t="s">
        <v>33</v>
      </c>
      <c r="G77" s="9" t="s">
        <v>36</v>
      </c>
      <c r="H77" s="13" t="s">
        <v>19</v>
      </c>
      <c r="I77" s="11" t="s">
        <v>20</v>
      </c>
      <c r="J77" s="13" t="s">
        <v>22</v>
      </c>
      <c r="K77" s="14" t="s">
        <v>21</v>
      </c>
      <c r="L77" s="14" t="s">
        <v>21</v>
      </c>
      <c r="M77" s="13" t="s">
        <v>22</v>
      </c>
      <c r="N77" s="7" t="n">
        <v>0</v>
      </c>
      <c r="O77" s="7" t="n">
        <v>1</v>
      </c>
    </row>
    <row r="78" customFormat="false" ht="15.75" hidden="false" customHeight="true" outlineLevel="0" collapsed="false">
      <c r="A78" s="7" t="n">
        <v>15</v>
      </c>
      <c r="B78" s="7" t="n">
        <v>1</v>
      </c>
      <c r="C78" s="7" t="n">
        <v>6</v>
      </c>
      <c r="D78" s="9" t="s">
        <v>40</v>
      </c>
      <c r="E78" s="9" t="s">
        <v>41</v>
      </c>
      <c r="F78" s="9" t="s">
        <v>33</v>
      </c>
      <c r="G78" s="9" t="s">
        <v>36</v>
      </c>
      <c r="H78" s="10" t="s">
        <v>19</v>
      </c>
      <c r="I78" s="11" t="s">
        <v>20</v>
      </c>
      <c r="J78" s="10" t="s">
        <v>22</v>
      </c>
      <c r="K78" s="12" t="s">
        <v>21</v>
      </c>
      <c r="L78" s="12" t="s">
        <v>21</v>
      </c>
      <c r="M78" s="10" t="s">
        <v>22</v>
      </c>
      <c r="N78" s="7" t="n">
        <v>0</v>
      </c>
      <c r="O78" s="7" t="n">
        <v>1</v>
      </c>
    </row>
    <row r="79" customFormat="false" ht="15.75" hidden="false" customHeight="true" outlineLevel="0" collapsed="false">
      <c r="A79" s="7" t="n">
        <v>15</v>
      </c>
      <c r="B79" s="7" t="n">
        <v>1</v>
      </c>
      <c r="C79" s="7" t="n">
        <v>7</v>
      </c>
      <c r="D79" s="9" t="s">
        <v>40</v>
      </c>
      <c r="E79" s="9" t="s">
        <v>41</v>
      </c>
      <c r="F79" s="9" t="s">
        <v>33</v>
      </c>
      <c r="G79" s="9" t="s">
        <v>36</v>
      </c>
      <c r="H79" s="13" t="s">
        <v>19</v>
      </c>
      <c r="I79" s="11" t="s">
        <v>20</v>
      </c>
      <c r="J79" s="13" t="s">
        <v>22</v>
      </c>
      <c r="K79" s="14" t="s">
        <v>21</v>
      </c>
      <c r="L79" s="14" t="s">
        <v>21</v>
      </c>
      <c r="M79" s="13" t="s">
        <v>22</v>
      </c>
      <c r="N79" s="7" t="n">
        <v>1</v>
      </c>
      <c r="O79" s="7" t="n">
        <v>0</v>
      </c>
    </row>
    <row r="80" customFormat="false" ht="15.75" hidden="false" customHeight="true" outlineLevel="0" collapsed="false">
      <c r="A80" s="7" t="n">
        <v>15</v>
      </c>
      <c r="B80" s="7" t="n">
        <v>1</v>
      </c>
      <c r="C80" s="7" t="n">
        <v>8</v>
      </c>
      <c r="D80" s="9" t="s">
        <v>40</v>
      </c>
      <c r="E80" s="9" t="s">
        <v>41</v>
      </c>
      <c r="F80" s="9" t="s">
        <v>33</v>
      </c>
      <c r="G80" s="9" t="s">
        <v>36</v>
      </c>
      <c r="H80" s="10" t="s">
        <v>19</v>
      </c>
      <c r="I80" s="11" t="s">
        <v>20</v>
      </c>
      <c r="J80" s="10" t="s">
        <v>22</v>
      </c>
      <c r="K80" s="12" t="s">
        <v>21</v>
      </c>
      <c r="L80" s="12" t="s">
        <v>21</v>
      </c>
      <c r="M80" s="10" t="s">
        <v>22</v>
      </c>
      <c r="N80" s="7" t="n">
        <v>1</v>
      </c>
      <c r="O80" s="7" t="n">
        <v>0</v>
      </c>
    </row>
    <row r="81" customFormat="false" ht="15.75" hidden="false" customHeight="true" outlineLevel="0" collapsed="false">
      <c r="A81" s="7" t="n">
        <v>15</v>
      </c>
      <c r="B81" s="7" t="n">
        <v>1</v>
      </c>
      <c r="C81" s="7" t="n">
        <v>9</v>
      </c>
      <c r="D81" s="9" t="s">
        <v>40</v>
      </c>
      <c r="E81" s="9" t="s">
        <v>41</v>
      </c>
      <c r="F81" s="9" t="s">
        <v>33</v>
      </c>
      <c r="G81" s="9" t="s">
        <v>36</v>
      </c>
      <c r="H81" s="13" t="s">
        <v>19</v>
      </c>
      <c r="I81" s="11" t="s">
        <v>20</v>
      </c>
      <c r="J81" s="13" t="s">
        <v>22</v>
      </c>
      <c r="K81" s="14" t="s">
        <v>21</v>
      </c>
      <c r="L81" s="14" t="s">
        <v>21</v>
      </c>
      <c r="M81" s="13" t="s">
        <v>22</v>
      </c>
      <c r="N81" s="7" t="n">
        <v>0</v>
      </c>
      <c r="O81" s="7" t="n">
        <v>1</v>
      </c>
    </row>
    <row r="82" customFormat="false" ht="15.75" hidden="false" customHeight="true" outlineLevel="0" collapsed="false">
      <c r="A82" s="7" t="n">
        <v>15</v>
      </c>
      <c r="B82" s="7" t="n">
        <v>1</v>
      </c>
      <c r="C82" s="7" t="n">
        <v>10</v>
      </c>
      <c r="D82" s="9" t="s">
        <v>40</v>
      </c>
      <c r="E82" s="9" t="s">
        <v>41</v>
      </c>
      <c r="F82" s="9" t="s">
        <v>33</v>
      </c>
      <c r="G82" s="9" t="s">
        <v>36</v>
      </c>
      <c r="H82" s="10" t="s">
        <v>19</v>
      </c>
      <c r="I82" s="11" t="s">
        <v>20</v>
      </c>
      <c r="J82" s="10" t="s">
        <v>22</v>
      </c>
      <c r="K82" s="12" t="s">
        <v>21</v>
      </c>
      <c r="L82" s="12" t="s">
        <v>21</v>
      </c>
      <c r="M82" s="10" t="s">
        <v>22</v>
      </c>
      <c r="N82" s="7" t="n">
        <v>0</v>
      </c>
      <c r="O82" s="7" t="n">
        <v>1</v>
      </c>
    </row>
    <row r="83" customFormat="false" ht="15.75" hidden="false" customHeight="true" outlineLevel="0" collapsed="false">
      <c r="A83" s="7" t="n">
        <v>15</v>
      </c>
      <c r="B83" s="7" t="n">
        <v>1</v>
      </c>
      <c r="C83" s="7" t="n">
        <v>11</v>
      </c>
      <c r="D83" s="9" t="s">
        <v>40</v>
      </c>
      <c r="E83" s="9" t="s">
        <v>41</v>
      </c>
      <c r="F83" s="9" t="s">
        <v>33</v>
      </c>
      <c r="G83" s="9" t="s">
        <v>36</v>
      </c>
      <c r="H83" s="13" t="s">
        <v>19</v>
      </c>
      <c r="I83" s="11" t="s">
        <v>20</v>
      </c>
      <c r="J83" s="13" t="s">
        <v>22</v>
      </c>
      <c r="K83" s="14" t="s">
        <v>21</v>
      </c>
      <c r="L83" s="14" t="s">
        <v>21</v>
      </c>
      <c r="M83" s="13" t="s">
        <v>22</v>
      </c>
      <c r="N83" s="7" t="n">
        <v>1</v>
      </c>
      <c r="O83" s="7" t="n">
        <v>0</v>
      </c>
    </row>
    <row r="84" customFormat="false" ht="15.75" hidden="false" customHeight="true" outlineLevel="0" collapsed="false">
      <c r="A84" s="7" t="n">
        <v>17</v>
      </c>
      <c r="B84" s="7" t="n">
        <v>1</v>
      </c>
      <c r="C84" s="7" t="n">
        <v>1</v>
      </c>
      <c r="D84" s="9" t="s">
        <v>23</v>
      </c>
      <c r="E84" s="9" t="s">
        <v>18</v>
      </c>
      <c r="F84" s="9" t="s">
        <v>25</v>
      </c>
      <c r="G84" s="9" t="s">
        <v>35</v>
      </c>
      <c r="H84" s="10" t="s">
        <v>19</v>
      </c>
      <c r="I84" s="11" t="s">
        <v>20</v>
      </c>
      <c r="J84" s="12" t="s">
        <v>21</v>
      </c>
      <c r="K84" s="10" t="s">
        <v>22</v>
      </c>
      <c r="L84" s="12" t="s">
        <v>21</v>
      </c>
      <c r="M84" s="10" t="s">
        <v>22</v>
      </c>
      <c r="N84" s="18" t="n">
        <v>1</v>
      </c>
      <c r="O84" s="7" t="n">
        <v>0</v>
      </c>
    </row>
    <row r="85" customFormat="false" ht="15.75" hidden="false" customHeight="true" outlineLevel="0" collapsed="false">
      <c r="A85" s="7" t="n">
        <v>17</v>
      </c>
      <c r="B85" s="7" t="n">
        <v>1</v>
      </c>
      <c r="C85" s="7" t="n">
        <v>2</v>
      </c>
      <c r="D85" s="9" t="s">
        <v>23</v>
      </c>
      <c r="E85" s="9" t="s">
        <v>18</v>
      </c>
      <c r="F85" s="9" t="s">
        <v>25</v>
      </c>
      <c r="G85" s="9" t="s">
        <v>35</v>
      </c>
      <c r="H85" s="13" t="s">
        <v>19</v>
      </c>
      <c r="I85" s="11" t="s">
        <v>20</v>
      </c>
      <c r="J85" s="14" t="s">
        <v>21</v>
      </c>
      <c r="K85" s="13" t="s">
        <v>22</v>
      </c>
      <c r="L85" s="14" t="s">
        <v>21</v>
      </c>
      <c r="M85" s="13" t="s">
        <v>22</v>
      </c>
      <c r="N85" s="7" t="n">
        <v>1</v>
      </c>
      <c r="O85" s="7" t="n">
        <v>0</v>
      </c>
    </row>
    <row r="86" customFormat="false" ht="15.75" hidden="false" customHeight="true" outlineLevel="0" collapsed="false">
      <c r="A86" s="7" t="n">
        <v>17</v>
      </c>
      <c r="B86" s="7" t="n">
        <v>1</v>
      </c>
      <c r="C86" s="7" t="n">
        <v>3</v>
      </c>
      <c r="D86" s="9" t="s">
        <v>23</v>
      </c>
      <c r="E86" s="9" t="s">
        <v>18</v>
      </c>
      <c r="F86" s="9" t="s">
        <v>25</v>
      </c>
      <c r="G86" s="9" t="s">
        <v>35</v>
      </c>
      <c r="H86" s="10" t="s">
        <v>19</v>
      </c>
      <c r="I86" s="11" t="s">
        <v>20</v>
      </c>
      <c r="J86" s="12" t="s">
        <v>21</v>
      </c>
      <c r="K86" s="10" t="s">
        <v>22</v>
      </c>
      <c r="L86" s="12" t="s">
        <v>21</v>
      </c>
      <c r="M86" s="10" t="s">
        <v>22</v>
      </c>
      <c r="N86" s="7" t="n">
        <v>1</v>
      </c>
      <c r="O86" s="7" t="n">
        <v>0</v>
      </c>
    </row>
    <row r="87" customFormat="false" ht="15.75" hidden="false" customHeight="true" outlineLevel="0" collapsed="false">
      <c r="A87" s="7" t="n">
        <v>17</v>
      </c>
      <c r="B87" s="7" t="n">
        <v>1</v>
      </c>
      <c r="C87" s="7" t="n">
        <v>4</v>
      </c>
      <c r="D87" s="9" t="s">
        <v>23</v>
      </c>
      <c r="E87" s="9" t="s">
        <v>18</v>
      </c>
      <c r="F87" s="9" t="s">
        <v>25</v>
      </c>
      <c r="G87" s="9" t="s">
        <v>35</v>
      </c>
      <c r="H87" s="13" t="s">
        <v>19</v>
      </c>
      <c r="I87" s="11" t="s">
        <v>20</v>
      </c>
      <c r="J87" s="14" t="s">
        <v>21</v>
      </c>
      <c r="K87" s="13" t="s">
        <v>22</v>
      </c>
      <c r="L87" s="14" t="s">
        <v>21</v>
      </c>
      <c r="M87" s="13" t="s">
        <v>22</v>
      </c>
      <c r="N87" s="7" t="n">
        <v>1</v>
      </c>
      <c r="O87" s="7" t="n">
        <v>0</v>
      </c>
    </row>
    <row r="88" customFormat="false" ht="15.75" hidden="false" customHeight="true" outlineLevel="0" collapsed="false">
      <c r="A88" s="7" t="n">
        <v>17</v>
      </c>
      <c r="B88" s="7" t="n">
        <v>1</v>
      </c>
      <c r="C88" s="7" t="n">
        <v>5</v>
      </c>
      <c r="D88" s="9" t="s">
        <v>23</v>
      </c>
      <c r="E88" s="9" t="s">
        <v>18</v>
      </c>
      <c r="F88" s="9" t="s">
        <v>25</v>
      </c>
      <c r="G88" s="9" t="s">
        <v>35</v>
      </c>
      <c r="H88" s="10" t="s">
        <v>19</v>
      </c>
      <c r="I88" s="11" t="s">
        <v>20</v>
      </c>
      <c r="J88" s="12" t="s">
        <v>21</v>
      </c>
      <c r="K88" s="10" t="s">
        <v>22</v>
      </c>
      <c r="L88" s="12" t="s">
        <v>21</v>
      </c>
      <c r="M88" s="10" t="s">
        <v>22</v>
      </c>
      <c r="N88" s="7" t="n">
        <v>1</v>
      </c>
      <c r="O88" s="7" t="n">
        <v>0</v>
      </c>
    </row>
    <row r="89" customFormat="false" ht="15.75" hidden="false" customHeight="true" outlineLevel="0" collapsed="false">
      <c r="A89" s="7" t="n">
        <v>17</v>
      </c>
      <c r="B89" s="7" t="n">
        <v>1</v>
      </c>
      <c r="C89" s="7" t="n">
        <v>6</v>
      </c>
      <c r="D89" s="9" t="s">
        <v>23</v>
      </c>
      <c r="E89" s="9" t="s">
        <v>18</v>
      </c>
      <c r="F89" s="9" t="s">
        <v>25</v>
      </c>
      <c r="G89" s="9" t="s">
        <v>35</v>
      </c>
      <c r="H89" s="13" t="s">
        <v>19</v>
      </c>
      <c r="I89" s="11" t="s">
        <v>20</v>
      </c>
      <c r="J89" s="14" t="s">
        <v>21</v>
      </c>
      <c r="K89" s="13" t="s">
        <v>22</v>
      </c>
      <c r="L89" s="14" t="s">
        <v>21</v>
      </c>
      <c r="M89" s="13" t="s">
        <v>22</v>
      </c>
      <c r="N89" s="7" t="n">
        <v>1</v>
      </c>
      <c r="O89" s="7" t="n">
        <v>0</v>
      </c>
    </row>
    <row r="90" customFormat="false" ht="15.75" hidden="false" customHeight="true" outlineLevel="0" collapsed="false">
      <c r="A90" s="7" t="n">
        <v>17</v>
      </c>
      <c r="B90" s="7" t="n">
        <v>1</v>
      </c>
      <c r="C90" s="7" t="n">
        <v>7</v>
      </c>
      <c r="D90" s="9" t="s">
        <v>23</v>
      </c>
      <c r="E90" s="9" t="s">
        <v>18</v>
      </c>
      <c r="F90" s="9" t="s">
        <v>25</v>
      </c>
      <c r="G90" s="9" t="s">
        <v>35</v>
      </c>
      <c r="H90" s="10" t="s">
        <v>19</v>
      </c>
      <c r="I90" s="11" t="s">
        <v>20</v>
      </c>
      <c r="J90" s="12" t="s">
        <v>21</v>
      </c>
      <c r="K90" s="10" t="s">
        <v>22</v>
      </c>
      <c r="L90" s="12" t="s">
        <v>21</v>
      </c>
      <c r="M90" s="10" t="s">
        <v>22</v>
      </c>
      <c r="N90" s="7" t="n">
        <v>0</v>
      </c>
      <c r="O90" s="7" t="n">
        <v>1</v>
      </c>
    </row>
    <row r="91" customFormat="false" ht="15.75" hidden="false" customHeight="true" outlineLevel="0" collapsed="false">
      <c r="A91" s="7" t="n">
        <v>17</v>
      </c>
      <c r="B91" s="7" t="n">
        <v>1</v>
      </c>
      <c r="C91" s="7" t="n">
        <v>8</v>
      </c>
      <c r="D91" s="9" t="s">
        <v>23</v>
      </c>
      <c r="E91" s="9" t="s">
        <v>18</v>
      </c>
      <c r="F91" s="9" t="s">
        <v>25</v>
      </c>
      <c r="G91" s="9" t="s">
        <v>35</v>
      </c>
      <c r="H91" s="13" t="s">
        <v>19</v>
      </c>
      <c r="I91" s="11" t="s">
        <v>20</v>
      </c>
      <c r="J91" s="14" t="s">
        <v>21</v>
      </c>
      <c r="K91" s="13" t="s">
        <v>22</v>
      </c>
      <c r="L91" s="14" t="s">
        <v>21</v>
      </c>
      <c r="M91" s="13" t="s">
        <v>22</v>
      </c>
      <c r="N91" s="7" t="n">
        <v>0</v>
      </c>
      <c r="O91" s="7" t="n">
        <v>1</v>
      </c>
    </row>
    <row r="92" customFormat="false" ht="15.75" hidden="false" customHeight="true" outlineLevel="0" collapsed="false">
      <c r="A92" s="7" t="n">
        <v>17</v>
      </c>
      <c r="B92" s="7" t="n">
        <v>1</v>
      </c>
      <c r="C92" s="7" t="n">
        <v>9</v>
      </c>
      <c r="D92" s="9" t="s">
        <v>23</v>
      </c>
      <c r="E92" s="9" t="s">
        <v>18</v>
      </c>
      <c r="F92" s="9" t="s">
        <v>25</v>
      </c>
      <c r="G92" s="9" t="s">
        <v>35</v>
      </c>
      <c r="H92" s="10" t="s">
        <v>19</v>
      </c>
      <c r="I92" s="11" t="s">
        <v>20</v>
      </c>
      <c r="J92" s="12" t="s">
        <v>21</v>
      </c>
      <c r="K92" s="10" t="s">
        <v>22</v>
      </c>
      <c r="L92" s="12" t="s">
        <v>21</v>
      </c>
      <c r="M92" s="10" t="s">
        <v>22</v>
      </c>
      <c r="N92" s="7" t="n">
        <v>1</v>
      </c>
      <c r="O92" s="7" t="n">
        <v>0</v>
      </c>
    </row>
    <row r="93" customFormat="false" ht="15.75" hidden="false" customHeight="true" outlineLevel="0" collapsed="false">
      <c r="A93" s="7" t="n">
        <v>19</v>
      </c>
      <c r="B93" s="7" t="n">
        <v>1</v>
      </c>
      <c r="C93" s="7" t="n">
        <v>1</v>
      </c>
      <c r="D93" s="9" t="s">
        <v>42</v>
      </c>
      <c r="E93" s="9" t="s">
        <v>41</v>
      </c>
      <c r="F93" s="9" t="s">
        <v>27</v>
      </c>
      <c r="G93" s="9" t="s">
        <v>43</v>
      </c>
      <c r="H93" s="13" t="s">
        <v>19</v>
      </c>
      <c r="I93" s="11" t="s">
        <v>20</v>
      </c>
      <c r="J93" s="14" t="s">
        <v>21</v>
      </c>
      <c r="K93" s="13" t="s">
        <v>22</v>
      </c>
      <c r="L93" s="14" t="s">
        <v>21</v>
      </c>
      <c r="M93" s="13" t="s">
        <v>22</v>
      </c>
      <c r="N93" s="15" t="n">
        <v>1</v>
      </c>
      <c r="O93" s="7" t="n">
        <v>0</v>
      </c>
    </row>
    <row r="94" customFormat="false" ht="15.75" hidden="false" customHeight="true" outlineLevel="0" collapsed="false">
      <c r="A94" s="7" t="n">
        <v>19</v>
      </c>
      <c r="B94" s="7" t="n">
        <v>1</v>
      </c>
      <c r="C94" s="7" t="n">
        <v>2</v>
      </c>
      <c r="D94" s="9" t="s">
        <v>42</v>
      </c>
      <c r="E94" s="9" t="s">
        <v>41</v>
      </c>
      <c r="F94" s="9" t="s">
        <v>27</v>
      </c>
      <c r="G94" s="9" t="s">
        <v>43</v>
      </c>
      <c r="H94" s="10" t="s">
        <v>19</v>
      </c>
      <c r="I94" s="11" t="s">
        <v>20</v>
      </c>
      <c r="J94" s="12" t="s">
        <v>21</v>
      </c>
      <c r="K94" s="10" t="s">
        <v>22</v>
      </c>
      <c r="L94" s="12" t="s">
        <v>21</v>
      </c>
      <c r="M94" s="10" t="s">
        <v>22</v>
      </c>
      <c r="N94" s="7" t="n">
        <v>0</v>
      </c>
      <c r="O94" s="7" t="n">
        <v>1</v>
      </c>
    </row>
    <row r="95" customFormat="false" ht="15.75" hidden="false" customHeight="true" outlineLevel="0" collapsed="false">
      <c r="A95" s="7" t="n">
        <v>19</v>
      </c>
      <c r="B95" s="7" t="n">
        <v>1</v>
      </c>
      <c r="C95" s="7" t="n">
        <v>3</v>
      </c>
      <c r="D95" s="9" t="s">
        <v>42</v>
      </c>
      <c r="E95" s="9" t="s">
        <v>41</v>
      </c>
      <c r="F95" s="9" t="s">
        <v>27</v>
      </c>
      <c r="G95" s="9" t="s">
        <v>43</v>
      </c>
      <c r="H95" s="13" t="s">
        <v>19</v>
      </c>
      <c r="I95" s="11" t="s">
        <v>20</v>
      </c>
      <c r="J95" s="14" t="s">
        <v>21</v>
      </c>
      <c r="K95" s="13" t="s">
        <v>22</v>
      </c>
      <c r="L95" s="14" t="s">
        <v>21</v>
      </c>
      <c r="M95" s="13" t="s">
        <v>22</v>
      </c>
      <c r="N95" s="7" t="n">
        <v>0</v>
      </c>
      <c r="O95" s="7" t="n">
        <v>1</v>
      </c>
    </row>
    <row r="96" customFormat="false" ht="15.75" hidden="false" customHeight="true" outlineLevel="0" collapsed="false">
      <c r="A96" s="7" t="n">
        <v>19</v>
      </c>
      <c r="B96" s="7" t="n">
        <v>1</v>
      </c>
      <c r="C96" s="7" t="n">
        <v>4</v>
      </c>
      <c r="D96" s="9" t="s">
        <v>42</v>
      </c>
      <c r="E96" s="9" t="s">
        <v>41</v>
      </c>
      <c r="F96" s="9" t="s">
        <v>27</v>
      </c>
      <c r="G96" s="9" t="s">
        <v>43</v>
      </c>
      <c r="H96" s="10" t="s">
        <v>19</v>
      </c>
      <c r="I96" s="11" t="s">
        <v>20</v>
      </c>
      <c r="J96" s="12" t="s">
        <v>21</v>
      </c>
      <c r="K96" s="10" t="s">
        <v>22</v>
      </c>
      <c r="L96" s="12" t="s">
        <v>21</v>
      </c>
      <c r="M96" s="10" t="s">
        <v>22</v>
      </c>
      <c r="N96" s="7" t="n">
        <v>0</v>
      </c>
      <c r="O96" s="7" t="n">
        <v>1</v>
      </c>
    </row>
    <row r="97" customFormat="false" ht="15.75" hidden="false" customHeight="true" outlineLevel="0" collapsed="false">
      <c r="A97" s="7" t="n">
        <v>19</v>
      </c>
      <c r="B97" s="7" t="n">
        <v>1</v>
      </c>
      <c r="C97" s="7" t="n">
        <v>5</v>
      </c>
      <c r="D97" s="9" t="s">
        <v>42</v>
      </c>
      <c r="E97" s="9" t="s">
        <v>41</v>
      </c>
      <c r="F97" s="9" t="s">
        <v>27</v>
      </c>
      <c r="G97" s="9" t="s">
        <v>43</v>
      </c>
      <c r="H97" s="13" t="s">
        <v>19</v>
      </c>
      <c r="I97" s="11" t="s">
        <v>20</v>
      </c>
      <c r="J97" s="14" t="s">
        <v>21</v>
      </c>
      <c r="K97" s="13" t="s">
        <v>22</v>
      </c>
      <c r="L97" s="14" t="s">
        <v>21</v>
      </c>
      <c r="M97" s="13" t="s">
        <v>22</v>
      </c>
      <c r="N97" s="7" t="n">
        <v>0</v>
      </c>
      <c r="O97" s="7" t="n">
        <v>1</v>
      </c>
    </row>
    <row r="98" customFormat="false" ht="15.75" hidden="false" customHeight="true" outlineLevel="0" collapsed="false">
      <c r="A98" s="7" t="n">
        <v>19</v>
      </c>
      <c r="B98" s="7" t="n">
        <v>1</v>
      </c>
      <c r="C98" s="7" t="n">
        <v>6</v>
      </c>
      <c r="D98" s="9" t="s">
        <v>42</v>
      </c>
      <c r="E98" s="9" t="s">
        <v>41</v>
      </c>
      <c r="F98" s="9" t="s">
        <v>27</v>
      </c>
      <c r="G98" s="9" t="s">
        <v>43</v>
      </c>
      <c r="H98" s="10" t="s">
        <v>19</v>
      </c>
      <c r="I98" s="11" t="s">
        <v>20</v>
      </c>
      <c r="J98" s="12" t="s">
        <v>21</v>
      </c>
      <c r="K98" s="10" t="s">
        <v>22</v>
      </c>
      <c r="L98" s="12" t="s">
        <v>21</v>
      </c>
      <c r="M98" s="10" t="s">
        <v>22</v>
      </c>
      <c r="N98" s="7" t="n">
        <v>0</v>
      </c>
      <c r="O98" s="7" t="n">
        <v>1</v>
      </c>
    </row>
    <row r="99" customFormat="false" ht="15.75" hidden="false" customHeight="true" outlineLevel="0" collapsed="false">
      <c r="A99" s="7" t="n">
        <v>19</v>
      </c>
      <c r="B99" s="7" t="n">
        <v>1</v>
      </c>
      <c r="C99" s="7" t="n">
        <v>7</v>
      </c>
      <c r="D99" s="9" t="s">
        <v>42</v>
      </c>
      <c r="E99" s="9" t="s">
        <v>41</v>
      </c>
      <c r="F99" s="9" t="s">
        <v>27</v>
      </c>
      <c r="G99" s="9" t="s">
        <v>43</v>
      </c>
      <c r="H99" s="13" t="s">
        <v>19</v>
      </c>
      <c r="I99" s="11" t="s">
        <v>20</v>
      </c>
      <c r="J99" s="14" t="s">
        <v>21</v>
      </c>
      <c r="K99" s="13" t="s">
        <v>22</v>
      </c>
      <c r="L99" s="14" t="s">
        <v>21</v>
      </c>
      <c r="M99" s="13" t="s">
        <v>22</v>
      </c>
      <c r="N99" s="7" t="n">
        <v>0</v>
      </c>
      <c r="O99" s="7" t="n">
        <v>1</v>
      </c>
    </row>
    <row r="100" customFormat="false" ht="15.75" hidden="false" customHeight="true" outlineLevel="0" collapsed="false">
      <c r="A100" s="7" t="n">
        <v>19</v>
      </c>
      <c r="B100" s="7" t="n">
        <v>1</v>
      </c>
      <c r="C100" s="7" t="n">
        <v>8</v>
      </c>
      <c r="D100" s="9" t="s">
        <v>42</v>
      </c>
      <c r="E100" s="9" t="s">
        <v>41</v>
      </c>
      <c r="F100" s="9" t="s">
        <v>27</v>
      </c>
      <c r="G100" s="9" t="s">
        <v>43</v>
      </c>
      <c r="H100" s="10" t="s">
        <v>19</v>
      </c>
      <c r="I100" s="11" t="s">
        <v>20</v>
      </c>
      <c r="J100" s="12" t="s">
        <v>21</v>
      </c>
      <c r="K100" s="10" t="s">
        <v>22</v>
      </c>
      <c r="L100" s="12" t="s">
        <v>21</v>
      </c>
      <c r="M100" s="10" t="s">
        <v>22</v>
      </c>
      <c r="N100" s="7" t="n">
        <v>1</v>
      </c>
      <c r="O100" s="7" t="n">
        <v>0</v>
      </c>
    </row>
    <row r="101" customFormat="false" ht="15.75" hidden="false" customHeight="true" outlineLevel="0" collapsed="false">
      <c r="A101" s="7" t="n">
        <v>19</v>
      </c>
      <c r="B101" s="7" t="n">
        <v>1</v>
      </c>
      <c r="C101" s="7" t="n">
        <v>9</v>
      </c>
      <c r="D101" s="9" t="s">
        <v>42</v>
      </c>
      <c r="E101" s="9" t="s">
        <v>41</v>
      </c>
      <c r="F101" s="9" t="s">
        <v>27</v>
      </c>
      <c r="G101" s="9" t="s">
        <v>43</v>
      </c>
      <c r="H101" s="13" t="s">
        <v>19</v>
      </c>
      <c r="I101" s="11" t="s">
        <v>20</v>
      </c>
      <c r="J101" s="14" t="s">
        <v>21</v>
      </c>
      <c r="K101" s="13" t="s">
        <v>22</v>
      </c>
      <c r="L101" s="14" t="s">
        <v>21</v>
      </c>
      <c r="M101" s="13" t="s">
        <v>22</v>
      </c>
      <c r="N101" s="7" t="n">
        <v>1</v>
      </c>
      <c r="O101" s="7" t="n">
        <v>0</v>
      </c>
    </row>
    <row r="102" customFormat="false" ht="15.75" hidden="false" customHeight="true" outlineLevel="0" collapsed="false">
      <c r="A102" s="7" t="n">
        <v>19</v>
      </c>
      <c r="B102" s="7" t="n">
        <v>1</v>
      </c>
      <c r="C102" s="7" t="n">
        <v>10</v>
      </c>
      <c r="D102" s="9" t="s">
        <v>42</v>
      </c>
      <c r="E102" s="9" t="s">
        <v>41</v>
      </c>
      <c r="F102" s="9" t="s">
        <v>27</v>
      </c>
      <c r="G102" s="9" t="s">
        <v>43</v>
      </c>
      <c r="H102" s="10" t="s">
        <v>19</v>
      </c>
      <c r="I102" s="11" t="s">
        <v>20</v>
      </c>
      <c r="J102" s="12" t="s">
        <v>21</v>
      </c>
      <c r="K102" s="10" t="s">
        <v>22</v>
      </c>
      <c r="L102" s="12" t="s">
        <v>21</v>
      </c>
      <c r="M102" s="10" t="s">
        <v>22</v>
      </c>
      <c r="N102" s="7" t="n">
        <v>0</v>
      </c>
      <c r="O102" s="7" t="n">
        <v>1</v>
      </c>
    </row>
    <row r="103" customFormat="false" ht="15.75" hidden="false" customHeight="true" outlineLevel="0" collapsed="false">
      <c r="A103" s="7" t="n">
        <v>21</v>
      </c>
      <c r="B103" s="7" t="n">
        <v>1</v>
      </c>
      <c r="C103" s="7" t="n">
        <v>1</v>
      </c>
      <c r="D103" s="9" t="s">
        <v>44</v>
      </c>
      <c r="E103" s="9" t="s">
        <v>30</v>
      </c>
      <c r="F103" s="9" t="s">
        <v>45</v>
      </c>
      <c r="G103" s="9" t="s">
        <v>26</v>
      </c>
      <c r="H103" s="13" t="s">
        <v>19</v>
      </c>
      <c r="I103" s="11" t="s">
        <v>20</v>
      </c>
      <c r="J103" s="13" t="s">
        <v>22</v>
      </c>
      <c r="K103" s="14" t="s">
        <v>21</v>
      </c>
      <c r="L103" s="13" t="s">
        <v>22</v>
      </c>
      <c r="M103" s="14" t="s">
        <v>21</v>
      </c>
      <c r="N103" s="15" t="n">
        <v>1</v>
      </c>
      <c r="O103" s="7" t="n">
        <v>0</v>
      </c>
    </row>
    <row r="104" customFormat="false" ht="15.75" hidden="false" customHeight="true" outlineLevel="0" collapsed="false">
      <c r="A104" s="7" t="n">
        <v>21</v>
      </c>
      <c r="B104" s="7" t="n">
        <v>1</v>
      </c>
      <c r="C104" s="7" t="n">
        <v>2</v>
      </c>
      <c r="D104" s="9" t="s">
        <v>44</v>
      </c>
      <c r="E104" s="9" t="s">
        <v>30</v>
      </c>
      <c r="F104" s="9" t="s">
        <v>45</v>
      </c>
      <c r="G104" s="9" t="s">
        <v>26</v>
      </c>
      <c r="H104" s="10" t="s">
        <v>19</v>
      </c>
      <c r="I104" s="11" t="s">
        <v>20</v>
      </c>
      <c r="J104" s="10" t="s">
        <v>22</v>
      </c>
      <c r="K104" s="12" t="s">
        <v>21</v>
      </c>
      <c r="L104" s="10" t="s">
        <v>22</v>
      </c>
      <c r="M104" s="12" t="s">
        <v>21</v>
      </c>
      <c r="N104" s="7" t="n">
        <v>0</v>
      </c>
      <c r="O104" s="7" t="n">
        <v>1</v>
      </c>
    </row>
    <row r="105" customFormat="false" ht="15.75" hidden="false" customHeight="true" outlineLevel="0" collapsed="false">
      <c r="A105" s="7" t="n">
        <v>21</v>
      </c>
      <c r="B105" s="7" t="n">
        <v>1</v>
      </c>
      <c r="C105" s="7" t="n">
        <v>3</v>
      </c>
      <c r="D105" s="9" t="s">
        <v>44</v>
      </c>
      <c r="E105" s="9" t="s">
        <v>30</v>
      </c>
      <c r="F105" s="9" t="s">
        <v>45</v>
      </c>
      <c r="G105" s="9" t="s">
        <v>26</v>
      </c>
      <c r="H105" s="13" t="s">
        <v>19</v>
      </c>
      <c r="I105" s="11" t="s">
        <v>20</v>
      </c>
      <c r="J105" s="13" t="s">
        <v>22</v>
      </c>
      <c r="K105" s="14" t="s">
        <v>21</v>
      </c>
      <c r="L105" s="13" t="s">
        <v>22</v>
      </c>
      <c r="M105" s="14" t="s">
        <v>21</v>
      </c>
      <c r="N105" s="7" t="n">
        <v>0</v>
      </c>
      <c r="O105" s="7" t="n">
        <v>1</v>
      </c>
    </row>
    <row r="106" customFormat="false" ht="15.75" hidden="false" customHeight="true" outlineLevel="0" collapsed="false">
      <c r="A106" s="7" t="n">
        <v>21</v>
      </c>
      <c r="B106" s="7" t="n">
        <v>1</v>
      </c>
      <c r="C106" s="7" t="n">
        <v>4</v>
      </c>
      <c r="D106" s="9" t="s">
        <v>44</v>
      </c>
      <c r="E106" s="9" t="s">
        <v>30</v>
      </c>
      <c r="F106" s="9" t="s">
        <v>45</v>
      </c>
      <c r="G106" s="9" t="s">
        <v>26</v>
      </c>
      <c r="H106" s="10" t="s">
        <v>19</v>
      </c>
      <c r="I106" s="11" t="s">
        <v>20</v>
      </c>
      <c r="J106" s="10" t="s">
        <v>22</v>
      </c>
      <c r="K106" s="12" t="s">
        <v>21</v>
      </c>
      <c r="L106" s="10" t="s">
        <v>22</v>
      </c>
      <c r="M106" s="12" t="s">
        <v>21</v>
      </c>
      <c r="N106" s="7" t="n">
        <v>1</v>
      </c>
      <c r="O106" s="7" t="n">
        <v>0</v>
      </c>
    </row>
    <row r="107" customFormat="false" ht="15.75" hidden="false" customHeight="true" outlineLevel="0" collapsed="false">
      <c r="A107" s="7" t="n">
        <v>21</v>
      </c>
      <c r="B107" s="7" t="n">
        <v>1</v>
      </c>
      <c r="C107" s="7" t="n">
        <v>5</v>
      </c>
      <c r="D107" s="9" t="s">
        <v>44</v>
      </c>
      <c r="E107" s="9" t="s">
        <v>30</v>
      </c>
      <c r="F107" s="9" t="s">
        <v>45</v>
      </c>
      <c r="G107" s="9" t="s">
        <v>26</v>
      </c>
      <c r="H107" s="13" t="s">
        <v>19</v>
      </c>
      <c r="I107" s="11" t="s">
        <v>20</v>
      </c>
      <c r="J107" s="13" t="s">
        <v>22</v>
      </c>
      <c r="K107" s="14" t="s">
        <v>21</v>
      </c>
      <c r="L107" s="13" t="s">
        <v>22</v>
      </c>
      <c r="M107" s="14" t="s">
        <v>21</v>
      </c>
      <c r="N107" s="7" t="n">
        <v>0</v>
      </c>
      <c r="O107" s="7" t="n">
        <v>1</v>
      </c>
    </row>
    <row r="108" customFormat="false" ht="15.75" hidden="false" customHeight="true" outlineLevel="0" collapsed="false">
      <c r="A108" s="7" t="n">
        <v>21</v>
      </c>
      <c r="B108" s="7" t="n">
        <v>1</v>
      </c>
      <c r="C108" s="7" t="n">
        <v>6</v>
      </c>
      <c r="D108" s="9" t="s">
        <v>44</v>
      </c>
      <c r="E108" s="9" t="s">
        <v>30</v>
      </c>
      <c r="F108" s="9" t="s">
        <v>45</v>
      </c>
      <c r="G108" s="9" t="s">
        <v>26</v>
      </c>
      <c r="H108" s="10" t="s">
        <v>19</v>
      </c>
      <c r="I108" s="11" t="s">
        <v>20</v>
      </c>
      <c r="J108" s="10" t="s">
        <v>22</v>
      </c>
      <c r="K108" s="12" t="s">
        <v>21</v>
      </c>
      <c r="L108" s="10" t="s">
        <v>22</v>
      </c>
      <c r="M108" s="12" t="s">
        <v>21</v>
      </c>
      <c r="N108" s="7" t="n">
        <v>1</v>
      </c>
      <c r="O108" s="7" t="n">
        <v>0</v>
      </c>
    </row>
    <row r="109" customFormat="false" ht="15.75" hidden="false" customHeight="true" outlineLevel="0" collapsed="false">
      <c r="A109" s="7" t="n">
        <v>21</v>
      </c>
      <c r="B109" s="7" t="n">
        <v>1</v>
      </c>
      <c r="C109" s="7" t="n">
        <v>7</v>
      </c>
      <c r="D109" s="9" t="s">
        <v>44</v>
      </c>
      <c r="E109" s="9" t="s">
        <v>30</v>
      </c>
      <c r="F109" s="9" t="s">
        <v>45</v>
      </c>
      <c r="G109" s="9" t="s">
        <v>26</v>
      </c>
      <c r="H109" s="13" t="s">
        <v>19</v>
      </c>
      <c r="I109" s="11" t="s">
        <v>20</v>
      </c>
      <c r="J109" s="13" t="s">
        <v>22</v>
      </c>
      <c r="K109" s="14" t="s">
        <v>21</v>
      </c>
      <c r="L109" s="13" t="s">
        <v>22</v>
      </c>
      <c r="M109" s="14" t="s">
        <v>21</v>
      </c>
      <c r="N109" s="7" t="n">
        <v>0</v>
      </c>
      <c r="O109" s="7" t="n">
        <v>1</v>
      </c>
    </row>
    <row r="110" customFormat="false" ht="15.75" hidden="false" customHeight="true" outlineLevel="0" collapsed="false">
      <c r="A110" s="7" t="n">
        <v>21</v>
      </c>
      <c r="B110" s="7" t="n">
        <v>1</v>
      </c>
      <c r="C110" s="7" t="n">
        <v>8</v>
      </c>
      <c r="D110" s="9" t="s">
        <v>44</v>
      </c>
      <c r="E110" s="9" t="s">
        <v>30</v>
      </c>
      <c r="F110" s="9" t="s">
        <v>45</v>
      </c>
      <c r="G110" s="9" t="s">
        <v>26</v>
      </c>
      <c r="H110" s="10" t="s">
        <v>19</v>
      </c>
      <c r="I110" s="11" t="s">
        <v>20</v>
      </c>
      <c r="J110" s="10" t="s">
        <v>22</v>
      </c>
      <c r="K110" s="12" t="s">
        <v>21</v>
      </c>
      <c r="L110" s="10" t="s">
        <v>22</v>
      </c>
      <c r="M110" s="12" t="s">
        <v>21</v>
      </c>
      <c r="N110" s="7" t="n">
        <v>0</v>
      </c>
      <c r="O110" s="7" t="n">
        <v>1</v>
      </c>
    </row>
    <row r="111" customFormat="false" ht="15.75" hidden="false" customHeight="true" outlineLevel="0" collapsed="false">
      <c r="A111" s="7" t="n">
        <v>21</v>
      </c>
      <c r="B111" s="7" t="n">
        <v>1</v>
      </c>
      <c r="C111" s="7" t="n">
        <v>9</v>
      </c>
      <c r="D111" s="9" t="s">
        <v>44</v>
      </c>
      <c r="E111" s="9" t="s">
        <v>30</v>
      </c>
      <c r="F111" s="9" t="s">
        <v>45</v>
      </c>
      <c r="G111" s="9" t="s">
        <v>26</v>
      </c>
      <c r="H111" s="13" t="s">
        <v>19</v>
      </c>
      <c r="I111" s="11" t="s">
        <v>20</v>
      </c>
      <c r="J111" s="13" t="s">
        <v>22</v>
      </c>
      <c r="K111" s="14" t="s">
        <v>21</v>
      </c>
      <c r="L111" s="13" t="s">
        <v>22</v>
      </c>
      <c r="M111" s="14" t="s">
        <v>21</v>
      </c>
      <c r="N111" s="7" t="n">
        <v>0</v>
      </c>
      <c r="O111" s="7" t="n">
        <v>1</v>
      </c>
    </row>
    <row r="112" customFormat="false" ht="15.75" hidden="false" customHeight="true" outlineLevel="0" collapsed="false">
      <c r="A112" s="7" t="n">
        <v>21</v>
      </c>
      <c r="B112" s="7" t="n">
        <v>1</v>
      </c>
      <c r="C112" s="7" t="n">
        <v>10</v>
      </c>
      <c r="D112" s="9" t="s">
        <v>44</v>
      </c>
      <c r="E112" s="9" t="s">
        <v>30</v>
      </c>
      <c r="F112" s="9" t="s">
        <v>45</v>
      </c>
      <c r="G112" s="9" t="s">
        <v>26</v>
      </c>
      <c r="H112" s="10" t="s">
        <v>19</v>
      </c>
      <c r="I112" s="11" t="s">
        <v>20</v>
      </c>
      <c r="J112" s="10" t="s">
        <v>22</v>
      </c>
      <c r="K112" s="12" t="s">
        <v>21</v>
      </c>
      <c r="L112" s="10" t="s">
        <v>22</v>
      </c>
      <c r="M112" s="12" t="s">
        <v>21</v>
      </c>
      <c r="N112" s="7" t="n">
        <v>0</v>
      </c>
      <c r="O112" s="7" t="n">
        <v>1</v>
      </c>
    </row>
    <row r="113" customFormat="false" ht="15.75" hidden="false" customHeight="true" outlineLevel="0" collapsed="false">
      <c r="A113" s="7" t="n">
        <v>23</v>
      </c>
      <c r="B113" s="7" t="n">
        <v>1</v>
      </c>
      <c r="C113" s="7" t="n">
        <v>1</v>
      </c>
      <c r="D113" s="9" t="s">
        <v>32</v>
      </c>
      <c r="E113" s="9" t="s">
        <v>34</v>
      </c>
      <c r="F113" s="9" t="s">
        <v>45</v>
      </c>
      <c r="G113" s="9" t="s">
        <v>33</v>
      </c>
      <c r="H113" s="13" t="s">
        <v>19</v>
      </c>
      <c r="I113" s="11" t="s">
        <v>20</v>
      </c>
      <c r="J113" s="13" t="s">
        <v>22</v>
      </c>
      <c r="K113" s="14" t="s">
        <v>21</v>
      </c>
      <c r="L113" s="14" t="s">
        <v>21</v>
      </c>
      <c r="M113" s="13" t="s">
        <v>22</v>
      </c>
      <c r="N113" s="18" t="n">
        <v>1</v>
      </c>
      <c r="O113" s="7" t="n">
        <v>0</v>
      </c>
    </row>
    <row r="114" customFormat="false" ht="15.75" hidden="false" customHeight="true" outlineLevel="0" collapsed="false">
      <c r="A114" s="7" t="n">
        <v>23</v>
      </c>
      <c r="B114" s="7" t="n">
        <v>1</v>
      </c>
      <c r="C114" s="7" t="n">
        <v>2</v>
      </c>
      <c r="D114" s="9" t="s">
        <v>32</v>
      </c>
      <c r="E114" s="9" t="s">
        <v>34</v>
      </c>
      <c r="F114" s="9" t="s">
        <v>45</v>
      </c>
      <c r="G114" s="9" t="s">
        <v>33</v>
      </c>
      <c r="H114" s="10" t="s">
        <v>19</v>
      </c>
      <c r="I114" s="11" t="s">
        <v>20</v>
      </c>
      <c r="J114" s="12" t="s">
        <v>21</v>
      </c>
      <c r="K114" s="10" t="s">
        <v>22</v>
      </c>
      <c r="L114" s="12" t="s">
        <v>21</v>
      </c>
      <c r="M114" s="10" t="s">
        <v>22</v>
      </c>
      <c r="N114" s="7" t="n">
        <v>1</v>
      </c>
      <c r="O114" s="7" t="n">
        <v>0</v>
      </c>
    </row>
    <row r="115" customFormat="false" ht="15.75" hidden="false" customHeight="true" outlineLevel="0" collapsed="false">
      <c r="A115" s="7" t="n">
        <v>23</v>
      </c>
      <c r="B115" s="7" t="n">
        <v>1</v>
      </c>
      <c r="C115" s="7" t="n">
        <v>3</v>
      </c>
      <c r="D115" s="9" t="s">
        <v>32</v>
      </c>
      <c r="E115" s="9" t="s">
        <v>34</v>
      </c>
      <c r="F115" s="9" t="s">
        <v>45</v>
      </c>
      <c r="G115" s="9" t="s">
        <v>33</v>
      </c>
      <c r="H115" s="13" t="s">
        <v>19</v>
      </c>
      <c r="I115" s="11" t="s">
        <v>20</v>
      </c>
      <c r="J115" s="14" t="s">
        <v>21</v>
      </c>
      <c r="K115" s="13" t="s">
        <v>22</v>
      </c>
      <c r="L115" s="14" t="s">
        <v>21</v>
      </c>
      <c r="M115" s="13" t="s">
        <v>22</v>
      </c>
      <c r="N115" s="7" t="n">
        <v>1</v>
      </c>
      <c r="O115" s="7" t="n">
        <v>0</v>
      </c>
    </row>
    <row r="116" customFormat="false" ht="15.75" hidden="false" customHeight="true" outlineLevel="0" collapsed="false">
      <c r="A116" s="7" t="n">
        <v>23</v>
      </c>
      <c r="B116" s="7" t="n">
        <v>1</v>
      </c>
      <c r="C116" s="7" t="n">
        <v>4</v>
      </c>
      <c r="D116" s="9" t="s">
        <v>32</v>
      </c>
      <c r="E116" s="9" t="s">
        <v>34</v>
      </c>
      <c r="F116" s="9" t="s">
        <v>45</v>
      </c>
      <c r="G116" s="9" t="s">
        <v>33</v>
      </c>
      <c r="H116" s="10" t="s">
        <v>19</v>
      </c>
      <c r="I116" s="11" t="s">
        <v>20</v>
      </c>
      <c r="J116" s="12" t="s">
        <v>21</v>
      </c>
      <c r="K116" s="10" t="s">
        <v>22</v>
      </c>
      <c r="L116" s="12" t="s">
        <v>21</v>
      </c>
      <c r="M116" s="10" t="s">
        <v>22</v>
      </c>
      <c r="N116" s="7" t="n">
        <v>1</v>
      </c>
      <c r="O116" s="7" t="n">
        <v>0</v>
      </c>
    </row>
    <row r="117" customFormat="false" ht="15.75" hidden="false" customHeight="true" outlineLevel="0" collapsed="false">
      <c r="A117" s="7" t="n">
        <v>23</v>
      </c>
      <c r="B117" s="7" t="n">
        <v>1</v>
      </c>
      <c r="C117" s="7" t="n">
        <v>5</v>
      </c>
      <c r="D117" s="9" t="s">
        <v>32</v>
      </c>
      <c r="E117" s="9" t="s">
        <v>34</v>
      </c>
      <c r="F117" s="9" t="s">
        <v>45</v>
      </c>
      <c r="G117" s="9" t="s">
        <v>33</v>
      </c>
      <c r="H117" s="13" t="s">
        <v>19</v>
      </c>
      <c r="I117" s="11" t="s">
        <v>20</v>
      </c>
      <c r="J117" s="14" t="s">
        <v>21</v>
      </c>
      <c r="K117" s="13" t="s">
        <v>22</v>
      </c>
      <c r="L117" s="14" t="s">
        <v>21</v>
      </c>
      <c r="M117" s="13" t="s">
        <v>22</v>
      </c>
      <c r="N117" s="7" t="n">
        <v>0</v>
      </c>
      <c r="O117" s="7" t="n">
        <v>1</v>
      </c>
    </row>
    <row r="118" customFormat="false" ht="15.75" hidden="false" customHeight="true" outlineLevel="0" collapsed="false">
      <c r="A118" s="7" t="n">
        <v>23</v>
      </c>
      <c r="B118" s="7" t="n">
        <v>1</v>
      </c>
      <c r="C118" s="7" t="n">
        <v>6</v>
      </c>
      <c r="D118" s="9" t="s">
        <v>32</v>
      </c>
      <c r="E118" s="9" t="s">
        <v>34</v>
      </c>
      <c r="F118" s="9" t="s">
        <v>45</v>
      </c>
      <c r="G118" s="9" t="s">
        <v>33</v>
      </c>
      <c r="H118" s="10" t="s">
        <v>19</v>
      </c>
      <c r="I118" s="11" t="s">
        <v>20</v>
      </c>
      <c r="J118" s="12" t="s">
        <v>21</v>
      </c>
      <c r="K118" s="10" t="s">
        <v>22</v>
      </c>
      <c r="L118" s="12" t="s">
        <v>21</v>
      </c>
      <c r="M118" s="10" t="s">
        <v>22</v>
      </c>
      <c r="N118" s="7" t="n">
        <v>0</v>
      </c>
      <c r="O118" s="7" t="n">
        <v>1</v>
      </c>
    </row>
    <row r="119" customFormat="false" ht="15.75" hidden="false" customHeight="true" outlineLevel="0" collapsed="false">
      <c r="A119" s="7" t="n">
        <v>23</v>
      </c>
      <c r="B119" s="7" t="n">
        <v>1</v>
      </c>
      <c r="C119" s="7" t="n">
        <v>7</v>
      </c>
      <c r="D119" s="9" t="s">
        <v>32</v>
      </c>
      <c r="E119" s="9" t="s">
        <v>34</v>
      </c>
      <c r="F119" s="9" t="s">
        <v>45</v>
      </c>
      <c r="G119" s="9" t="s">
        <v>33</v>
      </c>
      <c r="H119" s="13" t="s">
        <v>19</v>
      </c>
      <c r="I119" s="11" t="s">
        <v>20</v>
      </c>
      <c r="J119" s="14" t="s">
        <v>21</v>
      </c>
      <c r="K119" s="13" t="s">
        <v>22</v>
      </c>
      <c r="L119" s="14" t="s">
        <v>21</v>
      </c>
      <c r="M119" s="13" t="s">
        <v>22</v>
      </c>
      <c r="N119" s="7" t="n">
        <v>1</v>
      </c>
      <c r="O119" s="7" t="n">
        <v>0</v>
      </c>
    </row>
    <row r="120" customFormat="false" ht="15.75" hidden="false" customHeight="true" outlineLevel="0" collapsed="false">
      <c r="A120" s="7" t="n">
        <v>23</v>
      </c>
      <c r="B120" s="7" t="n">
        <v>1</v>
      </c>
      <c r="C120" s="7" t="n">
        <v>8</v>
      </c>
      <c r="D120" s="9" t="s">
        <v>32</v>
      </c>
      <c r="E120" s="9" t="s">
        <v>34</v>
      </c>
      <c r="F120" s="9" t="s">
        <v>45</v>
      </c>
      <c r="G120" s="9" t="s">
        <v>33</v>
      </c>
      <c r="H120" s="10" t="s">
        <v>19</v>
      </c>
      <c r="I120" s="11" t="s">
        <v>20</v>
      </c>
      <c r="J120" s="12" t="s">
        <v>21</v>
      </c>
      <c r="K120" s="10" t="s">
        <v>22</v>
      </c>
      <c r="L120" s="12" t="s">
        <v>21</v>
      </c>
      <c r="M120" s="10" t="s">
        <v>22</v>
      </c>
      <c r="N120" s="7" t="n">
        <v>0</v>
      </c>
      <c r="O120" s="7" t="n">
        <v>1</v>
      </c>
    </row>
    <row r="121" customFormat="false" ht="15.75" hidden="false" customHeight="true" outlineLevel="0" collapsed="false">
      <c r="A121" s="7" t="n">
        <v>23</v>
      </c>
      <c r="B121" s="7" t="n">
        <v>1</v>
      </c>
      <c r="C121" s="7" t="n">
        <v>9</v>
      </c>
      <c r="D121" s="9" t="s">
        <v>32</v>
      </c>
      <c r="E121" s="9" t="s">
        <v>34</v>
      </c>
      <c r="F121" s="9" t="s">
        <v>45</v>
      </c>
      <c r="G121" s="9" t="s">
        <v>33</v>
      </c>
      <c r="H121" s="13" t="s">
        <v>19</v>
      </c>
      <c r="I121" s="11" t="s">
        <v>20</v>
      </c>
      <c r="J121" s="14" t="s">
        <v>21</v>
      </c>
      <c r="K121" s="13" t="s">
        <v>22</v>
      </c>
      <c r="L121" s="14" t="s">
        <v>21</v>
      </c>
      <c r="M121" s="13" t="s">
        <v>22</v>
      </c>
      <c r="N121" s="7" t="n">
        <v>1</v>
      </c>
      <c r="O121" s="7" t="n">
        <v>0</v>
      </c>
    </row>
    <row r="122" customFormat="false" ht="15.75" hidden="false" customHeight="true" outlineLevel="0" collapsed="false">
      <c r="A122" s="7" t="n">
        <v>23</v>
      </c>
      <c r="B122" s="7" t="n">
        <v>1</v>
      </c>
      <c r="C122" s="7" t="n">
        <v>10</v>
      </c>
      <c r="D122" s="9" t="s">
        <v>32</v>
      </c>
      <c r="E122" s="9" t="s">
        <v>34</v>
      </c>
      <c r="F122" s="9" t="s">
        <v>45</v>
      </c>
      <c r="G122" s="9" t="s">
        <v>33</v>
      </c>
      <c r="H122" s="10" t="s">
        <v>19</v>
      </c>
      <c r="I122" s="11" t="s">
        <v>20</v>
      </c>
      <c r="J122" s="12" t="s">
        <v>21</v>
      </c>
      <c r="K122" s="10" t="s">
        <v>22</v>
      </c>
      <c r="L122" s="12" t="s">
        <v>21</v>
      </c>
      <c r="M122" s="10" t="s">
        <v>22</v>
      </c>
      <c r="N122" s="7" t="n">
        <v>0</v>
      </c>
      <c r="O122" s="7" t="n">
        <v>1</v>
      </c>
    </row>
    <row r="123" customFormat="false" ht="15.75" hidden="false" customHeight="true" outlineLevel="0" collapsed="false">
      <c r="A123" s="7" t="n">
        <v>23</v>
      </c>
      <c r="B123" s="7" t="n">
        <v>1</v>
      </c>
      <c r="C123" s="7" t="n">
        <v>11</v>
      </c>
      <c r="D123" s="9" t="s">
        <v>32</v>
      </c>
      <c r="E123" s="9" t="s">
        <v>34</v>
      </c>
      <c r="F123" s="9" t="s">
        <v>45</v>
      </c>
      <c r="G123" s="9" t="s">
        <v>33</v>
      </c>
      <c r="H123" s="13" t="s">
        <v>19</v>
      </c>
      <c r="I123" s="11" t="s">
        <v>20</v>
      </c>
      <c r="J123" s="14" t="s">
        <v>21</v>
      </c>
      <c r="K123" s="13" t="s">
        <v>22</v>
      </c>
      <c r="L123" s="14" t="s">
        <v>21</v>
      </c>
      <c r="M123" s="13" t="s">
        <v>22</v>
      </c>
      <c r="N123" s="7" t="n">
        <v>0</v>
      </c>
      <c r="O123" s="7" t="n">
        <v>1</v>
      </c>
    </row>
    <row r="124" customFormat="false" ht="15.75" hidden="false" customHeight="true" outlineLevel="0" collapsed="false">
      <c r="A124" s="7" t="n">
        <v>23</v>
      </c>
      <c r="B124" s="7" t="n">
        <v>1</v>
      </c>
      <c r="C124" s="7" t="n">
        <v>12</v>
      </c>
      <c r="D124" s="9" t="s">
        <v>32</v>
      </c>
      <c r="E124" s="9" t="s">
        <v>34</v>
      </c>
      <c r="F124" s="9" t="s">
        <v>45</v>
      </c>
      <c r="G124" s="9" t="s">
        <v>33</v>
      </c>
      <c r="H124" s="10" t="s">
        <v>19</v>
      </c>
      <c r="I124" s="11" t="s">
        <v>20</v>
      </c>
      <c r="J124" s="12" t="s">
        <v>21</v>
      </c>
      <c r="K124" s="10" t="s">
        <v>22</v>
      </c>
      <c r="L124" s="12" t="s">
        <v>21</v>
      </c>
      <c r="M124" s="10" t="s">
        <v>22</v>
      </c>
      <c r="N124" s="7" t="n">
        <v>0</v>
      </c>
      <c r="O124" s="7" t="n">
        <v>1</v>
      </c>
    </row>
    <row r="125" customFormat="false" ht="15.75" hidden="false" customHeight="true" outlineLevel="0" collapsed="false">
      <c r="A125" s="7" t="n">
        <v>23</v>
      </c>
      <c r="B125" s="7" t="n">
        <v>1</v>
      </c>
      <c r="C125" s="7" t="n">
        <v>13</v>
      </c>
      <c r="D125" s="9" t="s">
        <v>32</v>
      </c>
      <c r="E125" s="9" t="s">
        <v>34</v>
      </c>
      <c r="F125" s="9" t="s">
        <v>45</v>
      </c>
      <c r="G125" s="9" t="s">
        <v>33</v>
      </c>
      <c r="H125" s="13" t="s">
        <v>19</v>
      </c>
      <c r="I125" s="11" t="s">
        <v>20</v>
      </c>
      <c r="J125" s="14" t="s">
        <v>21</v>
      </c>
      <c r="K125" s="13" t="s">
        <v>22</v>
      </c>
      <c r="L125" s="14" t="s">
        <v>21</v>
      </c>
      <c r="M125" s="13" t="s">
        <v>22</v>
      </c>
      <c r="N125" s="7" t="n">
        <v>1</v>
      </c>
      <c r="O125" s="7" t="n">
        <v>0</v>
      </c>
    </row>
    <row r="126" customFormat="false" ht="15.75" hidden="false" customHeight="true" outlineLevel="0" collapsed="false">
      <c r="A126" s="7" t="n">
        <v>25</v>
      </c>
      <c r="B126" s="7" t="n">
        <v>1</v>
      </c>
      <c r="C126" s="7" t="n">
        <v>1</v>
      </c>
      <c r="D126" s="9" t="s">
        <v>36</v>
      </c>
      <c r="E126" s="9" t="s">
        <v>24</v>
      </c>
      <c r="F126" s="9" t="s">
        <v>46</v>
      </c>
      <c r="G126" s="9" t="s">
        <v>47</v>
      </c>
      <c r="H126" s="10" t="s">
        <v>19</v>
      </c>
      <c r="I126" s="11" t="s">
        <v>20</v>
      </c>
      <c r="J126" s="12" t="s">
        <v>21</v>
      </c>
      <c r="K126" s="10" t="s">
        <v>22</v>
      </c>
      <c r="L126" s="12" t="s">
        <v>21</v>
      </c>
      <c r="M126" s="10" t="s">
        <v>22</v>
      </c>
      <c r="N126" s="19" t="n">
        <v>1</v>
      </c>
      <c r="O126" s="7" t="n">
        <v>0</v>
      </c>
    </row>
    <row r="127" customFormat="false" ht="15.75" hidden="false" customHeight="true" outlineLevel="0" collapsed="false">
      <c r="A127" s="7" t="n">
        <v>25</v>
      </c>
      <c r="B127" s="7" t="n">
        <v>1</v>
      </c>
      <c r="C127" s="7" t="n">
        <v>2</v>
      </c>
      <c r="D127" s="9" t="s">
        <v>36</v>
      </c>
      <c r="E127" s="9" t="s">
        <v>24</v>
      </c>
      <c r="F127" s="9" t="s">
        <v>46</v>
      </c>
      <c r="G127" s="9" t="s">
        <v>47</v>
      </c>
      <c r="H127" s="13" t="s">
        <v>19</v>
      </c>
      <c r="I127" s="11" t="s">
        <v>20</v>
      </c>
      <c r="J127" s="14" t="s">
        <v>21</v>
      </c>
      <c r="K127" s="13" t="s">
        <v>22</v>
      </c>
      <c r="L127" s="14" t="s">
        <v>21</v>
      </c>
      <c r="M127" s="13" t="s">
        <v>22</v>
      </c>
      <c r="N127" s="7" t="n">
        <v>0</v>
      </c>
      <c r="O127" s="7" t="n">
        <v>1</v>
      </c>
    </row>
    <row r="128" customFormat="false" ht="15.75" hidden="false" customHeight="true" outlineLevel="0" collapsed="false">
      <c r="A128" s="7" t="n">
        <v>25</v>
      </c>
      <c r="B128" s="7" t="n">
        <v>1</v>
      </c>
      <c r="C128" s="7" t="n">
        <v>3</v>
      </c>
      <c r="D128" s="9" t="s">
        <v>36</v>
      </c>
      <c r="E128" s="9" t="s">
        <v>24</v>
      </c>
      <c r="F128" s="9" t="s">
        <v>46</v>
      </c>
      <c r="G128" s="9" t="s">
        <v>47</v>
      </c>
      <c r="H128" s="10" t="s">
        <v>19</v>
      </c>
      <c r="I128" s="11" t="s">
        <v>20</v>
      </c>
      <c r="J128" s="12" t="s">
        <v>21</v>
      </c>
      <c r="K128" s="10" t="s">
        <v>22</v>
      </c>
      <c r="L128" s="12" t="s">
        <v>21</v>
      </c>
      <c r="M128" s="10" t="s">
        <v>22</v>
      </c>
      <c r="N128" s="7" t="n">
        <v>0</v>
      </c>
      <c r="O128" s="7" t="n">
        <v>1</v>
      </c>
    </row>
    <row r="129" customFormat="false" ht="15.75" hidden="false" customHeight="true" outlineLevel="0" collapsed="false">
      <c r="A129" s="7" t="n">
        <v>25</v>
      </c>
      <c r="B129" s="7" t="n">
        <v>1</v>
      </c>
      <c r="C129" s="7" t="n">
        <v>4</v>
      </c>
      <c r="D129" s="9" t="s">
        <v>36</v>
      </c>
      <c r="E129" s="9" t="s">
        <v>24</v>
      </c>
      <c r="F129" s="9" t="s">
        <v>46</v>
      </c>
      <c r="G129" s="9" t="s">
        <v>47</v>
      </c>
      <c r="H129" s="13" t="s">
        <v>19</v>
      </c>
      <c r="I129" s="11" t="s">
        <v>20</v>
      </c>
      <c r="J129" s="14" t="s">
        <v>21</v>
      </c>
      <c r="K129" s="13" t="s">
        <v>22</v>
      </c>
      <c r="L129" s="14" t="s">
        <v>21</v>
      </c>
      <c r="M129" s="13" t="s">
        <v>22</v>
      </c>
      <c r="N129" s="7" t="n">
        <v>1</v>
      </c>
      <c r="O129" s="7" t="n">
        <v>0</v>
      </c>
    </row>
    <row r="130" customFormat="false" ht="15.75" hidden="false" customHeight="true" outlineLevel="0" collapsed="false">
      <c r="A130" s="7" t="n">
        <v>25</v>
      </c>
      <c r="B130" s="7" t="n">
        <v>1</v>
      </c>
      <c r="C130" s="7" t="n">
        <v>5</v>
      </c>
      <c r="D130" s="9" t="s">
        <v>36</v>
      </c>
      <c r="E130" s="9" t="s">
        <v>24</v>
      </c>
      <c r="F130" s="9" t="s">
        <v>46</v>
      </c>
      <c r="G130" s="9" t="s">
        <v>47</v>
      </c>
      <c r="H130" s="10" t="s">
        <v>19</v>
      </c>
      <c r="I130" s="11" t="s">
        <v>20</v>
      </c>
      <c r="J130" s="12" t="s">
        <v>21</v>
      </c>
      <c r="K130" s="10" t="s">
        <v>22</v>
      </c>
      <c r="L130" s="12" t="s">
        <v>21</v>
      </c>
      <c r="M130" s="10" t="s">
        <v>22</v>
      </c>
      <c r="N130" s="7" t="n">
        <v>0</v>
      </c>
      <c r="O130" s="7" t="n">
        <v>1</v>
      </c>
    </row>
    <row r="131" customFormat="false" ht="15.75" hidden="false" customHeight="true" outlineLevel="0" collapsed="false">
      <c r="A131" s="7" t="n">
        <v>25</v>
      </c>
      <c r="B131" s="7" t="n">
        <v>1</v>
      </c>
      <c r="C131" s="7" t="n">
        <v>6</v>
      </c>
      <c r="D131" s="9" t="s">
        <v>36</v>
      </c>
      <c r="E131" s="9" t="s">
        <v>24</v>
      </c>
      <c r="F131" s="9" t="s">
        <v>46</v>
      </c>
      <c r="G131" s="9" t="s">
        <v>47</v>
      </c>
      <c r="H131" s="13" t="s">
        <v>19</v>
      </c>
      <c r="I131" s="11" t="s">
        <v>20</v>
      </c>
      <c r="J131" s="14" t="s">
        <v>21</v>
      </c>
      <c r="K131" s="13" t="s">
        <v>22</v>
      </c>
      <c r="L131" s="14" t="s">
        <v>21</v>
      </c>
      <c r="M131" s="13" t="s">
        <v>22</v>
      </c>
      <c r="N131" s="7" t="n">
        <v>0</v>
      </c>
      <c r="O131" s="7" t="n">
        <v>1</v>
      </c>
    </row>
    <row r="132" customFormat="false" ht="15.75" hidden="false" customHeight="true" outlineLevel="0" collapsed="false">
      <c r="A132" s="7" t="n">
        <v>25</v>
      </c>
      <c r="B132" s="7" t="n">
        <v>1</v>
      </c>
      <c r="C132" s="7" t="n">
        <v>7</v>
      </c>
      <c r="D132" s="9" t="s">
        <v>36</v>
      </c>
      <c r="E132" s="9" t="s">
        <v>24</v>
      </c>
      <c r="F132" s="9" t="s">
        <v>46</v>
      </c>
      <c r="G132" s="9" t="s">
        <v>47</v>
      </c>
      <c r="H132" s="10" t="s">
        <v>19</v>
      </c>
      <c r="I132" s="11" t="s">
        <v>20</v>
      </c>
      <c r="J132" s="12" t="s">
        <v>21</v>
      </c>
      <c r="K132" s="10" t="s">
        <v>22</v>
      </c>
      <c r="L132" s="12" t="s">
        <v>21</v>
      </c>
      <c r="M132" s="10" t="s">
        <v>22</v>
      </c>
      <c r="N132" s="7" t="n">
        <v>0</v>
      </c>
      <c r="O132" s="7" t="n">
        <v>1</v>
      </c>
    </row>
    <row r="133" customFormat="false" ht="15.75" hidden="false" customHeight="true" outlineLevel="0" collapsed="false">
      <c r="A133" s="7" t="n">
        <v>25</v>
      </c>
      <c r="B133" s="7" t="n">
        <v>1</v>
      </c>
      <c r="C133" s="7" t="n">
        <v>8</v>
      </c>
      <c r="D133" s="9" t="s">
        <v>36</v>
      </c>
      <c r="E133" s="9" t="s">
        <v>24</v>
      </c>
      <c r="F133" s="9" t="s">
        <v>46</v>
      </c>
      <c r="G133" s="9" t="s">
        <v>47</v>
      </c>
      <c r="H133" s="13" t="s">
        <v>19</v>
      </c>
      <c r="I133" s="11" t="s">
        <v>20</v>
      </c>
      <c r="J133" s="14" t="s">
        <v>21</v>
      </c>
      <c r="K133" s="13" t="s">
        <v>22</v>
      </c>
      <c r="L133" s="14" t="s">
        <v>21</v>
      </c>
      <c r="M133" s="13" t="s">
        <v>22</v>
      </c>
      <c r="N133" s="7" t="n">
        <v>0</v>
      </c>
      <c r="O133" s="7" t="n">
        <v>1</v>
      </c>
    </row>
    <row r="134" customFormat="false" ht="15.75" hidden="false" customHeight="true" outlineLevel="0" collapsed="false">
      <c r="A134" s="7" t="n">
        <v>25</v>
      </c>
      <c r="B134" s="7" t="n">
        <v>1</v>
      </c>
      <c r="C134" s="7" t="n">
        <v>9</v>
      </c>
      <c r="D134" s="9" t="s">
        <v>36</v>
      </c>
      <c r="E134" s="9" t="s">
        <v>24</v>
      </c>
      <c r="F134" s="9" t="s">
        <v>46</v>
      </c>
      <c r="G134" s="9" t="s">
        <v>47</v>
      </c>
      <c r="H134" s="10" t="s">
        <v>19</v>
      </c>
      <c r="I134" s="11" t="s">
        <v>20</v>
      </c>
      <c r="J134" s="12" t="s">
        <v>21</v>
      </c>
      <c r="K134" s="10" t="s">
        <v>22</v>
      </c>
      <c r="L134" s="12" t="s">
        <v>21</v>
      </c>
      <c r="M134" s="10" t="s">
        <v>22</v>
      </c>
      <c r="N134" s="7" t="n">
        <v>0</v>
      </c>
      <c r="O134" s="7" t="n">
        <v>1</v>
      </c>
    </row>
    <row r="135" customFormat="false" ht="15.75" hidden="false" customHeight="true" outlineLevel="0" collapsed="false">
      <c r="A135" s="7" t="n">
        <v>27</v>
      </c>
      <c r="B135" s="7" t="n">
        <v>1</v>
      </c>
      <c r="C135" s="7" t="n">
        <v>1</v>
      </c>
      <c r="D135" s="9" t="s">
        <v>32</v>
      </c>
      <c r="E135" s="9" t="s">
        <v>27</v>
      </c>
      <c r="F135" s="9" t="s">
        <v>36</v>
      </c>
      <c r="G135" s="9" t="s">
        <v>35</v>
      </c>
      <c r="H135" s="13" t="s">
        <v>19</v>
      </c>
      <c r="I135" s="11" t="s">
        <v>20</v>
      </c>
      <c r="J135" s="14" t="s">
        <v>21</v>
      </c>
      <c r="K135" s="13" t="s">
        <v>22</v>
      </c>
      <c r="L135" s="14" t="s">
        <v>21</v>
      </c>
      <c r="M135" s="13" t="s">
        <v>22</v>
      </c>
      <c r="N135" s="20" t="n">
        <v>1</v>
      </c>
      <c r="O135" s="7" t="n">
        <v>0</v>
      </c>
    </row>
    <row r="136" customFormat="false" ht="15.75" hidden="false" customHeight="true" outlineLevel="0" collapsed="false">
      <c r="A136" s="7" t="n">
        <v>27</v>
      </c>
      <c r="B136" s="7" t="n">
        <v>1</v>
      </c>
      <c r="C136" s="7" t="n">
        <v>2</v>
      </c>
      <c r="D136" s="9" t="s">
        <v>32</v>
      </c>
      <c r="E136" s="9" t="s">
        <v>27</v>
      </c>
      <c r="F136" s="9" t="s">
        <v>36</v>
      </c>
      <c r="G136" s="9" t="s">
        <v>35</v>
      </c>
      <c r="H136" s="10" t="s">
        <v>19</v>
      </c>
      <c r="I136" s="11" t="s">
        <v>20</v>
      </c>
      <c r="J136" s="12" t="s">
        <v>21</v>
      </c>
      <c r="K136" s="10" t="s">
        <v>22</v>
      </c>
      <c r="L136" s="12" t="s">
        <v>21</v>
      </c>
      <c r="M136" s="10" t="s">
        <v>22</v>
      </c>
      <c r="N136" s="7" t="n">
        <v>1</v>
      </c>
      <c r="O136" s="7" t="n">
        <v>0</v>
      </c>
    </row>
    <row r="137" customFormat="false" ht="15.75" hidden="false" customHeight="true" outlineLevel="0" collapsed="false">
      <c r="A137" s="7" t="n">
        <v>27</v>
      </c>
      <c r="B137" s="7" t="n">
        <v>1</v>
      </c>
      <c r="C137" s="7" t="n">
        <v>3</v>
      </c>
      <c r="D137" s="9" t="s">
        <v>32</v>
      </c>
      <c r="E137" s="9" t="s">
        <v>27</v>
      </c>
      <c r="F137" s="9" t="s">
        <v>36</v>
      </c>
      <c r="G137" s="9" t="s">
        <v>35</v>
      </c>
      <c r="H137" s="13" t="s">
        <v>19</v>
      </c>
      <c r="I137" s="11" t="s">
        <v>20</v>
      </c>
      <c r="J137" s="14" t="s">
        <v>21</v>
      </c>
      <c r="K137" s="13" t="s">
        <v>22</v>
      </c>
      <c r="L137" s="14" t="s">
        <v>21</v>
      </c>
      <c r="M137" s="13" t="s">
        <v>22</v>
      </c>
      <c r="N137" s="7" t="n">
        <v>1</v>
      </c>
      <c r="O137" s="7" t="n">
        <v>0</v>
      </c>
    </row>
    <row r="138" customFormat="false" ht="15.75" hidden="false" customHeight="true" outlineLevel="0" collapsed="false">
      <c r="A138" s="7" t="n">
        <v>27</v>
      </c>
      <c r="B138" s="7" t="n">
        <v>1</v>
      </c>
      <c r="C138" s="7" t="n">
        <v>4</v>
      </c>
      <c r="D138" s="9" t="s">
        <v>32</v>
      </c>
      <c r="E138" s="9" t="s">
        <v>27</v>
      </c>
      <c r="F138" s="9" t="s">
        <v>36</v>
      </c>
      <c r="G138" s="9" t="s">
        <v>35</v>
      </c>
      <c r="H138" s="10" t="s">
        <v>19</v>
      </c>
      <c r="I138" s="11" t="s">
        <v>20</v>
      </c>
      <c r="J138" s="12" t="s">
        <v>21</v>
      </c>
      <c r="K138" s="10" t="s">
        <v>22</v>
      </c>
      <c r="L138" s="12" t="s">
        <v>21</v>
      </c>
      <c r="M138" s="10" t="s">
        <v>22</v>
      </c>
      <c r="N138" s="7" t="n">
        <v>1</v>
      </c>
      <c r="O138" s="7" t="n">
        <v>0</v>
      </c>
    </row>
    <row r="139" customFormat="false" ht="15.75" hidden="false" customHeight="true" outlineLevel="0" collapsed="false">
      <c r="A139" s="7" t="n">
        <v>27</v>
      </c>
      <c r="B139" s="7" t="n">
        <v>1</v>
      </c>
      <c r="C139" s="7" t="n">
        <v>5</v>
      </c>
      <c r="D139" s="9" t="s">
        <v>32</v>
      </c>
      <c r="E139" s="9" t="s">
        <v>27</v>
      </c>
      <c r="F139" s="9" t="s">
        <v>36</v>
      </c>
      <c r="G139" s="9" t="s">
        <v>35</v>
      </c>
      <c r="H139" s="13" t="s">
        <v>19</v>
      </c>
      <c r="I139" s="11" t="s">
        <v>20</v>
      </c>
      <c r="J139" s="14" t="s">
        <v>21</v>
      </c>
      <c r="K139" s="13" t="s">
        <v>22</v>
      </c>
      <c r="L139" s="14" t="s">
        <v>21</v>
      </c>
      <c r="M139" s="13" t="s">
        <v>22</v>
      </c>
      <c r="N139" s="7" t="n">
        <v>1</v>
      </c>
      <c r="O139" s="7" t="n">
        <v>0</v>
      </c>
    </row>
    <row r="140" customFormat="false" ht="15.75" hidden="false" customHeight="true" outlineLevel="0" collapsed="false">
      <c r="A140" s="7" t="n">
        <v>27</v>
      </c>
      <c r="B140" s="7" t="n">
        <v>1</v>
      </c>
      <c r="C140" s="7" t="n">
        <v>6</v>
      </c>
      <c r="D140" s="9" t="s">
        <v>32</v>
      </c>
      <c r="E140" s="9" t="s">
        <v>27</v>
      </c>
      <c r="F140" s="9" t="s">
        <v>36</v>
      </c>
      <c r="G140" s="9" t="s">
        <v>35</v>
      </c>
      <c r="H140" s="10" t="s">
        <v>19</v>
      </c>
      <c r="I140" s="11" t="s">
        <v>20</v>
      </c>
      <c r="J140" s="12" t="s">
        <v>21</v>
      </c>
      <c r="K140" s="10" t="s">
        <v>22</v>
      </c>
      <c r="L140" s="12" t="s">
        <v>21</v>
      </c>
      <c r="M140" s="10" t="s">
        <v>22</v>
      </c>
      <c r="N140" s="7" t="n">
        <v>1</v>
      </c>
      <c r="O140" s="7" t="n">
        <v>0</v>
      </c>
    </row>
    <row r="141" customFormat="false" ht="15.75" hidden="false" customHeight="true" outlineLevel="0" collapsed="false">
      <c r="A141" s="7" t="n">
        <v>27</v>
      </c>
      <c r="B141" s="7" t="n">
        <v>1</v>
      </c>
      <c r="C141" s="7" t="n">
        <v>7</v>
      </c>
      <c r="D141" s="9" t="s">
        <v>32</v>
      </c>
      <c r="E141" s="9" t="s">
        <v>27</v>
      </c>
      <c r="F141" s="9" t="s">
        <v>36</v>
      </c>
      <c r="G141" s="9" t="s">
        <v>35</v>
      </c>
      <c r="H141" s="13" t="s">
        <v>19</v>
      </c>
      <c r="I141" s="11" t="s">
        <v>20</v>
      </c>
      <c r="J141" s="14" t="s">
        <v>21</v>
      </c>
      <c r="K141" s="13" t="s">
        <v>22</v>
      </c>
      <c r="L141" s="14" t="s">
        <v>21</v>
      </c>
      <c r="M141" s="13" t="s">
        <v>22</v>
      </c>
      <c r="N141" s="7" t="n">
        <v>0</v>
      </c>
      <c r="O141" s="7" t="n">
        <v>1</v>
      </c>
    </row>
    <row r="142" customFormat="false" ht="15.75" hidden="false" customHeight="true" outlineLevel="0" collapsed="false">
      <c r="A142" s="7" t="n">
        <v>27</v>
      </c>
      <c r="B142" s="7" t="n">
        <v>1</v>
      </c>
      <c r="C142" s="7" t="n">
        <v>8</v>
      </c>
      <c r="D142" s="9" t="s">
        <v>32</v>
      </c>
      <c r="E142" s="9" t="s">
        <v>27</v>
      </c>
      <c r="F142" s="9" t="s">
        <v>36</v>
      </c>
      <c r="G142" s="9" t="s">
        <v>35</v>
      </c>
      <c r="H142" s="10" t="s">
        <v>19</v>
      </c>
      <c r="I142" s="11" t="s">
        <v>20</v>
      </c>
      <c r="J142" s="12" t="s">
        <v>21</v>
      </c>
      <c r="K142" s="10" t="s">
        <v>22</v>
      </c>
      <c r="L142" s="12" t="s">
        <v>21</v>
      </c>
      <c r="M142" s="10" t="s">
        <v>22</v>
      </c>
      <c r="N142" s="7" t="n">
        <v>0</v>
      </c>
      <c r="O142" s="7" t="n">
        <v>1</v>
      </c>
    </row>
    <row r="143" customFormat="false" ht="15.75" hidden="false" customHeight="true" outlineLevel="0" collapsed="false">
      <c r="A143" s="7" t="n">
        <v>27</v>
      </c>
      <c r="B143" s="7" t="n">
        <v>1</v>
      </c>
      <c r="C143" s="7" t="n">
        <v>9</v>
      </c>
      <c r="D143" s="9" t="s">
        <v>32</v>
      </c>
      <c r="E143" s="9" t="s">
        <v>27</v>
      </c>
      <c r="F143" s="9" t="s">
        <v>36</v>
      </c>
      <c r="G143" s="9" t="s">
        <v>35</v>
      </c>
      <c r="H143" s="13" t="s">
        <v>19</v>
      </c>
      <c r="I143" s="11" t="s">
        <v>20</v>
      </c>
      <c r="J143" s="14" t="s">
        <v>21</v>
      </c>
      <c r="K143" s="13" t="s">
        <v>22</v>
      </c>
      <c r="L143" s="14" t="s">
        <v>21</v>
      </c>
      <c r="M143" s="13" t="s">
        <v>22</v>
      </c>
      <c r="N143" s="7" t="n">
        <v>1</v>
      </c>
      <c r="O143" s="7" t="n">
        <v>0</v>
      </c>
    </row>
    <row r="144" customFormat="false" ht="15.75" hidden="false" customHeight="true" outlineLevel="0" collapsed="false">
      <c r="A144" s="7" t="n">
        <v>29</v>
      </c>
      <c r="B144" s="7" t="n">
        <v>1</v>
      </c>
      <c r="C144" s="7" t="n">
        <v>1</v>
      </c>
      <c r="D144" s="9" t="s">
        <v>47</v>
      </c>
      <c r="E144" s="9" t="s">
        <v>15</v>
      </c>
      <c r="F144" s="9" t="s">
        <v>18</v>
      </c>
      <c r="G144" s="9" t="s">
        <v>26</v>
      </c>
      <c r="H144" s="10" t="s">
        <v>19</v>
      </c>
      <c r="I144" s="11" t="s">
        <v>20</v>
      </c>
      <c r="J144" s="12" t="s">
        <v>21</v>
      </c>
      <c r="K144" s="10" t="s">
        <v>22</v>
      </c>
      <c r="L144" s="12" t="s">
        <v>21</v>
      </c>
      <c r="M144" s="10" t="s">
        <v>22</v>
      </c>
      <c r="N144" s="21" t="n">
        <v>0</v>
      </c>
      <c r="O144" s="7" t="n">
        <v>1</v>
      </c>
    </row>
    <row r="145" customFormat="false" ht="15.75" hidden="false" customHeight="true" outlineLevel="0" collapsed="false">
      <c r="A145" s="7" t="n">
        <v>29</v>
      </c>
      <c r="B145" s="7" t="n">
        <v>1</v>
      </c>
      <c r="C145" s="7" t="n">
        <v>2</v>
      </c>
      <c r="D145" s="9" t="s">
        <v>47</v>
      </c>
      <c r="E145" s="9" t="s">
        <v>15</v>
      </c>
      <c r="F145" s="9" t="s">
        <v>18</v>
      </c>
      <c r="G145" s="9" t="s">
        <v>26</v>
      </c>
      <c r="H145" s="13" t="s">
        <v>19</v>
      </c>
      <c r="I145" s="11" t="s">
        <v>20</v>
      </c>
      <c r="J145" s="14" t="s">
        <v>21</v>
      </c>
      <c r="K145" s="13" t="s">
        <v>22</v>
      </c>
      <c r="L145" s="14" t="s">
        <v>21</v>
      </c>
      <c r="M145" s="13" t="s">
        <v>22</v>
      </c>
      <c r="N145" s="7" t="n">
        <v>0</v>
      </c>
      <c r="O145" s="7" t="n">
        <v>1</v>
      </c>
    </row>
    <row r="146" customFormat="false" ht="15.75" hidden="false" customHeight="true" outlineLevel="0" collapsed="false">
      <c r="A146" s="7" t="n">
        <v>29</v>
      </c>
      <c r="B146" s="7" t="n">
        <v>1</v>
      </c>
      <c r="C146" s="7" t="n">
        <v>3</v>
      </c>
      <c r="D146" s="9" t="s">
        <v>47</v>
      </c>
      <c r="E146" s="9" t="s">
        <v>15</v>
      </c>
      <c r="F146" s="9" t="s">
        <v>18</v>
      </c>
      <c r="G146" s="9" t="s">
        <v>26</v>
      </c>
      <c r="H146" s="10" t="s">
        <v>19</v>
      </c>
      <c r="I146" s="11" t="s">
        <v>20</v>
      </c>
      <c r="J146" s="12" t="s">
        <v>21</v>
      </c>
      <c r="K146" s="10" t="s">
        <v>22</v>
      </c>
      <c r="L146" s="12" t="s">
        <v>21</v>
      </c>
      <c r="M146" s="10" t="s">
        <v>22</v>
      </c>
      <c r="N146" s="7" t="n">
        <v>1</v>
      </c>
      <c r="O146" s="7" t="n">
        <v>0</v>
      </c>
    </row>
    <row r="147" customFormat="false" ht="15.75" hidden="false" customHeight="true" outlineLevel="0" collapsed="false">
      <c r="A147" s="7" t="n">
        <v>29</v>
      </c>
      <c r="B147" s="7" t="n">
        <v>1</v>
      </c>
      <c r="C147" s="7" t="n">
        <v>4</v>
      </c>
      <c r="D147" s="9" t="s">
        <v>47</v>
      </c>
      <c r="E147" s="9" t="s">
        <v>15</v>
      </c>
      <c r="F147" s="9" t="s">
        <v>18</v>
      </c>
      <c r="G147" s="9" t="s">
        <v>26</v>
      </c>
      <c r="H147" s="13" t="s">
        <v>19</v>
      </c>
      <c r="I147" s="11" t="s">
        <v>20</v>
      </c>
      <c r="J147" s="14" t="s">
        <v>21</v>
      </c>
      <c r="K147" s="13" t="s">
        <v>22</v>
      </c>
      <c r="L147" s="14" t="s">
        <v>21</v>
      </c>
      <c r="M147" s="13" t="s">
        <v>22</v>
      </c>
      <c r="N147" s="7" t="n">
        <v>1</v>
      </c>
      <c r="O147" s="7" t="n">
        <v>0</v>
      </c>
    </row>
    <row r="148" customFormat="false" ht="15.75" hidden="false" customHeight="true" outlineLevel="0" collapsed="false">
      <c r="A148" s="7" t="n">
        <v>29</v>
      </c>
      <c r="B148" s="7" t="n">
        <v>1</v>
      </c>
      <c r="C148" s="7" t="n">
        <v>5</v>
      </c>
      <c r="D148" s="9" t="s">
        <v>47</v>
      </c>
      <c r="E148" s="9" t="s">
        <v>15</v>
      </c>
      <c r="F148" s="9" t="s">
        <v>18</v>
      </c>
      <c r="G148" s="9" t="s">
        <v>26</v>
      </c>
      <c r="H148" s="10" t="s">
        <v>19</v>
      </c>
      <c r="I148" s="11" t="s">
        <v>20</v>
      </c>
      <c r="J148" s="12" t="s">
        <v>21</v>
      </c>
      <c r="K148" s="10" t="s">
        <v>22</v>
      </c>
      <c r="L148" s="12" t="s">
        <v>21</v>
      </c>
      <c r="M148" s="10" t="s">
        <v>22</v>
      </c>
      <c r="N148" s="7" t="n">
        <v>0</v>
      </c>
      <c r="O148" s="7" t="n">
        <v>1</v>
      </c>
    </row>
    <row r="149" customFormat="false" ht="15.75" hidden="false" customHeight="true" outlineLevel="0" collapsed="false">
      <c r="A149" s="7" t="n">
        <v>29</v>
      </c>
      <c r="B149" s="7" t="n">
        <v>1</v>
      </c>
      <c r="C149" s="7" t="n">
        <v>6</v>
      </c>
      <c r="D149" s="9" t="s">
        <v>47</v>
      </c>
      <c r="E149" s="9" t="s">
        <v>15</v>
      </c>
      <c r="F149" s="9" t="s">
        <v>18</v>
      </c>
      <c r="G149" s="9" t="s">
        <v>26</v>
      </c>
      <c r="H149" s="13" t="s">
        <v>19</v>
      </c>
      <c r="I149" s="11" t="s">
        <v>20</v>
      </c>
      <c r="J149" s="14" t="s">
        <v>21</v>
      </c>
      <c r="K149" s="13" t="s">
        <v>22</v>
      </c>
      <c r="L149" s="14" t="s">
        <v>21</v>
      </c>
      <c r="M149" s="13" t="s">
        <v>22</v>
      </c>
      <c r="N149" s="7" t="n">
        <v>1</v>
      </c>
      <c r="O149" s="7" t="n">
        <v>0</v>
      </c>
    </row>
    <row r="150" customFormat="false" ht="15.75" hidden="false" customHeight="true" outlineLevel="0" collapsed="false">
      <c r="A150" s="7" t="n">
        <v>29</v>
      </c>
      <c r="B150" s="7" t="n">
        <v>1</v>
      </c>
      <c r="C150" s="7" t="n">
        <v>7</v>
      </c>
      <c r="D150" s="9" t="s">
        <v>47</v>
      </c>
      <c r="E150" s="9" t="s">
        <v>15</v>
      </c>
      <c r="F150" s="9" t="s">
        <v>18</v>
      </c>
      <c r="G150" s="9" t="s">
        <v>26</v>
      </c>
      <c r="H150" s="10" t="s">
        <v>19</v>
      </c>
      <c r="I150" s="11" t="s">
        <v>20</v>
      </c>
      <c r="J150" s="12" t="s">
        <v>21</v>
      </c>
      <c r="K150" s="10" t="s">
        <v>22</v>
      </c>
      <c r="L150" s="12" t="s">
        <v>21</v>
      </c>
      <c r="M150" s="10" t="s">
        <v>22</v>
      </c>
      <c r="N150" s="7" t="n">
        <v>0</v>
      </c>
      <c r="O150" s="7" t="n">
        <v>1</v>
      </c>
    </row>
    <row r="151" customFormat="false" ht="15.75" hidden="false" customHeight="true" outlineLevel="0" collapsed="false">
      <c r="A151" s="7" t="n">
        <v>29</v>
      </c>
      <c r="B151" s="7" t="n">
        <v>1</v>
      </c>
      <c r="C151" s="7" t="n">
        <v>8</v>
      </c>
      <c r="D151" s="9" t="s">
        <v>47</v>
      </c>
      <c r="E151" s="9" t="s">
        <v>15</v>
      </c>
      <c r="F151" s="9" t="s">
        <v>18</v>
      </c>
      <c r="G151" s="9" t="s">
        <v>26</v>
      </c>
      <c r="H151" s="13" t="s">
        <v>19</v>
      </c>
      <c r="I151" s="11" t="s">
        <v>20</v>
      </c>
      <c r="J151" s="14" t="s">
        <v>21</v>
      </c>
      <c r="K151" s="13" t="s">
        <v>22</v>
      </c>
      <c r="L151" s="14" t="s">
        <v>21</v>
      </c>
      <c r="M151" s="13" t="s">
        <v>22</v>
      </c>
      <c r="N151" s="7" t="n">
        <v>0</v>
      </c>
      <c r="O151" s="7" t="n">
        <v>1</v>
      </c>
    </row>
    <row r="152" customFormat="false" ht="15.75" hidden="false" customHeight="true" outlineLevel="0" collapsed="false">
      <c r="A152" s="7" t="n">
        <v>29</v>
      </c>
      <c r="B152" s="7" t="n">
        <v>1</v>
      </c>
      <c r="C152" s="7" t="n">
        <v>9</v>
      </c>
      <c r="D152" s="9" t="s">
        <v>47</v>
      </c>
      <c r="E152" s="9" t="s">
        <v>15</v>
      </c>
      <c r="F152" s="9" t="s">
        <v>18</v>
      </c>
      <c r="G152" s="9" t="s">
        <v>26</v>
      </c>
      <c r="H152" s="10" t="s">
        <v>19</v>
      </c>
      <c r="I152" s="11" t="s">
        <v>20</v>
      </c>
      <c r="J152" s="12" t="s">
        <v>21</v>
      </c>
      <c r="K152" s="10" t="s">
        <v>22</v>
      </c>
      <c r="L152" s="12" t="s">
        <v>21</v>
      </c>
      <c r="M152" s="10" t="s">
        <v>22</v>
      </c>
      <c r="N152" s="7" t="n">
        <v>0</v>
      </c>
      <c r="O152" s="7" t="n">
        <v>1</v>
      </c>
    </row>
    <row r="153" customFormat="false" ht="15.75" hidden="false" customHeight="true" outlineLevel="0" collapsed="false">
      <c r="A153" s="7" t="n">
        <v>29</v>
      </c>
      <c r="B153" s="7" t="n">
        <v>1</v>
      </c>
      <c r="C153" s="7" t="n">
        <v>10</v>
      </c>
      <c r="D153" s="9" t="s">
        <v>47</v>
      </c>
      <c r="E153" s="9" t="s">
        <v>15</v>
      </c>
      <c r="F153" s="9" t="s">
        <v>18</v>
      </c>
      <c r="G153" s="9" t="s">
        <v>26</v>
      </c>
      <c r="H153" s="13" t="s">
        <v>19</v>
      </c>
      <c r="I153" s="11" t="s">
        <v>20</v>
      </c>
      <c r="J153" s="14" t="s">
        <v>21</v>
      </c>
      <c r="K153" s="13" t="s">
        <v>22</v>
      </c>
      <c r="L153" s="14" t="s">
        <v>21</v>
      </c>
      <c r="M153" s="13" t="s">
        <v>22</v>
      </c>
      <c r="N153" s="7" t="n">
        <v>1</v>
      </c>
      <c r="O153" s="7" t="n">
        <v>0</v>
      </c>
    </row>
    <row r="154" customFormat="false" ht="15.75" hidden="false" customHeight="true" outlineLevel="0" collapsed="false">
      <c r="A154" s="7" t="n">
        <v>29</v>
      </c>
      <c r="B154" s="7" t="n">
        <v>1</v>
      </c>
      <c r="C154" s="7" t="n">
        <v>11</v>
      </c>
      <c r="D154" s="9" t="s">
        <v>47</v>
      </c>
      <c r="E154" s="9" t="s">
        <v>15</v>
      </c>
      <c r="F154" s="9" t="s">
        <v>18</v>
      </c>
      <c r="G154" s="9" t="s">
        <v>26</v>
      </c>
      <c r="H154" s="10" t="s">
        <v>19</v>
      </c>
      <c r="I154" s="11" t="s">
        <v>20</v>
      </c>
      <c r="J154" s="12" t="s">
        <v>21</v>
      </c>
      <c r="K154" s="10" t="s">
        <v>22</v>
      </c>
      <c r="L154" s="12" t="s">
        <v>21</v>
      </c>
      <c r="M154" s="10" t="s">
        <v>22</v>
      </c>
      <c r="N154" s="7" t="n">
        <v>1</v>
      </c>
      <c r="O154" s="7" t="n">
        <v>0</v>
      </c>
    </row>
    <row r="155" customFormat="false" ht="15.75" hidden="false" customHeight="true" outlineLevel="0" collapsed="false">
      <c r="A155" s="7" t="n">
        <v>29</v>
      </c>
      <c r="B155" s="7" t="n">
        <v>1</v>
      </c>
      <c r="C155" s="7" t="n">
        <v>12</v>
      </c>
      <c r="D155" s="9" t="s">
        <v>47</v>
      </c>
      <c r="E155" s="9" t="s">
        <v>15</v>
      </c>
      <c r="F155" s="9" t="s">
        <v>18</v>
      </c>
      <c r="G155" s="9" t="s">
        <v>26</v>
      </c>
      <c r="H155" s="13" t="s">
        <v>19</v>
      </c>
      <c r="I155" s="11" t="s">
        <v>20</v>
      </c>
      <c r="J155" s="14" t="s">
        <v>21</v>
      </c>
      <c r="K155" s="13" t="s">
        <v>22</v>
      </c>
      <c r="L155" s="14" t="s">
        <v>21</v>
      </c>
      <c r="M155" s="13" t="s">
        <v>22</v>
      </c>
      <c r="N155" s="7" t="n">
        <v>0</v>
      </c>
      <c r="O155" s="7" t="n">
        <v>1</v>
      </c>
    </row>
    <row r="156" customFormat="false" ht="15.75" hidden="false" customHeight="true" outlineLevel="0" collapsed="false">
      <c r="A156" s="7" t="n">
        <v>31</v>
      </c>
      <c r="B156" s="7" t="n">
        <v>1</v>
      </c>
      <c r="C156" s="7" t="n">
        <v>1</v>
      </c>
      <c r="D156" s="9" t="s">
        <v>35</v>
      </c>
      <c r="E156" s="9" t="s">
        <v>48</v>
      </c>
      <c r="F156" s="9" t="s">
        <v>49</v>
      </c>
      <c r="G156" s="9" t="s">
        <v>24</v>
      </c>
      <c r="H156" s="10" t="s">
        <v>19</v>
      </c>
      <c r="I156" s="11" t="s">
        <v>20</v>
      </c>
      <c r="J156" s="12" t="s">
        <v>21</v>
      </c>
      <c r="K156" s="10" t="s">
        <v>22</v>
      </c>
      <c r="L156" s="12" t="s">
        <v>21</v>
      </c>
      <c r="M156" s="10" t="s">
        <v>22</v>
      </c>
      <c r="N156" s="18" t="n">
        <v>1</v>
      </c>
      <c r="O156" s="7" t="n">
        <v>0</v>
      </c>
    </row>
    <row r="157" customFormat="false" ht="15.75" hidden="false" customHeight="true" outlineLevel="0" collapsed="false">
      <c r="A157" s="7" t="n">
        <v>31</v>
      </c>
      <c r="B157" s="7" t="n">
        <v>1</v>
      </c>
      <c r="C157" s="7" t="n">
        <v>2</v>
      </c>
      <c r="D157" s="9" t="s">
        <v>35</v>
      </c>
      <c r="E157" s="9" t="s">
        <v>48</v>
      </c>
      <c r="F157" s="9" t="s">
        <v>49</v>
      </c>
      <c r="G157" s="9" t="s">
        <v>24</v>
      </c>
      <c r="H157" s="13" t="s">
        <v>19</v>
      </c>
      <c r="I157" s="11" t="s">
        <v>20</v>
      </c>
      <c r="J157" s="14" t="s">
        <v>21</v>
      </c>
      <c r="K157" s="13" t="s">
        <v>22</v>
      </c>
      <c r="L157" s="14" t="s">
        <v>21</v>
      </c>
      <c r="M157" s="13" t="s">
        <v>22</v>
      </c>
      <c r="N157" s="7" t="n">
        <v>0</v>
      </c>
      <c r="O157" s="7" t="n">
        <v>1</v>
      </c>
    </row>
    <row r="158" customFormat="false" ht="15.75" hidden="false" customHeight="true" outlineLevel="0" collapsed="false">
      <c r="A158" s="7" t="n">
        <v>31</v>
      </c>
      <c r="B158" s="7" t="n">
        <v>1</v>
      </c>
      <c r="C158" s="7" t="n">
        <v>3</v>
      </c>
      <c r="D158" s="9" t="s">
        <v>35</v>
      </c>
      <c r="E158" s="9" t="s">
        <v>48</v>
      </c>
      <c r="F158" s="9" t="s">
        <v>49</v>
      </c>
      <c r="G158" s="9" t="s">
        <v>24</v>
      </c>
      <c r="H158" s="10" t="s">
        <v>19</v>
      </c>
      <c r="I158" s="11" t="s">
        <v>20</v>
      </c>
      <c r="J158" s="12" t="s">
        <v>21</v>
      </c>
      <c r="K158" s="10" t="s">
        <v>22</v>
      </c>
      <c r="L158" s="12" t="s">
        <v>21</v>
      </c>
      <c r="M158" s="10" t="s">
        <v>22</v>
      </c>
      <c r="N158" s="7" t="n">
        <v>0</v>
      </c>
      <c r="O158" s="7" t="n">
        <v>1</v>
      </c>
    </row>
    <row r="159" customFormat="false" ht="15.75" hidden="false" customHeight="true" outlineLevel="0" collapsed="false">
      <c r="A159" s="7" t="n">
        <v>31</v>
      </c>
      <c r="B159" s="7" t="n">
        <v>1</v>
      </c>
      <c r="C159" s="7" t="n">
        <v>4</v>
      </c>
      <c r="D159" s="9" t="s">
        <v>35</v>
      </c>
      <c r="E159" s="9" t="s">
        <v>48</v>
      </c>
      <c r="F159" s="9" t="s">
        <v>49</v>
      </c>
      <c r="G159" s="9" t="s">
        <v>24</v>
      </c>
      <c r="H159" s="13" t="s">
        <v>19</v>
      </c>
      <c r="I159" s="11" t="s">
        <v>20</v>
      </c>
      <c r="J159" s="14" t="s">
        <v>21</v>
      </c>
      <c r="K159" s="13" t="s">
        <v>22</v>
      </c>
      <c r="L159" s="14" t="s">
        <v>21</v>
      </c>
      <c r="M159" s="13" t="s">
        <v>22</v>
      </c>
      <c r="N159" s="7" t="n">
        <v>1</v>
      </c>
      <c r="O159" s="7" t="n">
        <v>0</v>
      </c>
    </row>
    <row r="160" customFormat="false" ht="15.75" hidden="false" customHeight="true" outlineLevel="0" collapsed="false">
      <c r="A160" s="7" t="n">
        <v>31</v>
      </c>
      <c r="B160" s="7" t="n">
        <v>1</v>
      </c>
      <c r="C160" s="7" t="n">
        <v>5</v>
      </c>
      <c r="D160" s="9" t="s">
        <v>35</v>
      </c>
      <c r="E160" s="9" t="s">
        <v>48</v>
      </c>
      <c r="F160" s="9" t="s">
        <v>49</v>
      </c>
      <c r="G160" s="9" t="s">
        <v>24</v>
      </c>
      <c r="H160" s="10" t="s">
        <v>19</v>
      </c>
      <c r="I160" s="11" t="s">
        <v>20</v>
      </c>
      <c r="J160" s="12" t="s">
        <v>21</v>
      </c>
      <c r="K160" s="10" t="s">
        <v>22</v>
      </c>
      <c r="L160" s="12" t="s">
        <v>21</v>
      </c>
      <c r="M160" s="10" t="s">
        <v>22</v>
      </c>
      <c r="N160" s="7" t="n">
        <v>0</v>
      </c>
      <c r="O160" s="7" t="n">
        <v>1</v>
      </c>
    </row>
    <row r="161" customFormat="false" ht="15.75" hidden="false" customHeight="true" outlineLevel="0" collapsed="false">
      <c r="A161" s="7" t="n">
        <v>31</v>
      </c>
      <c r="B161" s="7" t="n">
        <v>1</v>
      </c>
      <c r="C161" s="7" t="n">
        <v>6</v>
      </c>
      <c r="D161" s="9" t="s">
        <v>35</v>
      </c>
      <c r="E161" s="9" t="s">
        <v>48</v>
      </c>
      <c r="F161" s="9" t="s">
        <v>49</v>
      </c>
      <c r="G161" s="9" t="s">
        <v>24</v>
      </c>
      <c r="H161" s="13" t="s">
        <v>19</v>
      </c>
      <c r="I161" s="11" t="s">
        <v>20</v>
      </c>
      <c r="J161" s="14" t="s">
        <v>21</v>
      </c>
      <c r="K161" s="13" t="s">
        <v>22</v>
      </c>
      <c r="L161" s="14" t="s">
        <v>21</v>
      </c>
      <c r="M161" s="13" t="s">
        <v>22</v>
      </c>
      <c r="N161" s="7" t="n">
        <v>1</v>
      </c>
      <c r="O161" s="7" t="n">
        <v>0</v>
      </c>
    </row>
    <row r="162" customFormat="false" ht="15.75" hidden="false" customHeight="true" outlineLevel="0" collapsed="false">
      <c r="A162" s="7" t="n">
        <v>31</v>
      </c>
      <c r="B162" s="7" t="n">
        <v>1</v>
      </c>
      <c r="C162" s="7" t="n">
        <v>7</v>
      </c>
      <c r="D162" s="9" t="s">
        <v>35</v>
      </c>
      <c r="E162" s="9" t="s">
        <v>48</v>
      </c>
      <c r="F162" s="9" t="s">
        <v>49</v>
      </c>
      <c r="G162" s="9" t="s">
        <v>24</v>
      </c>
      <c r="H162" s="10" t="s">
        <v>19</v>
      </c>
      <c r="I162" s="11" t="s">
        <v>20</v>
      </c>
      <c r="J162" s="12" t="s">
        <v>21</v>
      </c>
      <c r="K162" s="10" t="s">
        <v>22</v>
      </c>
      <c r="L162" s="12" t="s">
        <v>21</v>
      </c>
      <c r="M162" s="10" t="s">
        <v>22</v>
      </c>
      <c r="N162" s="7" t="n">
        <v>0</v>
      </c>
      <c r="O162" s="7" t="n">
        <v>1</v>
      </c>
    </row>
    <row r="163" customFormat="false" ht="15.75" hidden="false" customHeight="true" outlineLevel="0" collapsed="false">
      <c r="A163" s="7" t="n">
        <v>31</v>
      </c>
      <c r="B163" s="7" t="n">
        <v>1</v>
      </c>
      <c r="C163" s="7" t="n">
        <v>8</v>
      </c>
      <c r="D163" s="9" t="s">
        <v>35</v>
      </c>
      <c r="E163" s="9" t="s">
        <v>48</v>
      </c>
      <c r="F163" s="9" t="s">
        <v>49</v>
      </c>
      <c r="G163" s="9" t="s">
        <v>24</v>
      </c>
      <c r="H163" s="13" t="s">
        <v>19</v>
      </c>
      <c r="I163" s="11" t="s">
        <v>20</v>
      </c>
      <c r="J163" s="14" t="s">
        <v>21</v>
      </c>
      <c r="K163" s="13" t="s">
        <v>22</v>
      </c>
      <c r="L163" s="14" t="s">
        <v>21</v>
      </c>
      <c r="M163" s="13" t="s">
        <v>22</v>
      </c>
      <c r="N163" s="7" t="n">
        <v>0</v>
      </c>
      <c r="O163" s="7" t="n">
        <v>1</v>
      </c>
    </row>
    <row r="164" customFormat="false" ht="15.75" hidden="false" customHeight="true" outlineLevel="0" collapsed="false">
      <c r="A164" s="7" t="n">
        <v>31</v>
      </c>
      <c r="B164" s="7" t="n">
        <v>1</v>
      </c>
      <c r="C164" s="7" t="n">
        <v>9</v>
      </c>
      <c r="D164" s="9" t="s">
        <v>35</v>
      </c>
      <c r="E164" s="9" t="s">
        <v>48</v>
      </c>
      <c r="F164" s="9" t="s">
        <v>49</v>
      </c>
      <c r="G164" s="9" t="s">
        <v>24</v>
      </c>
      <c r="H164" s="10" t="s">
        <v>19</v>
      </c>
      <c r="I164" s="11" t="s">
        <v>20</v>
      </c>
      <c r="J164" s="12" t="s">
        <v>21</v>
      </c>
      <c r="K164" s="10" t="s">
        <v>22</v>
      </c>
      <c r="L164" s="12" t="s">
        <v>21</v>
      </c>
      <c r="M164" s="10" t="s">
        <v>22</v>
      </c>
      <c r="N164" s="7" t="n">
        <v>0</v>
      </c>
      <c r="O164" s="7" t="n">
        <v>1</v>
      </c>
    </row>
    <row r="165" customFormat="false" ht="15.75" hidden="false" customHeight="true" outlineLevel="0" collapsed="false">
      <c r="A165" s="7" t="n">
        <v>31</v>
      </c>
      <c r="B165" s="7" t="n">
        <v>1</v>
      </c>
      <c r="C165" s="7" t="n">
        <v>10</v>
      </c>
      <c r="D165" s="9" t="s">
        <v>35</v>
      </c>
      <c r="E165" s="9" t="s">
        <v>48</v>
      </c>
      <c r="F165" s="9" t="s">
        <v>49</v>
      </c>
      <c r="G165" s="9" t="s">
        <v>24</v>
      </c>
      <c r="H165" s="13" t="s">
        <v>19</v>
      </c>
      <c r="I165" s="11" t="s">
        <v>20</v>
      </c>
      <c r="J165" s="14" t="s">
        <v>21</v>
      </c>
      <c r="K165" s="13" t="s">
        <v>22</v>
      </c>
      <c r="L165" s="14" t="s">
        <v>21</v>
      </c>
      <c r="M165" s="13" t="s">
        <v>22</v>
      </c>
      <c r="N165" s="7" t="n">
        <v>1</v>
      </c>
      <c r="O165" s="7" t="n">
        <v>0</v>
      </c>
    </row>
    <row r="166" customFormat="false" ht="15.75" hidden="false" customHeight="true" outlineLevel="0" collapsed="false">
      <c r="A166" s="7" t="n">
        <v>31</v>
      </c>
      <c r="B166" s="7" t="n">
        <v>1</v>
      </c>
      <c r="C166" s="7" t="n">
        <v>11</v>
      </c>
      <c r="D166" s="9" t="s">
        <v>35</v>
      </c>
      <c r="E166" s="9" t="s">
        <v>48</v>
      </c>
      <c r="F166" s="9" t="s">
        <v>49</v>
      </c>
      <c r="G166" s="9" t="s">
        <v>24</v>
      </c>
      <c r="H166" s="10" t="s">
        <v>19</v>
      </c>
      <c r="I166" s="11" t="s">
        <v>20</v>
      </c>
      <c r="J166" s="12" t="s">
        <v>21</v>
      </c>
      <c r="K166" s="10" t="s">
        <v>22</v>
      </c>
      <c r="L166" s="12" t="s">
        <v>21</v>
      </c>
      <c r="M166" s="10" t="s">
        <v>22</v>
      </c>
      <c r="N166" s="7" t="n">
        <v>1</v>
      </c>
      <c r="O166" s="7" t="n">
        <v>0</v>
      </c>
    </row>
    <row r="167" customFormat="false" ht="15.75" hidden="false" customHeight="true" outlineLevel="0" collapsed="false">
      <c r="A167" s="7" t="n">
        <v>31</v>
      </c>
      <c r="B167" s="7" t="n">
        <v>1</v>
      </c>
      <c r="C167" s="7" t="n">
        <v>12</v>
      </c>
      <c r="D167" s="9" t="s">
        <v>35</v>
      </c>
      <c r="E167" s="9" t="s">
        <v>48</v>
      </c>
      <c r="F167" s="9" t="s">
        <v>49</v>
      </c>
      <c r="G167" s="9" t="s">
        <v>24</v>
      </c>
      <c r="H167" s="13" t="s">
        <v>19</v>
      </c>
      <c r="I167" s="11" t="s">
        <v>20</v>
      </c>
      <c r="J167" s="14" t="s">
        <v>21</v>
      </c>
      <c r="K167" s="13" t="s">
        <v>22</v>
      </c>
      <c r="L167" s="14" t="s">
        <v>21</v>
      </c>
      <c r="M167" s="13" t="s">
        <v>22</v>
      </c>
      <c r="N167" s="7" t="n">
        <v>0</v>
      </c>
      <c r="O167" s="7" t="n">
        <v>1</v>
      </c>
    </row>
    <row r="168" customFormat="false" ht="15.75" hidden="false" customHeight="true" outlineLevel="0" collapsed="false">
      <c r="A168" s="7" t="n">
        <v>33</v>
      </c>
      <c r="B168" s="7" t="n">
        <v>1</v>
      </c>
      <c r="C168" s="7" t="n">
        <v>1</v>
      </c>
      <c r="D168" s="9" t="s">
        <v>32</v>
      </c>
      <c r="E168" s="9" t="s">
        <v>34</v>
      </c>
      <c r="F168" s="9" t="s">
        <v>48</v>
      </c>
      <c r="G168" s="9" t="s">
        <v>27</v>
      </c>
      <c r="H168" s="10" t="s">
        <v>19</v>
      </c>
      <c r="I168" s="11" t="s">
        <v>20</v>
      </c>
      <c r="J168" s="12" t="s">
        <v>21</v>
      </c>
      <c r="K168" s="10" t="s">
        <v>22</v>
      </c>
      <c r="L168" s="12" t="s">
        <v>21</v>
      </c>
      <c r="M168" s="10" t="s">
        <v>22</v>
      </c>
      <c r="N168" s="22" t="n">
        <v>1</v>
      </c>
      <c r="O168" s="7" t="n">
        <v>0</v>
      </c>
    </row>
    <row r="169" customFormat="false" ht="15.75" hidden="false" customHeight="true" outlineLevel="0" collapsed="false">
      <c r="A169" s="7" t="n">
        <v>33</v>
      </c>
      <c r="B169" s="7" t="n">
        <v>1</v>
      </c>
      <c r="C169" s="7" t="n">
        <v>2</v>
      </c>
      <c r="D169" s="9" t="s">
        <v>32</v>
      </c>
      <c r="E169" s="9" t="s">
        <v>34</v>
      </c>
      <c r="F169" s="9" t="s">
        <v>48</v>
      </c>
      <c r="G169" s="9" t="s">
        <v>27</v>
      </c>
      <c r="H169" s="13" t="s">
        <v>19</v>
      </c>
      <c r="I169" s="11" t="s">
        <v>20</v>
      </c>
      <c r="J169" s="14" t="s">
        <v>21</v>
      </c>
      <c r="K169" s="13" t="s">
        <v>22</v>
      </c>
      <c r="L169" s="14" t="s">
        <v>21</v>
      </c>
      <c r="M169" s="13" t="s">
        <v>22</v>
      </c>
      <c r="N169" s="7" t="n">
        <v>1</v>
      </c>
      <c r="O169" s="7" t="n">
        <v>0</v>
      </c>
    </row>
    <row r="170" customFormat="false" ht="15.75" hidden="false" customHeight="true" outlineLevel="0" collapsed="false">
      <c r="A170" s="7" t="n">
        <v>33</v>
      </c>
      <c r="B170" s="7" t="n">
        <v>1</v>
      </c>
      <c r="C170" s="7" t="n">
        <v>3</v>
      </c>
      <c r="D170" s="9" t="s">
        <v>32</v>
      </c>
      <c r="E170" s="9" t="s">
        <v>34</v>
      </c>
      <c r="F170" s="9" t="s">
        <v>48</v>
      </c>
      <c r="G170" s="9" t="s">
        <v>27</v>
      </c>
      <c r="H170" s="10" t="s">
        <v>19</v>
      </c>
      <c r="I170" s="11" t="s">
        <v>20</v>
      </c>
      <c r="J170" s="12" t="s">
        <v>21</v>
      </c>
      <c r="K170" s="10" t="s">
        <v>22</v>
      </c>
      <c r="L170" s="12" t="s">
        <v>21</v>
      </c>
      <c r="M170" s="10" t="s">
        <v>22</v>
      </c>
      <c r="N170" s="7" t="n">
        <v>1</v>
      </c>
      <c r="O170" s="7" t="n">
        <v>0</v>
      </c>
    </row>
    <row r="171" customFormat="false" ht="15.75" hidden="false" customHeight="true" outlineLevel="0" collapsed="false">
      <c r="A171" s="7" t="n">
        <v>33</v>
      </c>
      <c r="B171" s="7" t="n">
        <v>1</v>
      </c>
      <c r="C171" s="7" t="n">
        <v>4</v>
      </c>
      <c r="D171" s="9" t="s">
        <v>32</v>
      </c>
      <c r="E171" s="9" t="s">
        <v>34</v>
      </c>
      <c r="F171" s="9" t="s">
        <v>48</v>
      </c>
      <c r="G171" s="9" t="s">
        <v>27</v>
      </c>
      <c r="H171" s="13" t="s">
        <v>19</v>
      </c>
      <c r="I171" s="11" t="s">
        <v>20</v>
      </c>
      <c r="J171" s="14" t="s">
        <v>21</v>
      </c>
      <c r="K171" s="13" t="s">
        <v>22</v>
      </c>
      <c r="L171" s="14" t="s">
        <v>21</v>
      </c>
      <c r="M171" s="13" t="s">
        <v>22</v>
      </c>
      <c r="N171" s="7" t="n">
        <v>0</v>
      </c>
      <c r="O171" s="7" t="n">
        <v>1</v>
      </c>
    </row>
    <row r="172" customFormat="false" ht="15.75" hidden="false" customHeight="true" outlineLevel="0" collapsed="false">
      <c r="A172" s="7" t="n">
        <v>33</v>
      </c>
      <c r="B172" s="7" t="n">
        <v>1</v>
      </c>
      <c r="C172" s="7" t="n">
        <v>5</v>
      </c>
      <c r="D172" s="9" t="s">
        <v>32</v>
      </c>
      <c r="E172" s="9" t="s">
        <v>34</v>
      </c>
      <c r="F172" s="9" t="s">
        <v>48</v>
      </c>
      <c r="G172" s="9" t="s">
        <v>27</v>
      </c>
      <c r="H172" s="10" t="s">
        <v>19</v>
      </c>
      <c r="I172" s="11" t="s">
        <v>20</v>
      </c>
      <c r="J172" s="12" t="s">
        <v>21</v>
      </c>
      <c r="K172" s="10" t="s">
        <v>22</v>
      </c>
      <c r="L172" s="12" t="s">
        <v>21</v>
      </c>
      <c r="M172" s="10" t="s">
        <v>22</v>
      </c>
      <c r="N172" s="7" t="n">
        <v>0</v>
      </c>
      <c r="O172" s="7" t="n">
        <v>1</v>
      </c>
    </row>
    <row r="173" customFormat="false" ht="15.75" hidden="false" customHeight="true" outlineLevel="0" collapsed="false">
      <c r="A173" s="7" t="n">
        <v>33</v>
      </c>
      <c r="B173" s="7" t="n">
        <v>1</v>
      </c>
      <c r="C173" s="7" t="n">
        <v>6</v>
      </c>
      <c r="D173" s="9" t="s">
        <v>32</v>
      </c>
      <c r="E173" s="9" t="s">
        <v>34</v>
      </c>
      <c r="F173" s="9" t="s">
        <v>48</v>
      </c>
      <c r="G173" s="9" t="s">
        <v>27</v>
      </c>
      <c r="H173" s="13" t="s">
        <v>19</v>
      </c>
      <c r="I173" s="11" t="s">
        <v>20</v>
      </c>
      <c r="J173" s="14" t="s">
        <v>21</v>
      </c>
      <c r="K173" s="13" t="s">
        <v>22</v>
      </c>
      <c r="L173" s="14" t="s">
        <v>21</v>
      </c>
      <c r="M173" s="13" t="s">
        <v>22</v>
      </c>
      <c r="N173" s="7" t="n">
        <v>1</v>
      </c>
      <c r="O173" s="7" t="n">
        <v>0</v>
      </c>
    </row>
    <row r="174" customFormat="false" ht="15.75" hidden="false" customHeight="true" outlineLevel="0" collapsed="false">
      <c r="A174" s="7" t="n">
        <v>33</v>
      </c>
      <c r="B174" s="7" t="n">
        <v>1</v>
      </c>
      <c r="C174" s="7" t="n">
        <v>7</v>
      </c>
      <c r="D174" s="9" t="s">
        <v>32</v>
      </c>
      <c r="E174" s="9" t="s">
        <v>34</v>
      </c>
      <c r="F174" s="9" t="s">
        <v>48</v>
      </c>
      <c r="G174" s="9" t="s">
        <v>27</v>
      </c>
      <c r="H174" s="10" t="s">
        <v>19</v>
      </c>
      <c r="I174" s="11" t="s">
        <v>20</v>
      </c>
      <c r="J174" s="12" t="s">
        <v>21</v>
      </c>
      <c r="K174" s="10" t="s">
        <v>22</v>
      </c>
      <c r="L174" s="12" t="s">
        <v>21</v>
      </c>
      <c r="M174" s="10" t="s">
        <v>22</v>
      </c>
      <c r="N174" s="7" t="n">
        <v>0</v>
      </c>
      <c r="O174" s="7" t="n">
        <v>1</v>
      </c>
    </row>
    <row r="175" customFormat="false" ht="15.75" hidden="false" customHeight="true" outlineLevel="0" collapsed="false">
      <c r="A175" s="7" t="n">
        <v>33</v>
      </c>
      <c r="B175" s="7" t="n">
        <v>1</v>
      </c>
      <c r="C175" s="7" t="n">
        <v>8</v>
      </c>
      <c r="D175" s="9" t="s">
        <v>32</v>
      </c>
      <c r="E175" s="9" t="s">
        <v>34</v>
      </c>
      <c r="F175" s="9" t="s">
        <v>48</v>
      </c>
      <c r="G175" s="9" t="s">
        <v>27</v>
      </c>
      <c r="H175" s="13" t="s">
        <v>19</v>
      </c>
      <c r="I175" s="11" t="s">
        <v>20</v>
      </c>
      <c r="J175" s="14" t="s">
        <v>21</v>
      </c>
      <c r="K175" s="13" t="s">
        <v>22</v>
      </c>
      <c r="L175" s="14" t="s">
        <v>21</v>
      </c>
      <c r="M175" s="13" t="s">
        <v>22</v>
      </c>
      <c r="N175" s="7" t="n">
        <v>1</v>
      </c>
      <c r="O175" s="7" t="n">
        <v>0</v>
      </c>
    </row>
    <row r="176" customFormat="false" ht="15.75" hidden="false" customHeight="true" outlineLevel="0" collapsed="false">
      <c r="A176" s="7" t="n">
        <v>33</v>
      </c>
      <c r="B176" s="7" t="n">
        <v>1</v>
      </c>
      <c r="C176" s="7" t="n">
        <v>9</v>
      </c>
      <c r="D176" s="9" t="s">
        <v>32</v>
      </c>
      <c r="E176" s="9" t="s">
        <v>34</v>
      </c>
      <c r="F176" s="9" t="s">
        <v>48</v>
      </c>
      <c r="G176" s="9" t="s">
        <v>27</v>
      </c>
      <c r="H176" s="10" t="s">
        <v>19</v>
      </c>
      <c r="I176" s="11" t="s">
        <v>20</v>
      </c>
      <c r="J176" s="12" t="s">
        <v>21</v>
      </c>
      <c r="K176" s="10" t="s">
        <v>22</v>
      </c>
      <c r="L176" s="12" t="s">
        <v>21</v>
      </c>
      <c r="M176" s="10" t="s">
        <v>22</v>
      </c>
      <c r="N176" s="7" t="n">
        <v>1</v>
      </c>
      <c r="O176" s="7" t="n">
        <v>0</v>
      </c>
    </row>
    <row r="177" customFormat="false" ht="15.75" hidden="false" customHeight="true" outlineLevel="0" collapsed="false">
      <c r="A177" s="7" t="n">
        <v>33</v>
      </c>
      <c r="B177" s="7" t="n">
        <v>1</v>
      </c>
      <c r="C177" s="7" t="n">
        <v>10</v>
      </c>
      <c r="D177" s="9" t="s">
        <v>32</v>
      </c>
      <c r="E177" s="9" t="s">
        <v>34</v>
      </c>
      <c r="F177" s="9" t="s">
        <v>48</v>
      </c>
      <c r="G177" s="9" t="s">
        <v>27</v>
      </c>
      <c r="H177" s="13" t="s">
        <v>19</v>
      </c>
      <c r="I177" s="11" t="s">
        <v>20</v>
      </c>
      <c r="J177" s="14" t="s">
        <v>21</v>
      </c>
      <c r="K177" s="13" t="s">
        <v>22</v>
      </c>
      <c r="L177" s="14" t="s">
        <v>21</v>
      </c>
      <c r="M177" s="13" t="s">
        <v>22</v>
      </c>
      <c r="N177" s="7" t="n">
        <v>1</v>
      </c>
      <c r="O177" s="7" t="n">
        <v>0</v>
      </c>
    </row>
    <row r="178" customFormat="false" ht="15.75" hidden="false" customHeight="true" outlineLevel="0" collapsed="false">
      <c r="A178" s="7" t="n">
        <v>37</v>
      </c>
      <c r="B178" s="7" t="n">
        <v>1</v>
      </c>
      <c r="C178" s="7" t="n">
        <v>1</v>
      </c>
      <c r="D178" s="9" t="s">
        <v>50</v>
      </c>
      <c r="E178" s="9" t="s">
        <v>27</v>
      </c>
      <c r="F178" s="9" t="s">
        <v>39</v>
      </c>
      <c r="G178" s="9" t="s">
        <v>43</v>
      </c>
      <c r="H178" s="10" t="s">
        <v>19</v>
      </c>
      <c r="I178" s="11" t="s">
        <v>20</v>
      </c>
      <c r="J178" s="12" t="s">
        <v>21</v>
      </c>
      <c r="K178" s="10" t="s">
        <v>22</v>
      </c>
      <c r="L178" s="12" t="s">
        <v>21</v>
      </c>
      <c r="M178" s="10" t="s">
        <v>22</v>
      </c>
      <c r="N178" s="17" t="n">
        <v>1</v>
      </c>
      <c r="O178" s="7" t="n">
        <v>0</v>
      </c>
    </row>
    <row r="179" customFormat="false" ht="15.75" hidden="false" customHeight="true" outlineLevel="0" collapsed="false">
      <c r="A179" s="7" t="n">
        <v>37</v>
      </c>
      <c r="B179" s="7" t="n">
        <v>1</v>
      </c>
      <c r="C179" s="7" t="n">
        <v>2</v>
      </c>
      <c r="D179" s="9" t="s">
        <v>50</v>
      </c>
      <c r="E179" s="9" t="s">
        <v>27</v>
      </c>
      <c r="F179" s="9" t="s">
        <v>39</v>
      </c>
      <c r="G179" s="9" t="s">
        <v>43</v>
      </c>
      <c r="H179" s="13" t="s">
        <v>19</v>
      </c>
      <c r="I179" s="11" t="s">
        <v>20</v>
      </c>
      <c r="J179" s="14" t="s">
        <v>21</v>
      </c>
      <c r="K179" s="13" t="s">
        <v>22</v>
      </c>
      <c r="L179" s="14" t="s">
        <v>21</v>
      </c>
      <c r="M179" s="13" t="s">
        <v>22</v>
      </c>
      <c r="N179" s="7" t="n">
        <v>0</v>
      </c>
      <c r="O179" s="7" t="n">
        <v>1</v>
      </c>
    </row>
    <row r="180" customFormat="false" ht="15.75" hidden="false" customHeight="true" outlineLevel="0" collapsed="false">
      <c r="A180" s="7" t="n">
        <v>37</v>
      </c>
      <c r="B180" s="7" t="n">
        <v>1</v>
      </c>
      <c r="C180" s="7" t="n">
        <v>3</v>
      </c>
      <c r="D180" s="9" t="s">
        <v>50</v>
      </c>
      <c r="E180" s="9" t="s">
        <v>27</v>
      </c>
      <c r="F180" s="9" t="s">
        <v>39</v>
      </c>
      <c r="G180" s="9" t="s">
        <v>43</v>
      </c>
      <c r="H180" s="10" t="s">
        <v>19</v>
      </c>
      <c r="I180" s="11" t="s">
        <v>20</v>
      </c>
      <c r="J180" s="12" t="s">
        <v>21</v>
      </c>
      <c r="K180" s="10" t="s">
        <v>22</v>
      </c>
      <c r="L180" s="12" t="s">
        <v>21</v>
      </c>
      <c r="M180" s="10" t="s">
        <v>22</v>
      </c>
      <c r="N180" s="7" t="n">
        <v>0</v>
      </c>
      <c r="O180" s="7" t="n">
        <v>1</v>
      </c>
    </row>
    <row r="181" customFormat="false" ht="15.75" hidden="false" customHeight="true" outlineLevel="0" collapsed="false">
      <c r="A181" s="7" t="n">
        <v>37</v>
      </c>
      <c r="B181" s="7" t="n">
        <v>1</v>
      </c>
      <c r="C181" s="7" t="n">
        <v>4</v>
      </c>
      <c r="D181" s="9" t="s">
        <v>50</v>
      </c>
      <c r="E181" s="9" t="s">
        <v>27</v>
      </c>
      <c r="F181" s="9" t="s">
        <v>39</v>
      </c>
      <c r="G181" s="9" t="s">
        <v>43</v>
      </c>
      <c r="H181" s="13" t="s">
        <v>19</v>
      </c>
      <c r="I181" s="11" t="s">
        <v>20</v>
      </c>
      <c r="J181" s="14" t="s">
        <v>21</v>
      </c>
      <c r="K181" s="13" t="s">
        <v>22</v>
      </c>
      <c r="L181" s="14" t="s">
        <v>21</v>
      </c>
      <c r="M181" s="13" t="s">
        <v>22</v>
      </c>
      <c r="N181" s="7" t="n">
        <v>1</v>
      </c>
      <c r="O181" s="7" t="n">
        <v>0</v>
      </c>
    </row>
    <row r="182" customFormat="false" ht="15.75" hidden="false" customHeight="true" outlineLevel="0" collapsed="false">
      <c r="A182" s="7" t="n">
        <v>37</v>
      </c>
      <c r="B182" s="7" t="n">
        <v>1</v>
      </c>
      <c r="C182" s="7" t="n">
        <v>5</v>
      </c>
      <c r="D182" s="9" t="s">
        <v>50</v>
      </c>
      <c r="E182" s="9" t="s">
        <v>27</v>
      </c>
      <c r="F182" s="9" t="s">
        <v>39</v>
      </c>
      <c r="G182" s="9" t="s">
        <v>43</v>
      </c>
      <c r="H182" s="10" t="s">
        <v>19</v>
      </c>
      <c r="I182" s="11" t="s">
        <v>20</v>
      </c>
      <c r="J182" s="12" t="s">
        <v>21</v>
      </c>
      <c r="K182" s="10" t="s">
        <v>22</v>
      </c>
      <c r="L182" s="12" t="s">
        <v>21</v>
      </c>
      <c r="M182" s="10" t="s">
        <v>22</v>
      </c>
      <c r="N182" s="7" t="n">
        <v>1</v>
      </c>
      <c r="O182" s="7" t="n">
        <v>0</v>
      </c>
    </row>
    <row r="183" customFormat="false" ht="15.75" hidden="false" customHeight="true" outlineLevel="0" collapsed="false">
      <c r="A183" s="7" t="n">
        <v>37</v>
      </c>
      <c r="B183" s="7" t="n">
        <v>1</v>
      </c>
      <c r="C183" s="7" t="n">
        <v>6</v>
      </c>
      <c r="D183" s="9" t="s">
        <v>50</v>
      </c>
      <c r="E183" s="9" t="s">
        <v>27</v>
      </c>
      <c r="F183" s="9" t="s">
        <v>39</v>
      </c>
      <c r="G183" s="9" t="s">
        <v>43</v>
      </c>
      <c r="H183" s="13" t="s">
        <v>19</v>
      </c>
      <c r="I183" s="11" t="s">
        <v>20</v>
      </c>
      <c r="J183" s="14" t="s">
        <v>21</v>
      </c>
      <c r="K183" s="13" t="s">
        <v>22</v>
      </c>
      <c r="L183" s="14" t="s">
        <v>21</v>
      </c>
      <c r="M183" s="13" t="s">
        <v>22</v>
      </c>
      <c r="N183" s="7" t="n">
        <v>0</v>
      </c>
      <c r="O183" s="7" t="n">
        <v>1</v>
      </c>
    </row>
    <row r="184" customFormat="false" ht="15.75" hidden="false" customHeight="true" outlineLevel="0" collapsed="false">
      <c r="A184" s="7" t="n">
        <v>37</v>
      </c>
      <c r="B184" s="7" t="n">
        <v>1</v>
      </c>
      <c r="C184" s="7" t="n">
        <v>7</v>
      </c>
      <c r="D184" s="9" t="s">
        <v>50</v>
      </c>
      <c r="E184" s="9" t="s">
        <v>27</v>
      </c>
      <c r="F184" s="9" t="s">
        <v>39</v>
      </c>
      <c r="G184" s="9" t="s">
        <v>43</v>
      </c>
      <c r="H184" s="10" t="s">
        <v>19</v>
      </c>
      <c r="I184" s="11" t="s">
        <v>20</v>
      </c>
      <c r="J184" s="12" t="s">
        <v>21</v>
      </c>
      <c r="K184" s="10" t="s">
        <v>22</v>
      </c>
      <c r="L184" s="12" t="s">
        <v>21</v>
      </c>
      <c r="M184" s="10" t="s">
        <v>22</v>
      </c>
      <c r="N184" s="7" t="n">
        <v>1</v>
      </c>
      <c r="O184" s="7" t="n">
        <v>0</v>
      </c>
    </row>
    <row r="185" customFormat="false" ht="15.75" hidden="false" customHeight="true" outlineLevel="0" collapsed="false">
      <c r="A185" s="7" t="n">
        <v>37</v>
      </c>
      <c r="B185" s="7" t="n">
        <v>1</v>
      </c>
      <c r="C185" s="7" t="n">
        <v>8</v>
      </c>
      <c r="D185" s="9" t="s">
        <v>50</v>
      </c>
      <c r="E185" s="9" t="s">
        <v>27</v>
      </c>
      <c r="F185" s="9" t="s">
        <v>39</v>
      </c>
      <c r="G185" s="9" t="s">
        <v>43</v>
      </c>
      <c r="H185" s="13" t="s">
        <v>19</v>
      </c>
      <c r="I185" s="11" t="s">
        <v>20</v>
      </c>
      <c r="J185" s="14" t="s">
        <v>21</v>
      </c>
      <c r="K185" s="13" t="s">
        <v>22</v>
      </c>
      <c r="L185" s="14" t="s">
        <v>21</v>
      </c>
      <c r="M185" s="13" t="s">
        <v>22</v>
      </c>
      <c r="N185" s="7" t="n">
        <v>0</v>
      </c>
      <c r="O185" s="7" t="n">
        <v>1</v>
      </c>
    </row>
    <row r="186" customFormat="false" ht="15.75" hidden="false" customHeight="true" outlineLevel="0" collapsed="false">
      <c r="A186" s="7" t="n">
        <v>37</v>
      </c>
      <c r="B186" s="7" t="n">
        <v>1</v>
      </c>
      <c r="C186" s="7" t="n">
        <v>9</v>
      </c>
      <c r="D186" s="9" t="s">
        <v>50</v>
      </c>
      <c r="E186" s="9" t="s">
        <v>27</v>
      </c>
      <c r="F186" s="9" t="s">
        <v>39</v>
      </c>
      <c r="G186" s="9" t="s">
        <v>43</v>
      </c>
      <c r="H186" s="10" t="s">
        <v>19</v>
      </c>
      <c r="I186" s="11" t="s">
        <v>20</v>
      </c>
      <c r="J186" s="12" t="s">
        <v>21</v>
      </c>
      <c r="K186" s="10" t="s">
        <v>22</v>
      </c>
      <c r="L186" s="12" t="s">
        <v>21</v>
      </c>
      <c r="M186" s="10" t="s">
        <v>22</v>
      </c>
      <c r="N186" s="7" t="n">
        <v>1</v>
      </c>
      <c r="O186" s="7" t="n">
        <v>0</v>
      </c>
    </row>
    <row r="187" customFormat="false" ht="15.75" hidden="false" customHeight="true" outlineLevel="0" collapsed="false">
      <c r="A187" s="7" t="n">
        <v>37</v>
      </c>
      <c r="B187" s="7" t="n">
        <v>1</v>
      </c>
      <c r="C187" s="7" t="n">
        <v>10</v>
      </c>
      <c r="D187" s="9" t="s">
        <v>50</v>
      </c>
      <c r="E187" s="9" t="s">
        <v>27</v>
      </c>
      <c r="F187" s="9" t="s">
        <v>39</v>
      </c>
      <c r="G187" s="9" t="s">
        <v>43</v>
      </c>
      <c r="H187" s="13" t="s">
        <v>19</v>
      </c>
      <c r="I187" s="11" t="s">
        <v>20</v>
      </c>
      <c r="J187" s="14" t="s">
        <v>21</v>
      </c>
      <c r="K187" s="13" t="s">
        <v>22</v>
      </c>
      <c r="L187" s="14" t="s">
        <v>21</v>
      </c>
      <c r="M187" s="13" t="s">
        <v>22</v>
      </c>
      <c r="N187" s="7" t="n">
        <v>0</v>
      </c>
      <c r="O187" s="7" t="n">
        <v>1</v>
      </c>
    </row>
    <row r="188" customFormat="false" ht="15.75" hidden="false" customHeight="true" outlineLevel="0" collapsed="false">
      <c r="A188" s="7" t="n">
        <v>37</v>
      </c>
      <c r="B188" s="7" t="n">
        <v>1</v>
      </c>
      <c r="C188" s="7" t="n">
        <v>11</v>
      </c>
      <c r="D188" s="9" t="s">
        <v>50</v>
      </c>
      <c r="E188" s="9" t="s">
        <v>27</v>
      </c>
      <c r="F188" s="9" t="s">
        <v>39</v>
      </c>
      <c r="G188" s="9" t="s">
        <v>43</v>
      </c>
      <c r="H188" s="10" t="s">
        <v>19</v>
      </c>
      <c r="I188" s="11" t="s">
        <v>20</v>
      </c>
      <c r="J188" s="12" t="s">
        <v>21</v>
      </c>
      <c r="K188" s="10" t="s">
        <v>22</v>
      </c>
      <c r="L188" s="12" t="s">
        <v>21</v>
      </c>
      <c r="M188" s="10" t="s">
        <v>22</v>
      </c>
      <c r="N188" s="7" t="n">
        <v>1</v>
      </c>
      <c r="O188" s="7" t="n">
        <v>0</v>
      </c>
    </row>
    <row r="189" customFormat="false" ht="15.75" hidden="false" customHeight="true" outlineLevel="0" collapsed="false">
      <c r="A189" s="7" t="n">
        <v>37</v>
      </c>
      <c r="B189" s="7" t="n">
        <v>1</v>
      </c>
      <c r="C189" s="7" t="n">
        <v>12</v>
      </c>
      <c r="D189" s="9" t="s">
        <v>50</v>
      </c>
      <c r="E189" s="9" t="s">
        <v>27</v>
      </c>
      <c r="F189" s="9" t="s">
        <v>39</v>
      </c>
      <c r="G189" s="9" t="s">
        <v>43</v>
      </c>
      <c r="H189" s="13" t="s">
        <v>19</v>
      </c>
      <c r="I189" s="11" t="s">
        <v>20</v>
      </c>
      <c r="J189" s="14" t="s">
        <v>21</v>
      </c>
      <c r="K189" s="13" t="s">
        <v>22</v>
      </c>
      <c r="L189" s="14" t="s">
        <v>21</v>
      </c>
      <c r="M189" s="13" t="s">
        <v>22</v>
      </c>
      <c r="N189" s="7" t="n">
        <v>1</v>
      </c>
      <c r="O189" s="7" t="n">
        <v>0</v>
      </c>
    </row>
    <row r="190" customFormat="false" ht="15.75" hidden="false" customHeight="true" outlineLevel="0" collapsed="false">
      <c r="A190" s="7" t="n">
        <v>35</v>
      </c>
      <c r="B190" s="7" t="n">
        <v>1</v>
      </c>
      <c r="C190" s="7" t="n">
        <v>1</v>
      </c>
      <c r="D190" s="9" t="s">
        <v>23</v>
      </c>
      <c r="E190" s="23" t="s">
        <v>48</v>
      </c>
      <c r="F190" s="9" t="s">
        <v>24</v>
      </c>
      <c r="G190" s="9" t="s">
        <v>16</v>
      </c>
      <c r="H190" s="10" t="s">
        <v>19</v>
      </c>
      <c r="I190" s="11" t="s">
        <v>20</v>
      </c>
      <c r="J190" s="10" t="s">
        <v>21</v>
      </c>
      <c r="K190" s="10" t="s">
        <v>22</v>
      </c>
      <c r="L190" s="12" t="s">
        <v>21</v>
      </c>
      <c r="M190" s="10" t="s">
        <v>22</v>
      </c>
      <c r="N190" s="7" t="n">
        <v>0</v>
      </c>
      <c r="O190" s="7" t="n">
        <v>1</v>
      </c>
    </row>
    <row r="191" customFormat="false" ht="15.75" hidden="false" customHeight="true" outlineLevel="0" collapsed="false">
      <c r="A191" s="7" t="n">
        <v>35</v>
      </c>
      <c r="B191" s="7" t="n">
        <v>1</v>
      </c>
      <c r="C191" s="7" t="n">
        <v>2</v>
      </c>
      <c r="D191" s="9" t="s">
        <v>23</v>
      </c>
      <c r="E191" s="23" t="s">
        <v>48</v>
      </c>
      <c r="F191" s="9" t="s">
        <v>24</v>
      </c>
      <c r="G191" s="9" t="s">
        <v>16</v>
      </c>
      <c r="H191" s="13" t="s">
        <v>19</v>
      </c>
      <c r="I191" s="11" t="s">
        <v>20</v>
      </c>
      <c r="J191" s="13" t="s">
        <v>21</v>
      </c>
      <c r="K191" s="13" t="s">
        <v>22</v>
      </c>
      <c r="L191" s="14" t="s">
        <v>21</v>
      </c>
      <c r="M191" s="13" t="s">
        <v>22</v>
      </c>
      <c r="N191" s="7" t="n">
        <v>0</v>
      </c>
      <c r="O191" s="7" t="n">
        <v>1</v>
      </c>
    </row>
    <row r="192" customFormat="false" ht="15.75" hidden="false" customHeight="true" outlineLevel="0" collapsed="false">
      <c r="A192" s="7" t="n">
        <v>35</v>
      </c>
      <c r="B192" s="7" t="n">
        <v>1</v>
      </c>
      <c r="C192" s="7" t="n">
        <v>3</v>
      </c>
      <c r="D192" s="9" t="s">
        <v>23</v>
      </c>
      <c r="E192" s="23" t="s">
        <v>48</v>
      </c>
      <c r="F192" s="9" t="s">
        <v>24</v>
      </c>
      <c r="G192" s="9" t="s">
        <v>16</v>
      </c>
      <c r="H192" s="10" t="s">
        <v>19</v>
      </c>
      <c r="I192" s="11" t="s">
        <v>20</v>
      </c>
      <c r="J192" s="10" t="s">
        <v>21</v>
      </c>
      <c r="K192" s="10" t="s">
        <v>22</v>
      </c>
      <c r="L192" s="12" t="s">
        <v>21</v>
      </c>
      <c r="M192" s="10" t="s">
        <v>22</v>
      </c>
      <c r="N192" s="7" t="n">
        <v>0</v>
      </c>
      <c r="O192" s="7" t="n">
        <v>1</v>
      </c>
    </row>
    <row r="193" customFormat="false" ht="15.75" hidden="false" customHeight="true" outlineLevel="0" collapsed="false">
      <c r="A193" s="7" t="n">
        <v>35</v>
      </c>
      <c r="B193" s="7" t="n">
        <v>1</v>
      </c>
      <c r="C193" s="7" t="n">
        <v>4</v>
      </c>
      <c r="D193" s="9" t="s">
        <v>23</v>
      </c>
      <c r="E193" s="23" t="s">
        <v>48</v>
      </c>
      <c r="F193" s="9" t="s">
        <v>24</v>
      </c>
      <c r="G193" s="9" t="s">
        <v>16</v>
      </c>
      <c r="H193" s="13" t="s">
        <v>19</v>
      </c>
      <c r="I193" s="11" t="s">
        <v>20</v>
      </c>
      <c r="J193" s="13" t="s">
        <v>21</v>
      </c>
      <c r="K193" s="13" t="s">
        <v>22</v>
      </c>
      <c r="L193" s="14" t="s">
        <v>21</v>
      </c>
      <c r="M193" s="13" t="s">
        <v>22</v>
      </c>
      <c r="N193" s="7" t="n">
        <v>1</v>
      </c>
      <c r="O193" s="7" t="n">
        <v>0</v>
      </c>
    </row>
    <row r="194" customFormat="false" ht="15.75" hidden="false" customHeight="true" outlineLevel="0" collapsed="false">
      <c r="A194" s="7" t="n">
        <v>35</v>
      </c>
      <c r="B194" s="7" t="n">
        <v>1</v>
      </c>
      <c r="C194" s="7" t="n">
        <v>5</v>
      </c>
      <c r="D194" s="9" t="s">
        <v>23</v>
      </c>
      <c r="E194" s="23" t="s">
        <v>48</v>
      </c>
      <c r="F194" s="9" t="s">
        <v>24</v>
      </c>
      <c r="G194" s="9" t="s">
        <v>16</v>
      </c>
      <c r="H194" s="10" t="s">
        <v>19</v>
      </c>
      <c r="I194" s="11" t="s">
        <v>20</v>
      </c>
      <c r="J194" s="10" t="s">
        <v>21</v>
      </c>
      <c r="K194" s="10" t="s">
        <v>22</v>
      </c>
      <c r="L194" s="12" t="s">
        <v>21</v>
      </c>
      <c r="M194" s="10" t="s">
        <v>22</v>
      </c>
      <c r="N194" s="7" t="n">
        <v>0</v>
      </c>
      <c r="O194" s="7" t="n">
        <v>1</v>
      </c>
    </row>
    <row r="195" customFormat="false" ht="15.75" hidden="false" customHeight="true" outlineLevel="0" collapsed="false">
      <c r="A195" s="7" t="n">
        <v>35</v>
      </c>
      <c r="B195" s="7" t="n">
        <v>1</v>
      </c>
      <c r="C195" s="7" t="n">
        <v>6</v>
      </c>
      <c r="D195" s="9" t="s">
        <v>23</v>
      </c>
      <c r="E195" s="23" t="s">
        <v>48</v>
      </c>
      <c r="F195" s="9" t="s">
        <v>24</v>
      </c>
      <c r="G195" s="9" t="s">
        <v>16</v>
      </c>
      <c r="H195" s="13" t="s">
        <v>19</v>
      </c>
      <c r="I195" s="11" t="s">
        <v>20</v>
      </c>
      <c r="J195" s="13" t="s">
        <v>21</v>
      </c>
      <c r="K195" s="13" t="s">
        <v>22</v>
      </c>
      <c r="L195" s="14" t="s">
        <v>21</v>
      </c>
      <c r="M195" s="13" t="s">
        <v>22</v>
      </c>
      <c r="N195" s="7" t="n">
        <v>0</v>
      </c>
      <c r="O195" s="7" t="n">
        <v>1</v>
      </c>
    </row>
    <row r="196" customFormat="false" ht="15.75" hidden="false" customHeight="true" outlineLevel="0" collapsed="false">
      <c r="A196" s="7" t="n">
        <v>35</v>
      </c>
      <c r="B196" s="7" t="n">
        <v>1</v>
      </c>
      <c r="C196" s="7" t="n">
        <v>7</v>
      </c>
      <c r="D196" s="9" t="s">
        <v>23</v>
      </c>
      <c r="E196" s="23" t="s">
        <v>48</v>
      </c>
      <c r="F196" s="9" t="s">
        <v>24</v>
      </c>
      <c r="G196" s="9" t="s">
        <v>16</v>
      </c>
      <c r="H196" s="10" t="s">
        <v>19</v>
      </c>
      <c r="I196" s="11" t="s">
        <v>20</v>
      </c>
      <c r="J196" s="10" t="s">
        <v>21</v>
      </c>
      <c r="K196" s="10" t="s">
        <v>22</v>
      </c>
      <c r="L196" s="12" t="s">
        <v>21</v>
      </c>
      <c r="M196" s="10" t="s">
        <v>22</v>
      </c>
      <c r="N196" s="7" t="n">
        <v>1</v>
      </c>
      <c r="O196" s="7" t="n">
        <v>0</v>
      </c>
    </row>
    <row r="197" customFormat="false" ht="15.75" hidden="false" customHeight="true" outlineLevel="0" collapsed="false">
      <c r="A197" s="7" t="n">
        <v>35</v>
      </c>
      <c r="B197" s="7" t="n">
        <v>1</v>
      </c>
      <c r="C197" s="7" t="n">
        <v>8</v>
      </c>
      <c r="D197" s="9" t="s">
        <v>23</v>
      </c>
      <c r="E197" s="23" t="s">
        <v>48</v>
      </c>
      <c r="F197" s="9" t="s">
        <v>24</v>
      </c>
      <c r="G197" s="9" t="s">
        <v>16</v>
      </c>
      <c r="H197" s="13" t="s">
        <v>19</v>
      </c>
      <c r="I197" s="11" t="s">
        <v>20</v>
      </c>
      <c r="J197" s="13" t="s">
        <v>21</v>
      </c>
      <c r="K197" s="13" t="s">
        <v>22</v>
      </c>
      <c r="L197" s="14" t="s">
        <v>21</v>
      </c>
      <c r="M197" s="13" t="s">
        <v>22</v>
      </c>
      <c r="N197" s="7" t="n">
        <v>1</v>
      </c>
      <c r="O197" s="7" t="n">
        <v>0</v>
      </c>
    </row>
    <row r="198" customFormat="false" ht="15.75" hidden="false" customHeight="true" outlineLevel="0" collapsed="false">
      <c r="A198" s="7" t="n">
        <v>35</v>
      </c>
      <c r="B198" s="7" t="n">
        <v>1</v>
      </c>
      <c r="C198" s="7" t="n">
        <v>9</v>
      </c>
      <c r="D198" s="9" t="s">
        <v>23</v>
      </c>
      <c r="E198" s="23" t="s">
        <v>48</v>
      </c>
      <c r="F198" s="9" t="s">
        <v>24</v>
      </c>
      <c r="G198" s="9" t="s">
        <v>16</v>
      </c>
      <c r="H198" s="10" t="s">
        <v>19</v>
      </c>
      <c r="I198" s="11" t="s">
        <v>20</v>
      </c>
      <c r="J198" s="10" t="s">
        <v>21</v>
      </c>
      <c r="K198" s="10" t="s">
        <v>22</v>
      </c>
      <c r="L198" s="12" t="s">
        <v>21</v>
      </c>
      <c r="M198" s="10" t="s">
        <v>22</v>
      </c>
      <c r="N198" s="7" t="n">
        <v>0</v>
      </c>
      <c r="O198" s="7" t="n">
        <v>1</v>
      </c>
    </row>
    <row r="199" customFormat="false" ht="15.75" hidden="false" customHeight="true" outlineLevel="0" collapsed="false">
      <c r="A199" s="7" t="n">
        <v>35</v>
      </c>
      <c r="B199" s="7" t="n">
        <v>1</v>
      </c>
      <c r="C199" s="7" t="n">
        <v>10</v>
      </c>
      <c r="D199" s="9" t="s">
        <v>23</v>
      </c>
      <c r="E199" s="23" t="s">
        <v>48</v>
      </c>
      <c r="F199" s="9" t="s">
        <v>24</v>
      </c>
      <c r="G199" s="9" t="s">
        <v>16</v>
      </c>
      <c r="H199" s="13" t="s">
        <v>19</v>
      </c>
      <c r="I199" s="11" t="s">
        <v>20</v>
      </c>
      <c r="J199" s="13" t="s">
        <v>21</v>
      </c>
      <c r="K199" s="13" t="s">
        <v>22</v>
      </c>
      <c r="L199" s="14" t="s">
        <v>21</v>
      </c>
      <c r="M199" s="13" t="s">
        <v>22</v>
      </c>
      <c r="N199" s="7" t="n">
        <v>1</v>
      </c>
      <c r="O199" s="7" t="n">
        <v>0</v>
      </c>
    </row>
    <row r="200" customFormat="false" ht="15.75" hidden="false" customHeight="true" outlineLevel="0" collapsed="false">
      <c r="A200" s="7" t="n">
        <v>35</v>
      </c>
      <c r="B200" s="7" t="n">
        <v>1</v>
      </c>
      <c r="C200" s="7" t="n">
        <v>11</v>
      </c>
      <c r="D200" s="9" t="s">
        <v>23</v>
      </c>
      <c r="E200" s="23" t="s">
        <v>48</v>
      </c>
      <c r="F200" s="9" t="s">
        <v>24</v>
      </c>
      <c r="G200" s="9" t="s">
        <v>16</v>
      </c>
      <c r="H200" s="10" t="s">
        <v>19</v>
      </c>
      <c r="I200" s="11" t="s">
        <v>20</v>
      </c>
      <c r="J200" s="10" t="s">
        <v>21</v>
      </c>
      <c r="K200" s="10" t="s">
        <v>22</v>
      </c>
      <c r="L200" s="12" t="s">
        <v>21</v>
      </c>
      <c r="M200" s="10" t="s">
        <v>22</v>
      </c>
      <c r="N200" s="7" t="n">
        <v>1</v>
      </c>
      <c r="O200" s="7" t="n">
        <v>0</v>
      </c>
    </row>
    <row r="201" customFormat="false" ht="15.75" hidden="false" customHeight="true" outlineLevel="0" collapsed="false">
      <c r="A201" s="7" t="n">
        <v>35</v>
      </c>
      <c r="B201" s="7" t="n">
        <v>1</v>
      </c>
      <c r="C201" s="7" t="n">
        <v>12</v>
      </c>
      <c r="D201" s="9" t="s">
        <v>23</v>
      </c>
      <c r="E201" s="23" t="s">
        <v>48</v>
      </c>
      <c r="F201" s="9" t="s">
        <v>24</v>
      </c>
      <c r="G201" s="9" t="s">
        <v>16</v>
      </c>
      <c r="H201" s="13" t="s">
        <v>19</v>
      </c>
      <c r="I201" s="11" t="s">
        <v>20</v>
      </c>
      <c r="J201" s="13" t="s">
        <v>21</v>
      </c>
      <c r="K201" s="13" t="s">
        <v>22</v>
      </c>
      <c r="L201" s="14" t="s">
        <v>21</v>
      </c>
      <c r="M201" s="13" t="s">
        <v>22</v>
      </c>
      <c r="N201" s="7" t="n">
        <v>0</v>
      </c>
      <c r="O201" s="7" t="n">
        <v>1</v>
      </c>
    </row>
    <row r="202" customFormat="false" ht="15" hidden="false" customHeight="true" outlineLevel="0" collapsed="false">
      <c r="B202" s="7"/>
      <c r="H202" s="12"/>
      <c r="I202" s="11"/>
      <c r="J202" s="12"/>
      <c r="K202" s="12"/>
      <c r="L202" s="12"/>
      <c r="M202" s="12"/>
    </row>
    <row r="203" customFormat="false" ht="15" hidden="false" customHeight="true" outlineLevel="0" collapsed="false">
      <c r="B203" s="7"/>
      <c r="H203" s="14"/>
      <c r="I203" s="11"/>
      <c r="J203" s="14"/>
      <c r="K203" s="14"/>
      <c r="L203" s="14"/>
      <c r="M203" s="14"/>
    </row>
    <row r="204" customFormat="false" ht="15" hidden="false" customHeight="true" outlineLevel="0" collapsed="false">
      <c r="B204" s="7"/>
      <c r="H204" s="12"/>
      <c r="I204" s="11"/>
      <c r="J204" s="12"/>
      <c r="K204" s="12"/>
      <c r="L204" s="12"/>
      <c r="M204" s="12"/>
    </row>
    <row r="205" customFormat="false" ht="15" hidden="false" customHeight="true" outlineLevel="0" collapsed="false">
      <c r="B205" s="7"/>
      <c r="H205" s="14"/>
      <c r="I205" s="11"/>
      <c r="J205" s="14"/>
      <c r="K205" s="14"/>
      <c r="L205" s="14"/>
      <c r="M205" s="14"/>
    </row>
    <row r="206" customFormat="false" ht="15" hidden="false" customHeight="true" outlineLevel="0" collapsed="false">
      <c r="B206" s="7"/>
      <c r="H206" s="12"/>
      <c r="I206" s="11"/>
      <c r="J206" s="12"/>
      <c r="K206" s="12"/>
      <c r="L206" s="12"/>
      <c r="M206" s="12"/>
    </row>
    <row r="207" customFormat="false" ht="15" hidden="false" customHeight="true" outlineLevel="0" collapsed="false">
      <c r="B207" s="7"/>
      <c r="H207" s="14"/>
      <c r="I207" s="11"/>
      <c r="J207" s="14"/>
      <c r="K207" s="14"/>
      <c r="L207" s="14"/>
      <c r="M207" s="14"/>
    </row>
    <row r="208" customFormat="false" ht="15" hidden="false" customHeight="true" outlineLevel="0" collapsed="false">
      <c r="B208" s="7"/>
      <c r="H208" s="12"/>
      <c r="I208" s="11"/>
      <c r="J208" s="12"/>
      <c r="K208" s="12"/>
      <c r="L208" s="12"/>
      <c r="M208" s="12"/>
    </row>
    <row r="209" customFormat="false" ht="15" hidden="false" customHeight="true" outlineLevel="0" collapsed="false">
      <c r="B209" s="7"/>
      <c r="H209" s="14"/>
      <c r="I209" s="11"/>
      <c r="J209" s="14"/>
      <c r="K209" s="14"/>
      <c r="L209" s="14"/>
      <c r="M209" s="14"/>
    </row>
    <row r="210" customFormat="false" ht="15" hidden="false" customHeight="true" outlineLevel="0" collapsed="false">
      <c r="B210" s="7"/>
      <c r="H210" s="12"/>
      <c r="I210" s="11"/>
      <c r="J210" s="12"/>
      <c r="K210" s="12"/>
      <c r="L210" s="12"/>
      <c r="M210" s="12"/>
    </row>
    <row r="211" customFormat="false" ht="15" hidden="false" customHeight="true" outlineLevel="0" collapsed="false">
      <c r="B211" s="7"/>
      <c r="H211" s="14"/>
      <c r="I211" s="11"/>
      <c r="J211" s="14"/>
      <c r="K211" s="14"/>
      <c r="L211" s="14"/>
      <c r="M211" s="14"/>
    </row>
    <row r="212" customFormat="false" ht="15" hidden="false" customHeight="true" outlineLevel="0" collapsed="false">
      <c r="B212" s="7"/>
      <c r="H212" s="12"/>
      <c r="I212" s="11"/>
      <c r="J212" s="12"/>
      <c r="K212" s="12"/>
      <c r="L212" s="12"/>
      <c r="M212" s="12"/>
    </row>
    <row r="213" customFormat="false" ht="15" hidden="false" customHeight="true" outlineLevel="0" collapsed="false">
      <c r="B213" s="7"/>
      <c r="H213" s="14"/>
      <c r="I213" s="11"/>
      <c r="J213" s="14"/>
      <c r="K213" s="14"/>
      <c r="L213" s="14"/>
      <c r="M213" s="14"/>
    </row>
    <row r="214" customFormat="false" ht="15" hidden="false" customHeight="true" outlineLevel="0" collapsed="false">
      <c r="B214" s="7"/>
      <c r="H214" s="12"/>
      <c r="I214" s="11"/>
      <c r="J214" s="12"/>
      <c r="K214" s="12"/>
      <c r="L214" s="12"/>
      <c r="M214" s="12"/>
    </row>
    <row r="215" customFormat="false" ht="15" hidden="false" customHeight="true" outlineLevel="0" collapsed="false">
      <c r="B215" s="7"/>
      <c r="H215" s="14"/>
      <c r="I215" s="11"/>
      <c r="J215" s="14"/>
      <c r="K215" s="14"/>
      <c r="L215" s="14"/>
      <c r="M215" s="14"/>
    </row>
    <row r="216" customFormat="false" ht="15" hidden="false" customHeight="true" outlineLevel="0" collapsed="false">
      <c r="B216" s="7"/>
      <c r="H216" s="12"/>
      <c r="I216" s="11"/>
      <c r="J216" s="12"/>
      <c r="K216" s="12"/>
      <c r="L216" s="12"/>
      <c r="M216" s="12"/>
    </row>
    <row r="217" customFormat="false" ht="15" hidden="false" customHeight="true" outlineLevel="0" collapsed="false">
      <c r="B217" s="7"/>
      <c r="H217" s="14"/>
      <c r="I217" s="11"/>
      <c r="J217" s="14"/>
      <c r="K217" s="14"/>
      <c r="L217" s="14"/>
      <c r="M217" s="14"/>
    </row>
    <row r="218" customFormat="false" ht="15" hidden="false" customHeight="true" outlineLevel="0" collapsed="false">
      <c r="B218" s="7"/>
      <c r="H218" s="12"/>
      <c r="I218" s="11"/>
      <c r="J218" s="12"/>
      <c r="K218" s="12"/>
      <c r="L218" s="12"/>
      <c r="M218" s="12"/>
    </row>
    <row r="219" customFormat="false" ht="15" hidden="false" customHeight="true" outlineLevel="0" collapsed="false">
      <c r="B219" s="7"/>
      <c r="H219" s="14"/>
      <c r="I219" s="11"/>
      <c r="J219" s="14"/>
      <c r="K219" s="14"/>
      <c r="L219" s="14"/>
      <c r="M219" s="14"/>
    </row>
    <row r="220" customFormat="false" ht="15" hidden="false" customHeight="true" outlineLevel="0" collapsed="false">
      <c r="B220" s="7"/>
      <c r="H220" s="12"/>
      <c r="I220" s="11"/>
      <c r="J220" s="12"/>
      <c r="K220" s="12"/>
      <c r="L220" s="12"/>
      <c r="M220" s="12"/>
    </row>
    <row r="221" customFormat="false" ht="15" hidden="false" customHeight="true" outlineLevel="0" collapsed="false">
      <c r="B221" s="7"/>
      <c r="H221" s="14"/>
      <c r="I221" s="11"/>
      <c r="J221" s="14"/>
      <c r="K221" s="14"/>
      <c r="L221" s="14"/>
      <c r="M221" s="14"/>
    </row>
    <row r="222" customFormat="false" ht="15" hidden="false" customHeight="true" outlineLevel="0" collapsed="false">
      <c r="B222" s="7"/>
      <c r="H222" s="12"/>
      <c r="I222" s="11"/>
      <c r="J222" s="12"/>
      <c r="K222" s="12"/>
      <c r="L222" s="12"/>
      <c r="M222" s="12"/>
    </row>
    <row r="223" customFormat="false" ht="15" hidden="false" customHeight="true" outlineLevel="0" collapsed="false">
      <c r="B223" s="7"/>
      <c r="H223" s="14"/>
      <c r="I223" s="11"/>
      <c r="J223" s="14"/>
      <c r="K223" s="14"/>
      <c r="L223" s="14"/>
      <c r="M223" s="14"/>
    </row>
    <row r="224" customFormat="false" ht="15" hidden="false" customHeight="true" outlineLevel="0" collapsed="false">
      <c r="B224" s="7"/>
      <c r="H224" s="12"/>
      <c r="I224" s="11"/>
      <c r="J224" s="12"/>
      <c r="K224" s="12"/>
      <c r="L224" s="12"/>
      <c r="M224" s="12"/>
    </row>
    <row r="225" customFormat="false" ht="15" hidden="false" customHeight="true" outlineLevel="0" collapsed="false">
      <c r="B225" s="7"/>
      <c r="H225" s="14"/>
      <c r="I225" s="11"/>
      <c r="J225" s="14"/>
      <c r="K225" s="14"/>
      <c r="L225" s="14"/>
      <c r="M225" s="14"/>
    </row>
    <row r="226" customFormat="false" ht="15" hidden="false" customHeight="true" outlineLevel="0" collapsed="false">
      <c r="B226" s="7"/>
      <c r="H226" s="12"/>
      <c r="I226" s="11"/>
      <c r="J226" s="12"/>
      <c r="K226" s="12"/>
      <c r="L226" s="12"/>
      <c r="M226" s="12"/>
    </row>
    <row r="227" customFormat="false" ht="15" hidden="false" customHeight="true" outlineLevel="0" collapsed="false">
      <c r="B227" s="7"/>
      <c r="H227" s="14"/>
      <c r="I227" s="11"/>
      <c r="J227" s="14"/>
      <c r="K227" s="14"/>
      <c r="L227" s="14"/>
      <c r="M227" s="14"/>
    </row>
    <row r="228" customFormat="false" ht="15" hidden="false" customHeight="true" outlineLevel="0" collapsed="false">
      <c r="B228" s="7"/>
      <c r="H228" s="12"/>
      <c r="I228" s="11"/>
      <c r="J228" s="12"/>
      <c r="K228" s="12"/>
      <c r="L228" s="12"/>
      <c r="M228" s="12"/>
    </row>
    <row r="229" customFormat="false" ht="15" hidden="false" customHeight="true" outlineLevel="0" collapsed="false">
      <c r="B229" s="7"/>
      <c r="H229" s="14"/>
      <c r="I229" s="11"/>
      <c r="J229" s="14"/>
      <c r="K229" s="14"/>
      <c r="L229" s="14"/>
      <c r="M229" s="14"/>
    </row>
    <row r="230" customFormat="false" ht="15" hidden="false" customHeight="true" outlineLevel="0" collapsed="false">
      <c r="B230" s="7"/>
      <c r="H230" s="12"/>
      <c r="I230" s="11"/>
      <c r="J230" s="12"/>
      <c r="K230" s="12"/>
      <c r="L230" s="12"/>
      <c r="M230" s="12"/>
    </row>
    <row r="231" customFormat="false" ht="15" hidden="false" customHeight="true" outlineLevel="0" collapsed="false">
      <c r="B231" s="7"/>
      <c r="H231" s="14"/>
      <c r="I231" s="11"/>
      <c r="J231" s="14"/>
      <c r="K231" s="14"/>
      <c r="L231" s="14"/>
      <c r="M231" s="14"/>
    </row>
    <row r="232" customFormat="false" ht="15" hidden="false" customHeight="true" outlineLevel="0" collapsed="false">
      <c r="B232" s="7"/>
      <c r="H232" s="12"/>
      <c r="I232" s="11"/>
      <c r="J232" s="12"/>
      <c r="K232" s="12"/>
      <c r="L232" s="12"/>
      <c r="M232" s="12"/>
    </row>
    <row r="233" customFormat="false" ht="15" hidden="false" customHeight="true" outlineLevel="0" collapsed="false">
      <c r="B233" s="7"/>
      <c r="H233" s="14"/>
      <c r="I233" s="11"/>
      <c r="J233" s="14"/>
      <c r="K233" s="14"/>
      <c r="L233" s="14"/>
      <c r="M233" s="14"/>
    </row>
    <row r="234" customFormat="false" ht="15" hidden="false" customHeight="true" outlineLevel="0" collapsed="false">
      <c r="B234" s="7"/>
      <c r="H234" s="12"/>
      <c r="I234" s="11"/>
      <c r="J234" s="12"/>
      <c r="K234" s="12"/>
      <c r="L234" s="12"/>
      <c r="M234" s="12"/>
    </row>
    <row r="235" customFormat="false" ht="15" hidden="false" customHeight="true" outlineLevel="0" collapsed="false">
      <c r="B235" s="7"/>
      <c r="H235" s="14"/>
      <c r="I235" s="11"/>
      <c r="J235" s="14"/>
      <c r="K235" s="14"/>
      <c r="L235" s="14"/>
      <c r="M235" s="14"/>
    </row>
    <row r="236" customFormat="false" ht="15" hidden="false" customHeight="true" outlineLevel="0" collapsed="false">
      <c r="B236" s="7"/>
      <c r="H236" s="12"/>
      <c r="I236" s="11"/>
      <c r="J236" s="12"/>
      <c r="K236" s="12"/>
      <c r="L236" s="12"/>
      <c r="M236" s="12"/>
    </row>
    <row r="237" customFormat="false" ht="15" hidden="false" customHeight="true" outlineLevel="0" collapsed="false">
      <c r="B237" s="7"/>
      <c r="H237" s="14"/>
      <c r="I237" s="11"/>
      <c r="J237" s="14"/>
      <c r="K237" s="14"/>
      <c r="L237" s="14"/>
      <c r="M237" s="14"/>
    </row>
    <row r="238" customFormat="false" ht="15" hidden="false" customHeight="true" outlineLevel="0" collapsed="false">
      <c r="B238" s="7"/>
      <c r="H238" s="12"/>
      <c r="I238" s="11"/>
      <c r="J238" s="12"/>
      <c r="K238" s="12"/>
      <c r="L238" s="12"/>
      <c r="M238" s="12"/>
    </row>
    <row r="239" customFormat="false" ht="15" hidden="false" customHeight="true" outlineLevel="0" collapsed="false">
      <c r="B239" s="7"/>
      <c r="H239" s="14"/>
      <c r="I239" s="11"/>
      <c r="J239" s="14"/>
      <c r="K239" s="14"/>
      <c r="L239" s="14"/>
      <c r="M239" s="14"/>
    </row>
    <row r="240" customFormat="false" ht="15" hidden="false" customHeight="true" outlineLevel="0" collapsed="false">
      <c r="B240" s="7"/>
      <c r="H240" s="12"/>
      <c r="I240" s="11"/>
      <c r="J240" s="12"/>
      <c r="K240" s="12"/>
      <c r="L240" s="12"/>
      <c r="M240" s="12"/>
    </row>
    <row r="241" customFormat="false" ht="15" hidden="false" customHeight="true" outlineLevel="0" collapsed="false">
      <c r="B241" s="7"/>
      <c r="H241" s="14"/>
      <c r="I241" s="11"/>
      <c r="J241" s="14"/>
      <c r="K241" s="14"/>
      <c r="L241" s="14"/>
      <c r="M241" s="14"/>
    </row>
    <row r="242" customFormat="false" ht="15" hidden="false" customHeight="true" outlineLevel="0" collapsed="false">
      <c r="B242" s="7"/>
      <c r="H242" s="12"/>
      <c r="I242" s="11"/>
      <c r="J242" s="12"/>
      <c r="K242" s="12"/>
      <c r="L242" s="12"/>
      <c r="M242" s="12"/>
    </row>
    <row r="243" customFormat="false" ht="15" hidden="false" customHeight="true" outlineLevel="0" collapsed="false">
      <c r="B243" s="7"/>
      <c r="H243" s="14"/>
      <c r="I243" s="11"/>
      <c r="J243" s="14"/>
      <c r="K243" s="14"/>
      <c r="L243" s="14"/>
      <c r="M243" s="14"/>
    </row>
    <row r="244" customFormat="false" ht="15" hidden="false" customHeight="true" outlineLevel="0" collapsed="false">
      <c r="B244" s="7"/>
      <c r="H244" s="12"/>
      <c r="I244" s="11"/>
      <c r="J244" s="12"/>
      <c r="K244" s="12"/>
      <c r="L244" s="12"/>
      <c r="M244" s="12"/>
    </row>
    <row r="245" customFormat="false" ht="15" hidden="false" customHeight="true" outlineLevel="0" collapsed="false">
      <c r="B245" s="7"/>
      <c r="H245" s="14"/>
      <c r="I245" s="11"/>
      <c r="J245" s="14"/>
      <c r="K245" s="14"/>
      <c r="L245" s="14"/>
      <c r="M245" s="14"/>
    </row>
    <row r="246" customFormat="false" ht="15" hidden="false" customHeight="true" outlineLevel="0" collapsed="false">
      <c r="B246" s="7"/>
      <c r="H246" s="12"/>
      <c r="I246" s="11"/>
      <c r="J246" s="12"/>
      <c r="K246" s="12"/>
      <c r="L246" s="12"/>
      <c r="M246" s="12"/>
    </row>
    <row r="247" customFormat="false" ht="15" hidden="false" customHeight="true" outlineLevel="0" collapsed="false">
      <c r="B247" s="7"/>
      <c r="H247" s="14"/>
      <c r="I247" s="11"/>
      <c r="J247" s="14"/>
      <c r="K247" s="14"/>
      <c r="L247" s="14"/>
      <c r="M247" s="14"/>
    </row>
    <row r="248" customFormat="false" ht="15" hidden="false" customHeight="true" outlineLevel="0" collapsed="false">
      <c r="B248" s="7"/>
      <c r="H248" s="12"/>
      <c r="I248" s="11"/>
      <c r="J248" s="12"/>
      <c r="K248" s="12"/>
      <c r="L248" s="12"/>
      <c r="M248" s="12"/>
    </row>
    <row r="249" customFormat="false" ht="15" hidden="false" customHeight="true" outlineLevel="0" collapsed="false">
      <c r="B249" s="7"/>
      <c r="H249" s="14"/>
      <c r="I249" s="11"/>
      <c r="J249" s="14"/>
      <c r="K249" s="14"/>
      <c r="L249" s="14"/>
      <c r="M249" s="14"/>
    </row>
    <row r="250" customFormat="false" ht="15" hidden="false" customHeight="true" outlineLevel="0" collapsed="false">
      <c r="B250" s="7"/>
      <c r="H250" s="12"/>
      <c r="I250" s="11"/>
      <c r="J250" s="12"/>
      <c r="K250" s="12"/>
      <c r="L250" s="12"/>
      <c r="M250" s="12"/>
    </row>
    <row r="251" customFormat="false" ht="15" hidden="false" customHeight="true" outlineLevel="0" collapsed="false">
      <c r="B251" s="7"/>
      <c r="H251" s="14"/>
      <c r="I251" s="11"/>
      <c r="J251" s="14"/>
      <c r="K251" s="14"/>
      <c r="L251" s="14"/>
      <c r="M251" s="14"/>
    </row>
    <row r="252" customFormat="false" ht="15" hidden="false" customHeight="true" outlineLevel="0" collapsed="false">
      <c r="B252" s="7"/>
      <c r="H252" s="12"/>
      <c r="I252" s="11"/>
      <c r="J252" s="12"/>
      <c r="K252" s="12"/>
      <c r="L252" s="12"/>
      <c r="M252" s="12"/>
    </row>
    <row r="253" customFormat="false" ht="15" hidden="false" customHeight="true" outlineLevel="0" collapsed="false">
      <c r="B253" s="7"/>
      <c r="H253" s="14"/>
      <c r="I253" s="11"/>
      <c r="J253" s="14"/>
      <c r="K253" s="14"/>
      <c r="L253" s="14"/>
      <c r="M253" s="14"/>
    </row>
    <row r="254" customFormat="false" ht="15" hidden="false" customHeight="true" outlineLevel="0" collapsed="false">
      <c r="B254" s="7"/>
      <c r="H254" s="12"/>
      <c r="I254" s="11"/>
      <c r="J254" s="12"/>
      <c r="K254" s="12"/>
      <c r="L254" s="12"/>
      <c r="M254" s="12"/>
    </row>
    <row r="255" customFormat="false" ht="15" hidden="false" customHeight="true" outlineLevel="0" collapsed="false">
      <c r="B255" s="7"/>
      <c r="H255" s="14"/>
      <c r="I255" s="11"/>
      <c r="J255" s="14"/>
      <c r="K255" s="14"/>
      <c r="L255" s="14"/>
      <c r="M255" s="14"/>
    </row>
    <row r="256" customFormat="false" ht="15" hidden="false" customHeight="true" outlineLevel="0" collapsed="false">
      <c r="B256" s="7"/>
      <c r="H256" s="12"/>
      <c r="I256" s="11"/>
      <c r="J256" s="12"/>
      <c r="K256" s="12"/>
      <c r="L256" s="12"/>
      <c r="M256" s="12"/>
    </row>
    <row r="257" customFormat="false" ht="15" hidden="false" customHeight="true" outlineLevel="0" collapsed="false">
      <c r="B257" s="7"/>
      <c r="H257" s="14"/>
      <c r="I257" s="11"/>
      <c r="J257" s="14"/>
      <c r="K257" s="14"/>
      <c r="L257" s="14"/>
      <c r="M257" s="14"/>
    </row>
    <row r="258" customFormat="false" ht="15" hidden="false" customHeight="true" outlineLevel="0" collapsed="false">
      <c r="B258" s="7"/>
      <c r="H258" s="12"/>
      <c r="I258" s="11"/>
      <c r="J258" s="12"/>
      <c r="K258" s="12"/>
      <c r="L258" s="12"/>
      <c r="M258" s="12"/>
    </row>
    <row r="259" customFormat="false" ht="15" hidden="false" customHeight="true" outlineLevel="0" collapsed="false">
      <c r="B259" s="7"/>
      <c r="H259" s="14"/>
      <c r="I259" s="11"/>
      <c r="J259" s="14"/>
      <c r="K259" s="14"/>
      <c r="L259" s="14"/>
      <c r="M259" s="14"/>
    </row>
    <row r="260" customFormat="false" ht="15" hidden="false" customHeight="true" outlineLevel="0" collapsed="false">
      <c r="B260" s="7"/>
      <c r="H260" s="12"/>
      <c r="I260" s="11"/>
      <c r="J260" s="12"/>
      <c r="K260" s="12"/>
      <c r="L260" s="12"/>
      <c r="M260" s="12"/>
    </row>
    <row r="261" customFormat="false" ht="15" hidden="false" customHeight="true" outlineLevel="0" collapsed="false">
      <c r="B261" s="7"/>
      <c r="H261" s="14"/>
      <c r="I261" s="11"/>
      <c r="J261" s="14"/>
      <c r="K261" s="14"/>
      <c r="L261" s="14"/>
      <c r="M261" s="14"/>
    </row>
    <row r="262" customFormat="false" ht="15" hidden="false" customHeight="true" outlineLevel="0" collapsed="false">
      <c r="B262" s="7"/>
      <c r="H262" s="12"/>
      <c r="I262" s="11"/>
      <c r="J262" s="12"/>
      <c r="K262" s="12"/>
      <c r="L262" s="12"/>
      <c r="M262" s="12"/>
    </row>
    <row r="263" customFormat="false" ht="15" hidden="false" customHeight="true" outlineLevel="0" collapsed="false">
      <c r="B263" s="7"/>
      <c r="H263" s="14"/>
      <c r="I263" s="11"/>
      <c r="J263" s="14"/>
      <c r="K263" s="14"/>
      <c r="L263" s="14"/>
      <c r="M263" s="14"/>
    </row>
    <row r="264" customFormat="false" ht="15" hidden="false" customHeight="true" outlineLevel="0" collapsed="false">
      <c r="B264" s="7"/>
      <c r="H264" s="12"/>
      <c r="I264" s="11"/>
      <c r="J264" s="12"/>
      <c r="K264" s="12"/>
      <c r="L264" s="12"/>
      <c r="M264" s="12"/>
    </row>
    <row r="265" customFormat="false" ht="15" hidden="false" customHeight="true" outlineLevel="0" collapsed="false">
      <c r="B265" s="7"/>
      <c r="H265" s="14"/>
      <c r="I265" s="11"/>
      <c r="J265" s="14"/>
      <c r="K265" s="14"/>
      <c r="L265" s="14"/>
      <c r="M265" s="14"/>
    </row>
    <row r="266" customFormat="false" ht="15" hidden="false" customHeight="true" outlineLevel="0" collapsed="false">
      <c r="B266" s="7"/>
      <c r="H266" s="12"/>
      <c r="I266" s="11"/>
      <c r="J266" s="12"/>
      <c r="K266" s="12"/>
      <c r="L266" s="12"/>
      <c r="M266" s="12"/>
    </row>
    <row r="267" customFormat="false" ht="15" hidden="false" customHeight="true" outlineLevel="0" collapsed="false">
      <c r="B267" s="7"/>
      <c r="H267" s="14"/>
      <c r="I267" s="11"/>
      <c r="J267" s="14"/>
      <c r="K267" s="14"/>
      <c r="L267" s="14"/>
      <c r="M267" s="14"/>
    </row>
    <row r="268" customFormat="false" ht="15" hidden="false" customHeight="true" outlineLevel="0" collapsed="false">
      <c r="B268" s="7"/>
      <c r="H268" s="12"/>
      <c r="I268" s="11"/>
      <c r="J268" s="12"/>
      <c r="K268" s="12"/>
      <c r="L268" s="12"/>
      <c r="M268" s="12"/>
    </row>
    <row r="269" customFormat="false" ht="15" hidden="false" customHeight="true" outlineLevel="0" collapsed="false">
      <c r="B269" s="7"/>
      <c r="H269" s="14"/>
      <c r="I269" s="11"/>
      <c r="J269" s="14"/>
      <c r="K269" s="14"/>
      <c r="L269" s="14"/>
      <c r="M269" s="14"/>
    </row>
    <row r="270" customFormat="false" ht="15" hidden="false" customHeight="true" outlineLevel="0" collapsed="false">
      <c r="B270" s="7"/>
      <c r="H270" s="12"/>
      <c r="I270" s="11"/>
      <c r="J270" s="12"/>
      <c r="K270" s="12"/>
      <c r="L270" s="12"/>
      <c r="M270" s="12"/>
    </row>
    <row r="271" customFormat="false" ht="15" hidden="false" customHeight="true" outlineLevel="0" collapsed="false">
      <c r="B271" s="7"/>
      <c r="H271" s="14"/>
      <c r="I271" s="11"/>
      <c r="J271" s="14"/>
      <c r="K271" s="14"/>
      <c r="L271" s="14"/>
      <c r="M271" s="14"/>
    </row>
    <row r="272" customFormat="false" ht="15" hidden="false" customHeight="true" outlineLevel="0" collapsed="false">
      <c r="B272" s="7"/>
      <c r="H272" s="12"/>
      <c r="I272" s="11"/>
      <c r="J272" s="12"/>
      <c r="K272" s="12"/>
      <c r="L272" s="12"/>
      <c r="M272" s="12"/>
    </row>
    <row r="273" customFormat="false" ht="15" hidden="false" customHeight="true" outlineLevel="0" collapsed="false">
      <c r="B273" s="7"/>
      <c r="H273" s="14"/>
      <c r="I273" s="11"/>
      <c r="J273" s="14"/>
      <c r="K273" s="14"/>
      <c r="L273" s="14"/>
      <c r="M273" s="14"/>
    </row>
    <row r="274" customFormat="false" ht="15" hidden="false" customHeight="true" outlineLevel="0" collapsed="false">
      <c r="B274" s="7"/>
      <c r="H274" s="12"/>
      <c r="I274" s="11"/>
      <c r="J274" s="12"/>
      <c r="K274" s="12"/>
      <c r="L274" s="12"/>
      <c r="M274" s="12"/>
    </row>
    <row r="275" customFormat="false" ht="15" hidden="false" customHeight="true" outlineLevel="0" collapsed="false">
      <c r="B275" s="7"/>
      <c r="H275" s="14"/>
      <c r="I275" s="11"/>
      <c r="J275" s="14"/>
      <c r="K275" s="14"/>
      <c r="L275" s="14"/>
      <c r="M275" s="14"/>
    </row>
    <row r="276" customFormat="false" ht="15" hidden="false" customHeight="true" outlineLevel="0" collapsed="false">
      <c r="B276" s="7"/>
      <c r="H276" s="12"/>
      <c r="I276" s="11"/>
      <c r="J276" s="12"/>
      <c r="K276" s="12"/>
      <c r="L276" s="12"/>
      <c r="M276" s="12"/>
    </row>
    <row r="277" customFormat="false" ht="15" hidden="false" customHeight="true" outlineLevel="0" collapsed="false">
      <c r="B277" s="7"/>
      <c r="H277" s="14"/>
      <c r="I277" s="11"/>
      <c r="J277" s="14"/>
      <c r="K277" s="14"/>
      <c r="L277" s="14"/>
      <c r="M277" s="14"/>
    </row>
    <row r="278" customFormat="false" ht="15" hidden="false" customHeight="true" outlineLevel="0" collapsed="false">
      <c r="B278" s="7"/>
      <c r="H278" s="12"/>
      <c r="I278" s="11"/>
      <c r="J278" s="12"/>
      <c r="K278" s="12"/>
      <c r="L278" s="12"/>
      <c r="M278" s="12"/>
    </row>
    <row r="279" customFormat="false" ht="15" hidden="false" customHeight="true" outlineLevel="0" collapsed="false">
      <c r="B279" s="7"/>
      <c r="H279" s="14"/>
      <c r="I279" s="11"/>
      <c r="J279" s="14"/>
      <c r="K279" s="14"/>
      <c r="L279" s="14"/>
      <c r="M279" s="14"/>
    </row>
    <row r="280" customFormat="false" ht="15" hidden="false" customHeight="true" outlineLevel="0" collapsed="false">
      <c r="B280" s="7"/>
      <c r="H280" s="12"/>
      <c r="I280" s="11"/>
      <c r="J280" s="12"/>
      <c r="K280" s="12"/>
      <c r="L280" s="12"/>
      <c r="M280" s="12"/>
    </row>
    <row r="281" customFormat="false" ht="15" hidden="false" customHeight="true" outlineLevel="0" collapsed="false">
      <c r="B281" s="7"/>
      <c r="H281" s="14"/>
      <c r="I281" s="11"/>
      <c r="J281" s="14"/>
      <c r="K281" s="14"/>
      <c r="L281" s="14"/>
      <c r="M281" s="14"/>
    </row>
    <row r="282" customFormat="false" ht="15" hidden="false" customHeight="true" outlineLevel="0" collapsed="false">
      <c r="B282" s="7"/>
      <c r="H282" s="12"/>
      <c r="I282" s="11"/>
      <c r="J282" s="12"/>
      <c r="K282" s="12"/>
      <c r="L282" s="12"/>
      <c r="M282" s="12"/>
    </row>
    <row r="283" customFormat="false" ht="15" hidden="false" customHeight="true" outlineLevel="0" collapsed="false">
      <c r="B283" s="7"/>
      <c r="H283" s="14"/>
      <c r="I283" s="11"/>
      <c r="J283" s="14"/>
      <c r="K283" s="14"/>
      <c r="L283" s="14"/>
      <c r="M283" s="14"/>
    </row>
    <row r="284" customFormat="false" ht="15" hidden="false" customHeight="true" outlineLevel="0" collapsed="false">
      <c r="B284" s="7"/>
      <c r="H284" s="12"/>
      <c r="I284" s="11"/>
      <c r="J284" s="12"/>
      <c r="K284" s="12"/>
      <c r="L284" s="12"/>
      <c r="M284" s="12"/>
    </row>
    <row r="285" customFormat="false" ht="15" hidden="false" customHeight="true" outlineLevel="0" collapsed="false">
      <c r="B285" s="7"/>
      <c r="H285" s="14"/>
      <c r="I285" s="11"/>
      <c r="J285" s="14"/>
      <c r="K285" s="14"/>
      <c r="L285" s="14"/>
      <c r="M285" s="14"/>
    </row>
    <row r="286" customFormat="false" ht="15" hidden="false" customHeight="true" outlineLevel="0" collapsed="false">
      <c r="B286" s="7"/>
      <c r="H286" s="12"/>
      <c r="I286" s="11"/>
      <c r="J286" s="12"/>
      <c r="K286" s="12"/>
      <c r="L286" s="12"/>
      <c r="M286" s="12"/>
    </row>
    <row r="287" customFormat="false" ht="15" hidden="false" customHeight="true" outlineLevel="0" collapsed="false">
      <c r="B287" s="7"/>
      <c r="H287" s="14"/>
      <c r="I287" s="11"/>
      <c r="J287" s="14"/>
      <c r="K287" s="14"/>
      <c r="L287" s="14"/>
      <c r="M287" s="14"/>
    </row>
    <row r="288" customFormat="false" ht="15" hidden="false" customHeight="true" outlineLevel="0" collapsed="false">
      <c r="B288" s="7"/>
      <c r="H288" s="12"/>
      <c r="I288" s="11"/>
      <c r="J288" s="12"/>
      <c r="K288" s="12"/>
      <c r="L288" s="12"/>
      <c r="M288" s="12"/>
    </row>
    <row r="289" customFormat="false" ht="15" hidden="false" customHeight="true" outlineLevel="0" collapsed="false">
      <c r="B289" s="7"/>
      <c r="H289" s="14"/>
      <c r="I289" s="11"/>
      <c r="J289" s="14"/>
      <c r="K289" s="14"/>
      <c r="L289" s="14"/>
      <c r="M289" s="14"/>
    </row>
    <row r="290" customFormat="false" ht="15" hidden="false" customHeight="true" outlineLevel="0" collapsed="false">
      <c r="B290" s="7"/>
      <c r="H290" s="12"/>
      <c r="I290" s="11"/>
      <c r="J290" s="12"/>
      <c r="K290" s="12"/>
      <c r="L290" s="12"/>
      <c r="M290" s="12"/>
    </row>
    <row r="291" customFormat="false" ht="15" hidden="false" customHeight="true" outlineLevel="0" collapsed="false">
      <c r="B291" s="7"/>
      <c r="H291" s="14"/>
      <c r="I291" s="11"/>
      <c r="J291" s="14"/>
      <c r="K291" s="14"/>
      <c r="L291" s="14"/>
      <c r="M291" s="14"/>
    </row>
    <row r="292" customFormat="false" ht="15" hidden="false" customHeight="true" outlineLevel="0" collapsed="false">
      <c r="B292" s="7"/>
      <c r="H292" s="12"/>
      <c r="I292" s="11"/>
      <c r="J292" s="12"/>
      <c r="K292" s="12"/>
      <c r="L292" s="12"/>
      <c r="M292" s="12"/>
    </row>
    <row r="293" customFormat="false" ht="15" hidden="false" customHeight="true" outlineLevel="0" collapsed="false">
      <c r="B293" s="7"/>
      <c r="H293" s="14"/>
      <c r="I293" s="11"/>
      <c r="J293" s="14"/>
      <c r="K293" s="14"/>
      <c r="L293" s="14"/>
      <c r="M293" s="14"/>
    </row>
    <row r="294" customFormat="false" ht="15" hidden="false" customHeight="true" outlineLevel="0" collapsed="false">
      <c r="B294" s="7"/>
      <c r="H294" s="12"/>
      <c r="I294" s="11"/>
      <c r="J294" s="12"/>
      <c r="K294" s="12"/>
      <c r="L294" s="12"/>
      <c r="M294" s="12"/>
    </row>
    <row r="295" customFormat="false" ht="15" hidden="false" customHeight="true" outlineLevel="0" collapsed="false">
      <c r="B295" s="7"/>
      <c r="H295" s="14"/>
      <c r="I295" s="11"/>
      <c r="J295" s="14"/>
      <c r="K295" s="14"/>
      <c r="L295" s="14"/>
      <c r="M295" s="14"/>
    </row>
    <row r="296" customFormat="false" ht="15" hidden="false" customHeight="true" outlineLevel="0" collapsed="false">
      <c r="B296" s="7"/>
      <c r="H296" s="12"/>
      <c r="I296" s="11"/>
      <c r="J296" s="12"/>
      <c r="K296" s="12"/>
      <c r="L296" s="12"/>
      <c r="M296" s="12"/>
    </row>
    <row r="297" customFormat="false" ht="15" hidden="false" customHeight="true" outlineLevel="0" collapsed="false">
      <c r="B297" s="7"/>
      <c r="H297" s="14"/>
      <c r="I297" s="11"/>
      <c r="J297" s="14"/>
      <c r="K297" s="14"/>
      <c r="L297" s="14"/>
      <c r="M297" s="14"/>
    </row>
    <row r="298" customFormat="false" ht="15" hidden="false" customHeight="true" outlineLevel="0" collapsed="false">
      <c r="B298" s="7"/>
      <c r="H298" s="12"/>
      <c r="I298" s="11"/>
      <c r="J298" s="12"/>
      <c r="K298" s="12"/>
      <c r="L298" s="12"/>
      <c r="M298" s="12"/>
    </row>
    <row r="299" customFormat="false" ht="15" hidden="false" customHeight="true" outlineLevel="0" collapsed="false">
      <c r="B299" s="7"/>
      <c r="H299" s="14"/>
      <c r="I299" s="11"/>
      <c r="J299" s="14"/>
      <c r="K299" s="14"/>
      <c r="L299" s="14"/>
      <c r="M299" s="14"/>
    </row>
    <row r="300" customFormat="false" ht="15" hidden="false" customHeight="true" outlineLevel="0" collapsed="false">
      <c r="B300" s="7"/>
      <c r="H300" s="12"/>
      <c r="I300" s="11"/>
      <c r="J300" s="12"/>
      <c r="K300" s="12"/>
      <c r="L300" s="12"/>
      <c r="M300" s="12"/>
    </row>
    <row r="301" customFormat="false" ht="15" hidden="false" customHeight="true" outlineLevel="0" collapsed="false">
      <c r="B301" s="7"/>
      <c r="H301" s="14"/>
      <c r="I301" s="11"/>
      <c r="J301" s="14"/>
      <c r="K301" s="14"/>
      <c r="L301" s="14"/>
      <c r="M301" s="14"/>
    </row>
    <row r="302" customFormat="false" ht="15" hidden="false" customHeight="true" outlineLevel="0" collapsed="false">
      <c r="B302" s="7"/>
      <c r="H302" s="12"/>
      <c r="I302" s="11"/>
      <c r="J302" s="12"/>
      <c r="K302" s="12"/>
      <c r="L302" s="12"/>
      <c r="M302" s="12"/>
    </row>
    <row r="303" customFormat="false" ht="15" hidden="false" customHeight="true" outlineLevel="0" collapsed="false">
      <c r="B303" s="7"/>
      <c r="H303" s="14"/>
      <c r="I303" s="11"/>
      <c r="J303" s="14"/>
      <c r="K303" s="14"/>
      <c r="L303" s="14"/>
      <c r="M303" s="14"/>
    </row>
    <row r="304" customFormat="false" ht="15" hidden="false" customHeight="true" outlineLevel="0" collapsed="false">
      <c r="B304" s="7"/>
      <c r="H304" s="12"/>
      <c r="I304" s="11"/>
      <c r="J304" s="12"/>
      <c r="K304" s="12"/>
      <c r="L304" s="12"/>
      <c r="M304" s="12"/>
    </row>
    <row r="305" customFormat="false" ht="15" hidden="false" customHeight="true" outlineLevel="0" collapsed="false">
      <c r="B305" s="7"/>
      <c r="H305" s="14"/>
      <c r="I305" s="11"/>
      <c r="J305" s="14"/>
      <c r="K305" s="14"/>
      <c r="L305" s="14"/>
      <c r="M305" s="14"/>
    </row>
    <row r="306" customFormat="false" ht="15" hidden="false" customHeight="true" outlineLevel="0" collapsed="false">
      <c r="B306" s="7"/>
      <c r="H306" s="12"/>
      <c r="I306" s="11"/>
      <c r="J306" s="12"/>
      <c r="K306" s="12"/>
      <c r="L306" s="12"/>
      <c r="M306" s="12"/>
    </row>
    <row r="307" customFormat="false" ht="15" hidden="false" customHeight="true" outlineLevel="0" collapsed="false">
      <c r="B307" s="7"/>
      <c r="H307" s="14"/>
      <c r="I307" s="11"/>
      <c r="J307" s="14"/>
      <c r="K307" s="14"/>
      <c r="L307" s="14"/>
      <c r="M307" s="14"/>
    </row>
    <row r="308" customFormat="false" ht="15" hidden="false" customHeight="true" outlineLevel="0" collapsed="false">
      <c r="B308" s="7"/>
      <c r="H308" s="12"/>
      <c r="I308" s="11"/>
      <c r="J308" s="12"/>
      <c r="K308" s="12"/>
      <c r="L308" s="12"/>
      <c r="M308" s="12"/>
    </row>
    <row r="309" customFormat="false" ht="15" hidden="false" customHeight="true" outlineLevel="0" collapsed="false">
      <c r="B309" s="7"/>
      <c r="H309" s="14"/>
      <c r="I309" s="11"/>
      <c r="J309" s="14"/>
      <c r="K309" s="14"/>
      <c r="L309" s="14"/>
      <c r="M309" s="14"/>
    </row>
    <row r="310" customFormat="false" ht="15" hidden="false" customHeight="true" outlineLevel="0" collapsed="false">
      <c r="B310" s="7"/>
      <c r="H310" s="12"/>
      <c r="I310" s="11"/>
      <c r="J310" s="12"/>
      <c r="K310" s="12"/>
      <c r="L310" s="12"/>
      <c r="M310" s="12"/>
    </row>
    <row r="311" customFormat="false" ht="15" hidden="false" customHeight="true" outlineLevel="0" collapsed="false">
      <c r="B311" s="7"/>
      <c r="H311" s="14"/>
      <c r="I311" s="11"/>
      <c r="J311" s="14"/>
      <c r="K311" s="14"/>
      <c r="L311" s="14"/>
      <c r="M311" s="14"/>
    </row>
    <row r="312" customFormat="false" ht="15" hidden="false" customHeight="true" outlineLevel="0" collapsed="false">
      <c r="B312" s="7"/>
      <c r="H312" s="12"/>
      <c r="I312" s="11"/>
      <c r="J312" s="12"/>
      <c r="K312" s="12"/>
      <c r="L312" s="12"/>
      <c r="M312" s="12"/>
    </row>
    <row r="313" customFormat="false" ht="15" hidden="false" customHeight="true" outlineLevel="0" collapsed="false">
      <c r="B313" s="7"/>
      <c r="H313" s="14"/>
      <c r="I313" s="11"/>
      <c r="J313" s="14"/>
      <c r="K313" s="14"/>
      <c r="L313" s="14"/>
      <c r="M313" s="14"/>
    </row>
    <row r="314" customFormat="false" ht="15" hidden="false" customHeight="true" outlineLevel="0" collapsed="false">
      <c r="B314" s="7"/>
      <c r="H314" s="12"/>
      <c r="I314" s="11"/>
      <c r="J314" s="12"/>
      <c r="K314" s="12"/>
      <c r="L314" s="12"/>
      <c r="M314" s="12"/>
    </row>
    <row r="315" customFormat="false" ht="15" hidden="false" customHeight="true" outlineLevel="0" collapsed="false">
      <c r="B315" s="7"/>
      <c r="H315" s="14"/>
      <c r="I315" s="11"/>
      <c r="J315" s="14"/>
      <c r="K315" s="14"/>
      <c r="L315" s="14"/>
      <c r="M315" s="14"/>
    </row>
    <row r="316" customFormat="false" ht="15" hidden="false" customHeight="true" outlineLevel="0" collapsed="false">
      <c r="B316" s="7"/>
      <c r="H316" s="12"/>
      <c r="I316" s="11"/>
      <c r="J316" s="12"/>
      <c r="K316" s="12"/>
      <c r="L316" s="12"/>
      <c r="M316" s="12"/>
    </row>
    <row r="317" customFormat="false" ht="15" hidden="false" customHeight="true" outlineLevel="0" collapsed="false">
      <c r="B317" s="7"/>
      <c r="H317" s="14"/>
      <c r="I317" s="11"/>
      <c r="J317" s="14"/>
      <c r="K317" s="14"/>
      <c r="L317" s="14"/>
      <c r="M317" s="14"/>
    </row>
    <row r="318" customFormat="false" ht="15" hidden="false" customHeight="true" outlineLevel="0" collapsed="false">
      <c r="B318" s="7"/>
      <c r="H318" s="12"/>
      <c r="I318" s="11"/>
      <c r="J318" s="12"/>
      <c r="K318" s="12"/>
      <c r="L318" s="12"/>
      <c r="M318" s="12"/>
    </row>
    <row r="319" customFormat="false" ht="15" hidden="false" customHeight="true" outlineLevel="0" collapsed="false">
      <c r="B319" s="7"/>
      <c r="H319" s="14"/>
      <c r="I319" s="11"/>
      <c r="J319" s="14"/>
      <c r="K319" s="14"/>
      <c r="L319" s="14"/>
      <c r="M319" s="14"/>
    </row>
    <row r="320" customFormat="false" ht="15" hidden="false" customHeight="true" outlineLevel="0" collapsed="false">
      <c r="B320" s="7"/>
      <c r="H320" s="12"/>
      <c r="I320" s="11"/>
      <c r="J320" s="12"/>
      <c r="K320" s="12"/>
      <c r="L320" s="12"/>
      <c r="M320" s="12"/>
    </row>
    <row r="321" customFormat="false" ht="15" hidden="false" customHeight="true" outlineLevel="0" collapsed="false">
      <c r="B321" s="7"/>
      <c r="H321" s="14"/>
      <c r="I321" s="11"/>
      <c r="J321" s="14"/>
      <c r="K321" s="14"/>
      <c r="L321" s="14"/>
      <c r="M321" s="14"/>
    </row>
    <row r="322" customFormat="false" ht="15" hidden="false" customHeight="true" outlineLevel="0" collapsed="false">
      <c r="B322" s="7"/>
      <c r="H322" s="12"/>
      <c r="I322" s="11"/>
      <c r="J322" s="12"/>
      <c r="K322" s="12"/>
      <c r="L322" s="12"/>
      <c r="M322" s="12"/>
    </row>
    <row r="323" customFormat="false" ht="15" hidden="false" customHeight="true" outlineLevel="0" collapsed="false">
      <c r="B323" s="7"/>
      <c r="H323" s="14"/>
      <c r="I323" s="11"/>
      <c r="J323" s="14"/>
      <c r="K323" s="14"/>
      <c r="L323" s="14"/>
      <c r="M323" s="14"/>
    </row>
    <row r="324" customFormat="false" ht="15" hidden="false" customHeight="true" outlineLevel="0" collapsed="false">
      <c r="B324" s="7"/>
      <c r="H324" s="12"/>
      <c r="I324" s="11"/>
      <c r="J324" s="12"/>
      <c r="K324" s="12"/>
      <c r="L324" s="12"/>
      <c r="M324" s="12"/>
    </row>
    <row r="325" customFormat="false" ht="15" hidden="false" customHeight="true" outlineLevel="0" collapsed="false">
      <c r="B325" s="7"/>
      <c r="H325" s="14"/>
      <c r="I325" s="11"/>
      <c r="J325" s="14"/>
      <c r="K325" s="14"/>
      <c r="L325" s="14"/>
      <c r="M325" s="14"/>
    </row>
    <row r="326" customFormat="false" ht="15" hidden="false" customHeight="true" outlineLevel="0" collapsed="false">
      <c r="B326" s="7"/>
      <c r="H326" s="12"/>
      <c r="I326" s="11"/>
      <c r="J326" s="12"/>
      <c r="K326" s="12"/>
      <c r="L326" s="12"/>
      <c r="M326" s="12"/>
    </row>
    <row r="327" customFormat="false" ht="15" hidden="false" customHeight="true" outlineLevel="0" collapsed="false">
      <c r="B327" s="7"/>
      <c r="H327" s="14"/>
      <c r="I327" s="11"/>
      <c r="J327" s="14"/>
      <c r="K327" s="14"/>
      <c r="L327" s="14"/>
      <c r="M327" s="14"/>
    </row>
    <row r="328" customFormat="false" ht="15" hidden="false" customHeight="true" outlineLevel="0" collapsed="false">
      <c r="B328" s="7"/>
      <c r="H328" s="12"/>
      <c r="I328" s="11"/>
      <c r="J328" s="12"/>
      <c r="K328" s="12"/>
      <c r="L328" s="12"/>
      <c r="M328" s="12"/>
    </row>
    <row r="329" customFormat="false" ht="15" hidden="false" customHeight="true" outlineLevel="0" collapsed="false">
      <c r="B329" s="7"/>
      <c r="H329" s="14"/>
      <c r="I329" s="11"/>
      <c r="J329" s="14"/>
      <c r="K329" s="14"/>
      <c r="L329" s="14"/>
      <c r="M329" s="14"/>
    </row>
    <row r="330" customFormat="false" ht="15" hidden="false" customHeight="true" outlineLevel="0" collapsed="false">
      <c r="B330" s="7"/>
      <c r="H330" s="12"/>
      <c r="I330" s="11"/>
      <c r="J330" s="12"/>
      <c r="K330" s="12"/>
      <c r="L330" s="12"/>
      <c r="M330" s="12"/>
    </row>
    <row r="331" customFormat="false" ht="15" hidden="false" customHeight="true" outlineLevel="0" collapsed="false">
      <c r="B331" s="7"/>
      <c r="H331" s="14"/>
      <c r="I331" s="11"/>
      <c r="J331" s="14"/>
      <c r="K331" s="14"/>
      <c r="L331" s="14"/>
      <c r="M331" s="14"/>
    </row>
    <row r="332" customFormat="false" ht="15" hidden="false" customHeight="true" outlineLevel="0" collapsed="false">
      <c r="B332" s="7"/>
      <c r="H332" s="12"/>
      <c r="I332" s="11"/>
      <c r="J332" s="12"/>
      <c r="K332" s="12"/>
      <c r="L332" s="12"/>
      <c r="M332" s="12"/>
    </row>
    <row r="333" customFormat="false" ht="15" hidden="false" customHeight="true" outlineLevel="0" collapsed="false">
      <c r="B333" s="7"/>
      <c r="H333" s="14"/>
      <c r="I333" s="11"/>
      <c r="J333" s="14"/>
      <c r="K333" s="14"/>
      <c r="L333" s="14"/>
      <c r="M333" s="14"/>
    </row>
    <row r="334" customFormat="false" ht="15" hidden="false" customHeight="true" outlineLevel="0" collapsed="false">
      <c r="B334" s="7"/>
      <c r="H334" s="12"/>
      <c r="I334" s="11"/>
      <c r="J334" s="12"/>
      <c r="K334" s="12"/>
      <c r="L334" s="12"/>
      <c r="M334" s="12"/>
    </row>
    <row r="335" customFormat="false" ht="15" hidden="false" customHeight="true" outlineLevel="0" collapsed="false">
      <c r="B335" s="7"/>
      <c r="H335" s="14"/>
      <c r="I335" s="11"/>
      <c r="J335" s="14"/>
      <c r="K335" s="14"/>
      <c r="L335" s="14"/>
      <c r="M335" s="14"/>
    </row>
    <row r="336" customFormat="false" ht="15" hidden="false" customHeight="true" outlineLevel="0" collapsed="false">
      <c r="B336" s="7"/>
      <c r="H336" s="12"/>
      <c r="I336" s="11"/>
      <c r="J336" s="12"/>
      <c r="K336" s="12"/>
      <c r="L336" s="12"/>
      <c r="M336" s="12"/>
    </row>
    <row r="337" customFormat="false" ht="15" hidden="false" customHeight="true" outlineLevel="0" collapsed="false">
      <c r="B337" s="7"/>
      <c r="H337" s="14"/>
      <c r="I337" s="11"/>
      <c r="J337" s="14"/>
      <c r="K337" s="14"/>
      <c r="L337" s="14"/>
      <c r="M337" s="14"/>
    </row>
    <row r="338" customFormat="false" ht="15" hidden="false" customHeight="true" outlineLevel="0" collapsed="false">
      <c r="B338" s="7"/>
      <c r="H338" s="12"/>
      <c r="I338" s="11"/>
      <c r="J338" s="12"/>
      <c r="K338" s="12"/>
      <c r="L338" s="12"/>
      <c r="M338" s="12"/>
    </row>
    <row r="339" customFormat="false" ht="15" hidden="false" customHeight="true" outlineLevel="0" collapsed="false">
      <c r="B339" s="7"/>
      <c r="H339" s="14"/>
      <c r="I339" s="11"/>
      <c r="J339" s="14"/>
      <c r="K339" s="14"/>
      <c r="L339" s="14"/>
      <c r="M339" s="14"/>
    </row>
    <row r="340" customFormat="false" ht="15" hidden="false" customHeight="true" outlineLevel="0" collapsed="false">
      <c r="B340" s="7"/>
      <c r="H340" s="12"/>
      <c r="I340" s="11"/>
      <c r="J340" s="12"/>
      <c r="K340" s="12"/>
      <c r="L340" s="12"/>
      <c r="M340" s="12"/>
    </row>
    <row r="341" customFormat="false" ht="15" hidden="false" customHeight="true" outlineLevel="0" collapsed="false">
      <c r="B341" s="7"/>
      <c r="H341" s="14"/>
      <c r="I341" s="11"/>
      <c r="J341" s="14"/>
      <c r="K341" s="14"/>
      <c r="L341" s="14"/>
      <c r="M341" s="14"/>
    </row>
    <row r="342" customFormat="false" ht="15" hidden="false" customHeight="true" outlineLevel="0" collapsed="false">
      <c r="B342" s="7"/>
      <c r="H342" s="12"/>
      <c r="I342" s="11"/>
      <c r="J342" s="12"/>
      <c r="K342" s="12"/>
      <c r="L342" s="12"/>
      <c r="M342" s="12"/>
    </row>
    <row r="343" customFormat="false" ht="15" hidden="false" customHeight="true" outlineLevel="0" collapsed="false">
      <c r="B343" s="7"/>
      <c r="H343" s="14"/>
      <c r="I343" s="11"/>
      <c r="J343" s="14"/>
      <c r="K343" s="14"/>
      <c r="L343" s="14"/>
      <c r="M343" s="14"/>
    </row>
    <row r="344" customFormat="false" ht="15" hidden="false" customHeight="true" outlineLevel="0" collapsed="false">
      <c r="B344" s="7"/>
      <c r="H344" s="12"/>
      <c r="I344" s="11"/>
      <c r="J344" s="12"/>
      <c r="K344" s="12"/>
      <c r="L344" s="12"/>
      <c r="M344" s="12"/>
    </row>
    <row r="345" customFormat="false" ht="15" hidden="false" customHeight="true" outlineLevel="0" collapsed="false">
      <c r="B345" s="7"/>
      <c r="H345" s="14"/>
      <c r="I345" s="11"/>
      <c r="J345" s="14"/>
      <c r="K345" s="14"/>
      <c r="L345" s="14"/>
      <c r="M345" s="14"/>
    </row>
    <row r="346" customFormat="false" ht="15" hidden="false" customHeight="true" outlineLevel="0" collapsed="false">
      <c r="B346" s="7"/>
      <c r="H346" s="12"/>
      <c r="I346" s="11"/>
      <c r="J346" s="12"/>
      <c r="K346" s="12"/>
      <c r="L346" s="12"/>
      <c r="M346" s="12"/>
    </row>
    <row r="347" customFormat="false" ht="15" hidden="false" customHeight="true" outlineLevel="0" collapsed="false">
      <c r="B347" s="7"/>
      <c r="H347" s="14"/>
      <c r="I347" s="11"/>
      <c r="J347" s="14"/>
      <c r="K347" s="14"/>
      <c r="L347" s="14"/>
      <c r="M347" s="14"/>
    </row>
    <row r="348" customFormat="false" ht="15" hidden="false" customHeight="true" outlineLevel="0" collapsed="false">
      <c r="B348" s="7"/>
      <c r="H348" s="12"/>
      <c r="I348" s="11"/>
      <c r="J348" s="12"/>
      <c r="K348" s="12"/>
      <c r="L348" s="12"/>
      <c r="M348" s="12"/>
    </row>
    <row r="349" customFormat="false" ht="15" hidden="false" customHeight="true" outlineLevel="0" collapsed="false">
      <c r="B349" s="7"/>
      <c r="H349" s="14"/>
      <c r="I349" s="11"/>
      <c r="J349" s="14"/>
      <c r="K349" s="14"/>
      <c r="L349" s="14"/>
      <c r="M349" s="14"/>
    </row>
    <row r="350" customFormat="false" ht="15" hidden="false" customHeight="true" outlineLevel="0" collapsed="false">
      <c r="B350" s="7"/>
      <c r="H350" s="12"/>
      <c r="I350" s="11"/>
      <c r="J350" s="12"/>
      <c r="K350" s="12"/>
      <c r="L350" s="12"/>
      <c r="M350" s="12"/>
    </row>
    <row r="351" customFormat="false" ht="15" hidden="false" customHeight="true" outlineLevel="0" collapsed="false">
      <c r="B351" s="7"/>
      <c r="H351" s="14"/>
      <c r="I351" s="11"/>
      <c r="J351" s="14"/>
      <c r="K351" s="14"/>
      <c r="L351" s="14"/>
      <c r="M351" s="14"/>
    </row>
    <row r="352" customFormat="false" ht="15" hidden="false" customHeight="true" outlineLevel="0" collapsed="false">
      <c r="B352" s="7"/>
      <c r="H352" s="12"/>
      <c r="I352" s="11"/>
      <c r="J352" s="12"/>
      <c r="K352" s="12"/>
      <c r="L352" s="12"/>
      <c r="M352" s="12"/>
    </row>
    <row r="353" customFormat="false" ht="15" hidden="false" customHeight="true" outlineLevel="0" collapsed="false">
      <c r="B353" s="7"/>
      <c r="H353" s="14"/>
      <c r="I353" s="11"/>
      <c r="J353" s="14"/>
      <c r="K353" s="14"/>
      <c r="L353" s="14"/>
      <c r="M353" s="14"/>
    </row>
    <row r="354" customFormat="false" ht="15" hidden="false" customHeight="true" outlineLevel="0" collapsed="false">
      <c r="B354" s="7"/>
      <c r="H354" s="12"/>
      <c r="I354" s="11"/>
      <c r="J354" s="12"/>
      <c r="K354" s="12"/>
      <c r="L354" s="12"/>
      <c r="M354" s="12"/>
    </row>
    <row r="355" customFormat="false" ht="15" hidden="false" customHeight="true" outlineLevel="0" collapsed="false">
      <c r="B355" s="7"/>
      <c r="H355" s="14"/>
      <c r="I355" s="11"/>
      <c r="J355" s="14"/>
      <c r="K355" s="14"/>
      <c r="L355" s="14"/>
      <c r="M355" s="14"/>
    </row>
    <row r="356" customFormat="false" ht="15" hidden="false" customHeight="true" outlineLevel="0" collapsed="false">
      <c r="B356" s="7"/>
      <c r="H356" s="12"/>
      <c r="I356" s="11"/>
      <c r="J356" s="12"/>
      <c r="K356" s="12"/>
      <c r="L356" s="12"/>
      <c r="M356" s="12"/>
    </row>
    <row r="357" customFormat="false" ht="15" hidden="false" customHeight="true" outlineLevel="0" collapsed="false">
      <c r="B357" s="7"/>
      <c r="H357" s="14"/>
      <c r="I357" s="11"/>
      <c r="J357" s="14"/>
      <c r="K357" s="14"/>
      <c r="L357" s="14"/>
      <c r="M357" s="14"/>
    </row>
    <row r="358" customFormat="false" ht="15" hidden="false" customHeight="true" outlineLevel="0" collapsed="false">
      <c r="B358" s="7"/>
      <c r="H358" s="12"/>
      <c r="I358" s="11"/>
      <c r="J358" s="12"/>
      <c r="K358" s="12"/>
      <c r="L358" s="12"/>
      <c r="M358" s="12"/>
    </row>
    <row r="359" customFormat="false" ht="15" hidden="false" customHeight="true" outlineLevel="0" collapsed="false">
      <c r="B359" s="7"/>
      <c r="H359" s="14"/>
      <c r="I359" s="11"/>
      <c r="J359" s="14"/>
      <c r="K359" s="14"/>
      <c r="L359" s="14"/>
      <c r="M359" s="14"/>
    </row>
    <row r="360" customFormat="false" ht="15" hidden="false" customHeight="true" outlineLevel="0" collapsed="false">
      <c r="B360" s="7"/>
      <c r="H360" s="12"/>
      <c r="I360" s="11"/>
      <c r="J360" s="12"/>
      <c r="K360" s="12"/>
      <c r="L360" s="12"/>
      <c r="M360" s="12"/>
    </row>
    <row r="361" customFormat="false" ht="15" hidden="false" customHeight="true" outlineLevel="0" collapsed="false">
      <c r="B361" s="7"/>
      <c r="H361" s="14"/>
      <c r="I361" s="11"/>
      <c r="J361" s="14"/>
      <c r="K361" s="14"/>
      <c r="L361" s="14"/>
      <c r="M361" s="14"/>
    </row>
    <row r="362" customFormat="false" ht="15" hidden="false" customHeight="true" outlineLevel="0" collapsed="false">
      <c r="B362" s="7"/>
      <c r="H362" s="12"/>
      <c r="I362" s="11"/>
      <c r="J362" s="12"/>
      <c r="K362" s="12"/>
      <c r="L362" s="12"/>
      <c r="M362" s="12"/>
    </row>
    <row r="363" customFormat="false" ht="15" hidden="false" customHeight="true" outlineLevel="0" collapsed="false">
      <c r="B363" s="7"/>
      <c r="H363" s="14"/>
      <c r="I363" s="11"/>
      <c r="J363" s="14"/>
      <c r="K363" s="14"/>
      <c r="L363" s="14"/>
      <c r="M363" s="14"/>
    </row>
    <row r="364" customFormat="false" ht="15" hidden="false" customHeight="true" outlineLevel="0" collapsed="false">
      <c r="B364" s="7"/>
      <c r="H364" s="12"/>
      <c r="I364" s="11"/>
      <c r="J364" s="12"/>
      <c r="K364" s="12"/>
      <c r="L364" s="12"/>
      <c r="M364" s="12"/>
    </row>
    <row r="365" customFormat="false" ht="15" hidden="false" customHeight="true" outlineLevel="0" collapsed="false">
      <c r="B365" s="7"/>
      <c r="H365" s="14"/>
      <c r="I365" s="11"/>
      <c r="J365" s="14"/>
      <c r="K365" s="14"/>
      <c r="L365" s="14"/>
      <c r="M365" s="14"/>
    </row>
    <row r="366" customFormat="false" ht="15" hidden="false" customHeight="true" outlineLevel="0" collapsed="false">
      <c r="B366" s="7"/>
      <c r="H366" s="12"/>
      <c r="I366" s="11"/>
      <c r="J366" s="12"/>
      <c r="K366" s="12"/>
      <c r="L366" s="12"/>
      <c r="M366" s="12"/>
    </row>
    <row r="367" customFormat="false" ht="15" hidden="false" customHeight="true" outlineLevel="0" collapsed="false">
      <c r="B367" s="7"/>
      <c r="H367" s="14"/>
      <c r="I367" s="11"/>
      <c r="J367" s="14"/>
      <c r="K367" s="14"/>
      <c r="L367" s="14"/>
      <c r="M367" s="14"/>
    </row>
    <row r="368" customFormat="false" ht="15" hidden="false" customHeight="true" outlineLevel="0" collapsed="false">
      <c r="B368" s="7"/>
      <c r="H368" s="12"/>
      <c r="I368" s="11"/>
      <c r="J368" s="12"/>
      <c r="K368" s="12"/>
      <c r="L368" s="12"/>
      <c r="M368" s="12"/>
    </row>
    <row r="369" customFormat="false" ht="15" hidden="false" customHeight="true" outlineLevel="0" collapsed="false">
      <c r="B369" s="7"/>
      <c r="H369" s="14"/>
      <c r="I369" s="11"/>
      <c r="J369" s="14"/>
      <c r="K369" s="14"/>
      <c r="L369" s="14"/>
      <c r="M369" s="14"/>
    </row>
    <row r="370" customFormat="false" ht="15" hidden="false" customHeight="true" outlineLevel="0" collapsed="false">
      <c r="B370" s="7"/>
      <c r="H370" s="12"/>
      <c r="I370" s="11"/>
      <c r="J370" s="12"/>
      <c r="K370" s="12"/>
      <c r="L370" s="12"/>
      <c r="M370" s="12"/>
    </row>
    <row r="371" customFormat="false" ht="15" hidden="false" customHeight="true" outlineLevel="0" collapsed="false">
      <c r="B371" s="7"/>
      <c r="H371" s="14"/>
      <c r="I371" s="11"/>
      <c r="J371" s="14"/>
      <c r="K371" s="14"/>
      <c r="L371" s="14"/>
      <c r="M371" s="14"/>
    </row>
    <row r="372" customFormat="false" ht="15" hidden="false" customHeight="true" outlineLevel="0" collapsed="false">
      <c r="B372" s="7"/>
      <c r="H372" s="12"/>
      <c r="I372" s="11"/>
      <c r="J372" s="12"/>
      <c r="K372" s="12"/>
      <c r="L372" s="12"/>
      <c r="M372" s="12"/>
    </row>
    <row r="373" customFormat="false" ht="15" hidden="false" customHeight="true" outlineLevel="0" collapsed="false">
      <c r="B373" s="7"/>
      <c r="H373" s="14"/>
      <c r="I373" s="11"/>
      <c r="J373" s="14"/>
      <c r="K373" s="14"/>
      <c r="L373" s="14"/>
      <c r="M373" s="14"/>
    </row>
    <row r="374" customFormat="false" ht="15" hidden="false" customHeight="true" outlineLevel="0" collapsed="false">
      <c r="B374" s="7"/>
      <c r="H374" s="12"/>
      <c r="I374" s="11"/>
      <c r="J374" s="12"/>
      <c r="K374" s="12"/>
      <c r="L374" s="12"/>
      <c r="M374" s="12"/>
    </row>
    <row r="375" customFormat="false" ht="15" hidden="false" customHeight="true" outlineLevel="0" collapsed="false">
      <c r="B375" s="7"/>
      <c r="H375" s="14"/>
      <c r="I375" s="11"/>
      <c r="J375" s="14"/>
      <c r="K375" s="14"/>
      <c r="L375" s="14"/>
      <c r="M375" s="14"/>
    </row>
    <row r="376" customFormat="false" ht="15" hidden="false" customHeight="true" outlineLevel="0" collapsed="false">
      <c r="B376" s="7"/>
      <c r="H376" s="12"/>
      <c r="I376" s="11"/>
      <c r="J376" s="12"/>
      <c r="K376" s="12"/>
      <c r="L376" s="12"/>
      <c r="M376" s="12"/>
    </row>
    <row r="377" customFormat="false" ht="15" hidden="false" customHeight="true" outlineLevel="0" collapsed="false">
      <c r="B377" s="7"/>
      <c r="H377" s="14"/>
      <c r="I377" s="11"/>
      <c r="J377" s="14"/>
      <c r="K377" s="14"/>
      <c r="L377" s="14"/>
      <c r="M377" s="14"/>
    </row>
    <row r="378" customFormat="false" ht="15" hidden="false" customHeight="true" outlineLevel="0" collapsed="false">
      <c r="B378" s="7"/>
      <c r="H378" s="12"/>
      <c r="I378" s="11"/>
      <c r="J378" s="12"/>
      <c r="K378" s="12"/>
      <c r="L378" s="12"/>
      <c r="M378" s="12"/>
    </row>
    <row r="379" customFormat="false" ht="15" hidden="false" customHeight="true" outlineLevel="0" collapsed="false">
      <c r="B379" s="7"/>
      <c r="H379" s="14"/>
      <c r="I379" s="11"/>
      <c r="J379" s="14"/>
      <c r="K379" s="14"/>
      <c r="L379" s="14"/>
      <c r="M379" s="14"/>
    </row>
    <row r="380" customFormat="false" ht="15" hidden="false" customHeight="true" outlineLevel="0" collapsed="false">
      <c r="B380" s="7"/>
      <c r="H380" s="12"/>
      <c r="I380" s="11"/>
      <c r="J380" s="12"/>
      <c r="K380" s="12"/>
      <c r="L380" s="12"/>
      <c r="M380" s="12"/>
    </row>
    <row r="381" customFormat="false" ht="15" hidden="false" customHeight="true" outlineLevel="0" collapsed="false">
      <c r="B381" s="7"/>
      <c r="H381" s="14"/>
      <c r="I381" s="11"/>
      <c r="J381" s="14"/>
      <c r="K381" s="14"/>
      <c r="L381" s="14"/>
      <c r="M381" s="14"/>
    </row>
    <row r="382" customFormat="false" ht="15" hidden="false" customHeight="true" outlineLevel="0" collapsed="false">
      <c r="B382" s="7"/>
      <c r="H382" s="12"/>
      <c r="I382" s="11"/>
      <c r="J382" s="12"/>
      <c r="K382" s="12"/>
      <c r="L382" s="12"/>
      <c r="M382" s="12"/>
    </row>
    <row r="383" customFormat="false" ht="15" hidden="false" customHeight="true" outlineLevel="0" collapsed="false">
      <c r="B383" s="7"/>
      <c r="H383" s="14"/>
      <c r="I383" s="11"/>
      <c r="J383" s="14"/>
      <c r="K383" s="14"/>
      <c r="L383" s="14"/>
      <c r="M383" s="14"/>
    </row>
    <row r="384" customFormat="false" ht="15" hidden="false" customHeight="true" outlineLevel="0" collapsed="false">
      <c r="B384" s="7"/>
      <c r="H384" s="12"/>
      <c r="I384" s="11"/>
      <c r="J384" s="12"/>
      <c r="K384" s="12"/>
      <c r="L384" s="12"/>
      <c r="M384" s="12"/>
    </row>
    <row r="385" customFormat="false" ht="15" hidden="false" customHeight="true" outlineLevel="0" collapsed="false">
      <c r="B385" s="7"/>
      <c r="H385" s="14"/>
      <c r="I385" s="11"/>
      <c r="J385" s="14"/>
      <c r="K385" s="14"/>
      <c r="L385" s="14"/>
      <c r="M385" s="14"/>
    </row>
    <row r="386" customFormat="false" ht="15" hidden="false" customHeight="true" outlineLevel="0" collapsed="false">
      <c r="B386" s="7"/>
      <c r="H386" s="12"/>
      <c r="I386" s="11"/>
      <c r="J386" s="12"/>
      <c r="K386" s="12"/>
      <c r="L386" s="12"/>
      <c r="M386" s="12"/>
    </row>
    <row r="387" customFormat="false" ht="15" hidden="false" customHeight="true" outlineLevel="0" collapsed="false">
      <c r="B387" s="7"/>
      <c r="H387" s="14"/>
      <c r="I387" s="11"/>
      <c r="J387" s="14"/>
      <c r="K387" s="14"/>
      <c r="L387" s="14"/>
      <c r="M387" s="14"/>
    </row>
    <row r="388" customFormat="false" ht="15" hidden="false" customHeight="true" outlineLevel="0" collapsed="false">
      <c r="B388" s="7"/>
      <c r="H388" s="12"/>
      <c r="I388" s="11"/>
      <c r="J388" s="12"/>
      <c r="K388" s="12"/>
      <c r="L388" s="12"/>
      <c r="M388" s="12"/>
    </row>
    <row r="389" customFormat="false" ht="15" hidden="false" customHeight="true" outlineLevel="0" collapsed="false">
      <c r="B389" s="7"/>
      <c r="H389" s="14"/>
      <c r="I389" s="11"/>
      <c r="J389" s="14"/>
      <c r="K389" s="14"/>
      <c r="L389" s="14"/>
      <c r="M389" s="14"/>
    </row>
    <row r="390" customFormat="false" ht="15" hidden="false" customHeight="true" outlineLevel="0" collapsed="false">
      <c r="B390" s="7"/>
      <c r="H390" s="12"/>
      <c r="I390" s="11"/>
      <c r="J390" s="12"/>
      <c r="K390" s="12"/>
      <c r="L390" s="12"/>
      <c r="M390" s="12"/>
    </row>
    <row r="391" customFormat="false" ht="15" hidden="false" customHeight="true" outlineLevel="0" collapsed="false">
      <c r="B391" s="7"/>
      <c r="H391" s="14"/>
      <c r="I391" s="11"/>
      <c r="J391" s="14"/>
      <c r="K391" s="14"/>
      <c r="L391" s="14"/>
      <c r="M391" s="14"/>
    </row>
    <row r="392" customFormat="false" ht="15" hidden="false" customHeight="true" outlineLevel="0" collapsed="false">
      <c r="B392" s="7"/>
      <c r="H392" s="12"/>
      <c r="I392" s="11"/>
      <c r="J392" s="12"/>
      <c r="K392" s="12"/>
      <c r="L392" s="12"/>
      <c r="M392" s="12"/>
    </row>
    <row r="393" customFormat="false" ht="15" hidden="false" customHeight="true" outlineLevel="0" collapsed="false">
      <c r="B393" s="7"/>
      <c r="H393" s="14"/>
      <c r="I393" s="11"/>
      <c r="J393" s="14"/>
      <c r="K393" s="14"/>
      <c r="L393" s="14"/>
      <c r="M393" s="14"/>
    </row>
    <row r="394" customFormat="false" ht="15" hidden="false" customHeight="true" outlineLevel="0" collapsed="false">
      <c r="B394" s="7"/>
      <c r="H394" s="12"/>
      <c r="I394" s="11"/>
      <c r="J394" s="12"/>
      <c r="K394" s="12"/>
      <c r="L394" s="12"/>
      <c r="M394" s="12"/>
    </row>
    <row r="395" customFormat="false" ht="15" hidden="false" customHeight="true" outlineLevel="0" collapsed="false">
      <c r="B395" s="7"/>
      <c r="H395" s="14"/>
      <c r="I395" s="11"/>
      <c r="J395" s="14"/>
      <c r="K395" s="14"/>
      <c r="L395" s="14"/>
      <c r="M395" s="14"/>
    </row>
    <row r="396" customFormat="false" ht="15" hidden="false" customHeight="true" outlineLevel="0" collapsed="false">
      <c r="B396" s="7"/>
      <c r="H396" s="12"/>
      <c r="I396" s="11"/>
      <c r="J396" s="12"/>
      <c r="K396" s="12"/>
      <c r="L396" s="12"/>
      <c r="M396" s="12"/>
    </row>
    <row r="397" customFormat="false" ht="15" hidden="false" customHeight="true" outlineLevel="0" collapsed="false">
      <c r="B397" s="7"/>
      <c r="H397" s="14"/>
      <c r="I397" s="11"/>
      <c r="J397" s="14"/>
      <c r="K397" s="14"/>
      <c r="L397" s="14"/>
      <c r="M397" s="14"/>
    </row>
    <row r="398" customFormat="false" ht="15" hidden="false" customHeight="true" outlineLevel="0" collapsed="false">
      <c r="B398" s="7"/>
      <c r="H398" s="12"/>
      <c r="I398" s="11"/>
      <c r="J398" s="12"/>
      <c r="K398" s="12"/>
      <c r="L398" s="12"/>
      <c r="M398" s="12"/>
    </row>
    <row r="399" customFormat="false" ht="15" hidden="false" customHeight="true" outlineLevel="0" collapsed="false">
      <c r="B399" s="7"/>
      <c r="H399" s="14"/>
      <c r="I399" s="11"/>
      <c r="J399" s="14"/>
      <c r="K399" s="14"/>
      <c r="L399" s="14"/>
      <c r="M399" s="14"/>
    </row>
    <row r="400" customFormat="false" ht="15" hidden="false" customHeight="true" outlineLevel="0" collapsed="false">
      <c r="B400" s="7"/>
      <c r="H400" s="12"/>
      <c r="I400" s="11"/>
      <c r="J400" s="12"/>
      <c r="K400" s="12"/>
      <c r="L400" s="12"/>
      <c r="M400" s="12"/>
    </row>
    <row r="401" customFormat="false" ht="15" hidden="false" customHeight="true" outlineLevel="0" collapsed="false">
      <c r="B401" s="7"/>
      <c r="H401" s="14"/>
      <c r="I401" s="11"/>
      <c r="J401" s="14"/>
      <c r="K401" s="14"/>
      <c r="L401" s="14"/>
      <c r="M401" s="14"/>
    </row>
    <row r="402" customFormat="false" ht="15" hidden="false" customHeight="true" outlineLevel="0" collapsed="false">
      <c r="B402" s="7"/>
      <c r="H402" s="12"/>
      <c r="I402" s="11"/>
      <c r="J402" s="12"/>
      <c r="K402" s="12"/>
      <c r="L402" s="12"/>
      <c r="M402" s="12"/>
    </row>
    <row r="403" customFormat="false" ht="15" hidden="false" customHeight="true" outlineLevel="0" collapsed="false">
      <c r="B403" s="7"/>
      <c r="H403" s="14"/>
      <c r="I403" s="11"/>
      <c r="J403" s="14"/>
      <c r="K403" s="14"/>
      <c r="L403" s="14"/>
      <c r="M403" s="14"/>
    </row>
    <row r="404" customFormat="false" ht="15" hidden="false" customHeight="true" outlineLevel="0" collapsed="false">
      <c r="B404" s="7"/>
      <c r="H404" s="12"/>
      <c r="I404" s="11"/>
      <c r="J404" s="12"/>
      <c r="K404" s="12"/>
      <c r="L404" s="12"/>
      <c r="M404" s="12"/>
    </row>
    <row r="405" customFormat="false" ht="15" hidden="false" customHeight="true" outlineLevel="0" collapsed="false">
      <c r="B405" s="7"/>
      <c r="H405" s="14"/>
      <c r="I405" s="11"/>
      <c r="J405" s="14"/>
      <c r="K405" s="14"/>
      <c r="L405" s="14"/>
      <c r="M405" s="14"/>
    </row>
    <row r="406" customFormat="false" ht="15" hidden="false" customHeight="true" outlineLevel="0" collapsed="false">
      <c r="B406" s="7"/>
      <c r="H406" s="12"/>
      <c r="I406" s="11"/>
      <c r="J406" s="12"/>
      <c r="K406" s="12"/>
      <c r="L406" s="12"/>
      <c r="M406" s="12"/>
    </row>
    <row r="407" customFormat="false" ht="15" hidden="false" customHeight="true" outlineLevel="0" collapsed="false">
      <c r="B407" s="7"/>
      <c r="H407" s="14"/>
      <c r="I407" s="11"/>
      <c r="J407" s="14"/>
      <c r="K407" s="14"/>
      <c r="L407" s="14"/>
      <c r="M407" s="14"/>
    </row>
    <row r="408" customFormat="false" ht="15" hidden="false" customHeight="true" outlineLevel="0" collapsed="false">
      <c r="B408" s="7"/>
      <c r="H408" s="12"/>
      <c r="I408" s="11"/>
      <c r="J408" s="12"/>
      <c r="K408" s="12"/>
      <c r="L408" s="12"/>
      <c r="M408" s="12"/>
    </row>
    <row r="409" customFormat="false" ht="15" hidden="false" customHeight="true" outlineLevel="0" collapsed="false">
      <c r="B409" s="7"/>
      <c r="H409" s="14"/>
      <c r="I409" s="11"/>
      <c r="J409" s="14"/>
      <c r="K409" s="14"/>
      <c r="L409" s="14"/>
      <c r="M409" s="14"/>
    </row>
    <row r="410" customFormat="false" ht="15" hidden="false" customHeight="true" outlineLevel="0" collapsed="false">
      <c r="B410" s="7"/>
      <c r="H410" s="12"/>
      <c r="I410" s="11"/>
      <c r="J410" s="12"/>
      <c r="K410" s="12"/>
      <c r="L410" s="12"/>
      <c r="M410" s="12"/>
    </row>
    <row r="411" customFormat="false" ht="15" hidden="false" customHeight="true" outlineLevel="0" collapsed="false">
      <c r="B411" s="7"/>
      <c r="H411" s="14"/>
      <c r="I411" s="11"/>
      <c r="J411" s="14"/>
      <c r="K411" s="14"/>
      <c r="L411" s="14"/>
      <c r="M411" s="14"/>
    </row>
    <row r="412" customFormat="false" ht="15" hidden="false" customHeight="true" outlineLevel="0" collapsed="false">
      <c r="B412" s="7"/>
      <c r="H412" s="12"/>
      <c r="I412" s="11"/>
      <c r="J412" s="12"/>
      <c r="K412" s="12"/>
      <c r="L412" s="12"/>
      <c r="M412" s="12"/>
    </row>
    <row r="413" customFormat="false" ht="15" hidden="false" customHeight="true" outlineLevel="0" collapsed="false">
      <c r="B413" s="7"/>
      <c r="H413" s="14"/>
      <c r="I413" s="11"/>
      <c r="J413" s="14"/>
      <c r="K413" s="14"/>
      <c r="L413" s="14"/>
      <c r="M413" s="14"/>
    </row>
    <row r="414" customFormat="false" ht="15" hidden="false" customHeight="true" outlineLevel="0" collapsed="false">
      <c r="B414" s="7"/>
      <c r="H414" s="12"/>
      <c r="I414" s="11"/>
      <c r="J414" s="12"/>
      <c r="K414" s="12"/>
      <c r="L414" s="12"/>
      <c r="M414" s="12"/>
    </row>
    <row r="415" customFormat="false" ht="15" hidden="false" customHeight="true" outlineLevel="0" collapsed="false">
      <c r="B415" s="7"/>
      <c r="H415" s="14"/>
      <c r="I415" s="11"/>
      <c r="J415" s="14"/>
      <c r="K415" s="14"/>
      <c r="L415" s="14"/>
      <c r="M415" s="14"/>
    </row>
    <row r="416" customFormat="false" ht="15" hidden="false" customHeight="true" outlineLevel="0" collapsed="false">
      <c r="B416" s="7"/>
      <c r="H416" s="12"/>
      <c r="I416" s="11"/>
      <c r="J416" s="12"/>
      <c r="K416" s="12"/>
      <c r="L416" s="12"/>
      <c r="M416" s="12"/>
    </row>
    <row r="417" customFormat="false" ht="15" hidden="false" customHeight="true" outlineLevel="0" collapsed="false">
      <c r="B417" s="7"/>
      <c r="H417" s="14"/>
      <c r="I417" s="11"/>
      <c r="J417" s="14"/>
      <c r="K417" s="14"/>
      <c r="L417" s="14"/>
      <c r="M417" s="14"/>
    </row>
    <row r="418" customFormat="false" ht="15" hidden="false" customHeight="true" outlineLevel="0" collapsed="false">
      <c r="B418" s="7"/>
      <c r="H418" s="12"/>
      <c r="I418" s="11"/>
      <c r="J418" s="12"/>
      <c r="K418" s="12"/>
      <c r="L418" s="12"/>
      <c r="M418" s="12"/>
    </row>
    <row r="419" customFormat="false" ht="15" hidden="false" customHeight="true" outlineLevel="0" collapsed="false">
      <c r="B419" s="7"/>
      <c r="H419" s="14"/>
      <c r="I419" s="11"/>
      <c r="J419" s="14"/>
      <c r="K419" s="14"/>
      <c r="L419" s="14"/>
      <c r="M419" s="14"/>
    </row>
    <row r="420" customFormat="false" ht="15" hidden="false" customHeight="true" outlineLevel="0" collapsed="false">
      <c r="B420" s="7"/>
      <c r="H420" s="12"/>
      <c r="I420" s="11"/>
      <c r="J420" s="12"/>
      <c r="K420" s="12"/>
      <c r="L420" s="12"/>
      <c r="M420" s="12"/>
    </row>
    <row r="421" customFormat="false" ht="15" hidden="false" customHeight="true" outlineLevel="0" collapsed="false">
      <c r="B421" s="7"/>
      <c r="H421" s="14"/>
      <c r="I421" s="11"/>
      <c r="J421" s="14"/>
      <c r="K421" s="14"/>
      <c r="L421" s="14"/>
      <c r="M421" s="14"/>
    </row>
    <row r="422" customFormat="false" ht="15" hidden="false" customHeight="true" outlineLevel="0" collapsed="false">
      <c r="B422" s="7"/>
      <c r="H422" s="12"/>
      <c r="I422" s="11"/>
      <c r="J422" s="12"/>
      <c r="K422" s="12"/>
      <c r="L422" s="12"/>
      <c r="M422" s="12"/>
    </row>
    <row r="423" customFormat="false" ht="15" hidden="false" customHeight="true" outlineLevel="0" collapsed="false">
      <c r="B423" s="7"/>
      <c r="H423" s="14"/>
      <c r="I423" s="11"/>
      <c r="J423" s="14"/>
      <c r="K423" s="14"/>
      <c r="L423" s="14"/>
      <c r="M423" s="14"/>
    </row>
    <row r="424" customFormat="false" ht="15" hidden="false" customHeight="true" outlineLevel="0" collapsed="false">
      <c r="B424" s="7"/>
      <c r="H424" s="12"/>
      <c r="I424" s="11"/>
      <c r="J424" s="12"/>
      <c r="K424" s="12"/>
      <c r="L424" s="12"/>
      <c r="M424" s="12"/>
    </row>
    <row r="425" customFormat="false" ht="15" hidden="false" customHeight="true" outlineLevel="0" collapsed="false">
      <c r="B425" s="7"/>
      <c r="H425" s="14"/>
      <c r="I425" s="11"/>
      <c r="J425" s="14"/>
      <c r="K425" s="14"/>
      <c r="L425" s="14"/>
      <c r="M425" s="14"/>
    </row>
    <row r="426" customFormat="false" ht="15" hidden="false" customHeight="true" outlineLevel="0" collapsed="false">
      <c r="B426" s="7"/>
      <c r="H426" s="12"/>
      <c r="I426" s="11"/>
      <c r="J426" s="12"/>
      <c r="K426" s="12"/>
      <c r="L426" s="12"/>
      <c r="M426" s="12"/>
    </row>
    <row r="427" customFormat="false" ht="15" hidden="false" customHeight="true" outlineLevel="0" collapsed="false">
      <c r="B427" s="7"/>
      <c r="H427" s="14"/>
      <c r="I427" s="11"/>
      <c r="J427" s="14"/>
      <c r="K427" s="14"/>
      <c r="L427" s="14"/>
      <c r="M427" s="14"/>
    </row>
    <row r="428" customFormat="false" ht="15" hidden="false" customHeight="true" outlineLevel="0" collapsed="false">
      <c r="B428" s="7"/>
      <c r="H428" s="12"/>
      <c r="I428" s="11"/>
      <c r="J428" s="12"/>
      <c r="K428" s="12"/>
      <c r="L428" s="12"/>
      <c r="M428" s="12"/>
    </row>
    <row r="429" customFormat="false" ht="15" hidden="false" customHeight="true" outlineLevel="0" collapsed="false">
      <c r="B429" s="7"/>
      <c r="H429" s="14"/>
      <c r="I429" s="11"/>
      <c r="J429" s="14"/>
      <c r="K429" s="14"/>
      <c r="L429" s="14"/>
      <c r="M429" s="14"/>
    </row>
    <row r="430" customFormat="false" ht="15" hidden="false" customHeight="true" outlineLevel="0" collapsed="false">
      <c r="B430" s="7"/>
      <c r="H430" s="12"/>
      <c r="I430" s="11"/>
      <c r="J430" s="12"/>
      <c r="K430" s="12"/>
      <c r="L430" s="12"/>
      <c r="M430" s="12"/>
    </row>
    <row r="431" customFormat="false" ht="15" hidden="false" customHeight="true" outlineLevel="0" collapsed="false">
      <c r="B431" s="7"/>
      <c r="H431" s="14"/>
      <c r="I431" s="11"/>
      <c r="J431" s="14"/>
      <c r="K431" s="14"/>
      <c r="L431" s="14"/>
      <c r="M431" s="14"/>
    </row>
    <row r="432" customFormat="false" ht="15" hidden="false" customHeight="true" outlineLevel="0" collapsed="false">
      <c r="B432" s="7"/>
      <c r="H432" s="12"/>
      <c r="I432" s="11"/>
      <c r="J432" s="12"/>
      <c r="K432" s="12"/>
      <c r="L432" s="12"/>
      <c r="M432" s="12"/>
    </row>
    <row r="433" customFormat="false" ht="15" hidden="false" customHeight="true" outlineLevel="0" collapsed="false">
      <c r="B433" s="7"/>
      <c r="H433" s="14"/>
      <c r="I433" s="11"/>
      <c r="J433" s="14"/>
      <c r="K433" s="14"/>
      <c r="L433" s="14"/>
      <c r="M433" s="14"/>
    </row>
    <row r="434" customFormat="false" ht="15" hidden="false" customHeight="true" outlineLevel="0" collapsed="false">
      <c r="B434" s="7"/>
      <c r="H434" s="12"/>
      <c r="I434" s="11"/>
      <c r="J434" s="12"/>
      <c r="K434" s="12"/>
      <c r="L434" s="12"/>
      <c r="M434" s="12"/>
    </row>
    <row r="435" customFormat="false" ht="15" hidden="false" customHeight="true" outlineLevel="0" collapsed="false">
      <c r="B435" s="7"/>
      <c r="H435" s="14"/>
      <c r="I435" s="11"/>
      <c r="J435" s="14"/>
      <c r="K435" s="14"/>
      <c r="L435" s="14"/>
      <c r="M435" s="14"/>
    </row>
    <row r="436" customFormat="false" ht="15" hidden="false" customHeight="true" outlineLevel="0" collapsed="false">
      <c r="B436" s="7"/>
      <c r="H436" s="12"/>
      <c r="I436" s="11"/>
      <c r="J436" s="12"/>
      <c r="K436" s="12"/>
      <c r="L436" s="12"/>
      <c r="M436" s="12"/>
    </row>
    <row r="437" customFormat="false" ht="15" hidden="false" customHeight="true" outlineLevel="0" collapsed="false">
      <c r="B437" s="7"/>
      <c r="H437" s="14"/>
      <c r="I437" s="11"/>
      <c r="J437" s="14"/>
      <c r="K437" s="14"/>
      <c r="L437" s="14"/>
      <c r="M437" s="14"/>
    </row>
    <row r="438" customFormat="false" ht="15" hidden="false" customHeight="true" outlineLevel="0" collapsed="false">
      <c r="B438" s="7"/>
      <c r="H438" s="12"/>
      <c r="I438" s="11"/>
      <c r="J438" s="12"/>
      <c r="K438" s="12"/>
      <c r="L438" s="12"/>
      <c r="M438" s="12"/>
    </row>
    <row r="439" customFormat="false" ht="15" hidden="false" customHeight="true" outlineLevel="0" collapsed="false">
      <c r="B439" s="7"/>
      <c r="H439" s="14"/>
      <c r="I439" s="11"/>
      <c r="J439" s="14"/>
      <c r="K439" s="14"/>
      <c r="L439" s="14"/>
      <c r="M439" s="14"/>
    </row>
    <row r="440" customFormat="false" ht="15" hidden="false" customHeight="true" outlineLevel="0" collapsed="false">
      <c r="B440" s="7"/>
      <c r="H440" s="12"/>
      <c r="I440" s="11"/>
      <c r="J440" s="12"/>
      <c r="K440" s="12"/>
      <c r="L440" s="12"/>
      <c r="M440" s="12"/>
    </row>
    <row r="441" customFormat="false" ht="15" hidden="false" customHeight="true" outlineLevel="0" collapsed="false">
      <c r="B441" s="7"/>
      <c r="H441" s="14"/>
      <c r="I441" s="11"/>
      <c r="J441" s="14"/>
      <c r="K441" s="14"/>
      <c r="L441" s="14"/>
      <c r="M441" s="14"/>
    </row>
    <row r="442" customFormat="false" ht="15" hidden="false" customHeight="true" outlineLevel="0" collapsed="false">
      <c r="B442" s="7"/>
      <c r="H442" s="12"/>
      <c r="I442" s="11"/>
      <c r="J442" s="12"/>
      <c r="K442" s="12"/>
      <c r="L442" s="12"/>
      <c r="M442" s="12"/>
    </row>
    <row r="443" customFormat="false" ht="15" hidden="false" customHeight="true" outlineLevel="0" collapsed="false">
      <c r="B443" s="7"/>
      <c r="H443" s="14"/>
      <c r="I443" s="11"/>
      <c r="J443" s="14"/>
      <c r="K443" s="14"/>
      <c r="L443" s="14"/>
      <c r="M443" s="14"/>
    </row>
    <row r="444" customFormat="false" ht="15" hidden="false" customHeight="true" outlineLevel="0" collapsed="false">
      <c r="B444" s="7"/>
      <c r="H444" s="12"/>
      <c r="I444" s="11"/>
      <c r="J444" s="12"/>
      <c r="K444" s="12"/>
      <c r="L444" s="12"/>
      <c r="M444" s="12"/>
    </row>
    <row r="445" customFormat="false" ht="15" hidden="false" customHeight="true" outlineLevel="0" collapsed="false">
      <c r="B445" s="7"/>
      <c r="H445" s="14"/>
      <c r="I445" s="11"/>
      <c r="J445" s="14"/>
      <c r="K445" s="14"/>
      <c r="L445" s="14"/>
      <c r="M445" s="14"/>
    </row>
    <row r="446" customFormat="false" ht="15" hidden="false" customHeight="true" outlineLevel="0" collapsed="false">
      <c r="B446" s="7"/>
      <c r="H446" s="12"/>
      <c r="I446" s="11"/>
      <c r="J446" s="12"/>
      <c r="K446" s="12"/>
      <c r="L446" s="12"/>
      <c r="M446" s="12"/>
    </row>
    <row r="447" customFormat="false" ht="15" hidden="false" customHeight="true" outlineLevel="0" collapsed="false">
      <c r="B447" s="7"/>
      <c r="H447" s="14"/>
      <c r="I447" s="11"/>
      <c r="J447" s="14"/>
      <c r="K447" s="14"/>
      <c r="L447" s="14"/>
      <c r="M447" s="14"/>
    </row>
    <row r="448" customFormat="false" ht="15" hidden="false" customHeight="true" outlineLevel="0" collapsed="false">
      <c r="B448" s="7"/>
      <c r="H448" s="12"/>
      <c r="I448" s="11"/>
      <c r="J448" s="12"/>
      <c r="K448" s="12"/>
      <c r="L448" s="12"/>
      <c r="M448" s="12"/>
    </row>
    <row r="449" customFormat="false" ht="15" hidden="false" customHeight="true" outlineLevel="0" collapsed="false">
      <c r="B449" s="7"/>
      <c r="H449" s="14"/>
      <c r="I449" s="11"/>
      <c r="J449" s="14"/>
      <c r="K449" s="14"/>
      <c r="L449" s="14"/>
      <c r="M449" s="14"/>
    </row>
    <row r="450" customFormat="false" ht="15" hidden="false" customHeight="true" outlineLevel="0" collapsed="false">
      <c r="B450" s="7"/>
      <c r="H450" s="12"/>
      <c r="I450" s="11"/>
      <c r="J450" s="12"/>
      <c r="K450" s="12"/>
      <c r="L450" s="12"/>
      <c r="M450" s="12"/>
    </row>
    <row r="451" customFormat="false" ht="15" hidden="false" customHeight="true" outlineLevel="0" collapsed="false">
      <c r="B451" s="7"/>
      <c r="H451" s="14"/>
      <c r="I451" s="11"/>
      <c r="J451" s="14"/>
      <c r="K451" s="14"/>
      <c r="L451" s="14"/>
      <c r="M451" s="14"/>
    </row>
    <row r="452" customFormat="false" ht="15" hidden="false" customHeight="true" outlineLevel="0" collapsed="false">
      <c r="B452" s="7"/>
      <c r="H452" s="12"/>
      <c r="I452" s="11"/>
      <c r="J452" s="12"/>
      <c r="K452" s="12"/>
      <c r="L452" s="12"/>
      <c r="M452" s="12"/>
    </row>
    <row r="453" customFormat="false" ht="15" hidden="false" customHeight="true" outlineLevel="0" collapsed="false">
      <c r="B453" s="7"/>
      <c r="H453" s="14"/>
      <c r="I453" s="11"/>
      <c r="J453" s="14"/>
      <c r="K453" s="14"/>
      <c r="L453" s="14"/>
      <c r="M453" s="14"/>
    </row>
    <row r="454" customFormat="false" ht="15" hidden="false" customHeight="true" outlineLevel="0" collapsed="false">
      <c r="B454" s="7"/>
      <c r="H454" s="12"/>
      <c r="I454" s="11"/>
      <c r="J454" s="12"/>
      <c r="K454" s="12"/>
      <c r="L454" s="12"/>
      <c r="M454" s="12"/>
    </row>
    <row r="455" customFormat="false" ht="15" hidden="false" customHeight="true" outlineLevel="0" collapsed="false">
      <c r="B455" s="7"/>
      <c r="H455" s="14"/>
      <c r="I455" s="11"/>
      <c r="J455" s="14"/>
      <c r="K455" s="14"/>
      <c r="L455" s="14"/>
      <c r="M455" s="14"/>
    </row>
    <row r="456" customFormat="false" ht="15" hidden="false" customHeight="true" outlineLevel="0" collapsed="false">
      <c r="B456" s="7"/>
      <c r="H456" s="12"/>
      <c r="I456" s="11"/>
      <c r="J456" s="12"/>
      <c r="K456" s="12"/>
      <c r="L456" s="12"/>
      <c r="M456" s="12"/>
    </row>
    <row r="457" customFormat="false" ht="15" hidden="false" customHeight="true" outlineLevel="0" collapsed="false">
      <c r="B457" s="7"/>
      <c r="H457" s="14"/>
      <c r="I457" s="11"/>
      <c r="J457" s="14"/>
      <c r="K457" s="14"/>
      <c r="L457" s="14"/>
      <c r="M457" s="14"/>
    </row>
    <row r="458" customFormat="false" ht="15" hidden="false" customHeight="true" outlineLevel="0" collapsed="false">
      <c r="B458" s="7"/>
      <c r="H458" s="12"/>
      <c r="I458" s="11"/>
      <c r="J458" s="12"/>
      <c r="K458" s="12"/>
      <c r="L458" s="12"/>
      <c r="M458" s="12"/>
    </row>
    <row r="459" customFormat="false" ht="15" hidden="false" customHeight="true" outlineLevel="0" collapsed="false">
      <c r="B459" s="7"/>
      <c r="H459" s="14"/>
      <c r="I459" s="11"/>
      <c r="J459" s="14"/>
      <c r="K459" s="14"/>
      <c r="L459" s="14"/>
      <c r="M459" s="14"/>
    </row>
    <row r="460" customFormat="false" ht="15" hidden="false" customHeight="true" outlineLevel="0" collapsed="false">
      <c r="B460" s="7"/>
      <c r="H460" s="12"/>
      <c r="I460" s="11"/>
      <c r="J460" s="12"/>
      <c r="K460" s="12"/>
      <c r="L460" s="12"/>
      <c r="M460" s="12"/>
    </row>
    <row r="461" customFormat="false" ht="15" hidden="false" customHeight="true" outlineLevel="0" collapsed="false">
      <c r="B461" s="7"/>
      <c r="H461" s="14"/>
      <c r="I461" s="11"/>
      <c r="J461" s="14"/>
      <c r="K461" s="14"/>
      <c r="L461" s="14"/>
      <c r="M461" s="14"/>
    </row>
    <row r="462" customFormat="false" ht="15" hidden="false" customHeight="true" outlineLevel="0" collapsed="false">
      <c r="B462" s="7"/>
      <c r="H462" s="12"/>
      <c r="I462" s="11"/>
      <c r="J462" s="12"/>
      <c r="K462" s="12"/>
      <c r="L462" s="12"/>
      <c r="M462" s="12"/>
    </row>
    <row r="463" customFormat="false" ht="15" hidden="false" customHeight="true" outlineLevel="0" collapsed="false">
      <c r="B463" s="7"/>
      <c r="H463" s="14"/>
      <c r="I463" s="11"/>
      <c r="J463" s="14"/>
      <c r="K463" s="14"/>
      <c r="L463" s="14"/>
      <c r="M463" s="14"/>
    </row>
    <row r="464" customFormat="false" ht="15" hidden="false" customHeight="true" outlineLevel="0" collapsed="false">
      <c r="B464" s="7"/>
      <c r="H464" s="12"/>
      <c r="I464" s="11"/>
      <c r="J464" s="12"/>
      <c r="K464" s="12"/>
      <c r="L464" s="12"/>
      <c r="M464" s="12"/>
    </row>
    <row r="465" customFormat="false" ht="15" hidden="false" customHeight="true" outlineLevel="0" collapsed="false">
      <c r="B465" s="7"/>
      <c r="H465" s="14"/>
      <c r="I465" s="11"/>
      <c r="J465" s="14"/>
      <c r="K465" s="14"/>
      <c r="L465" s="14"/>
      <c r="M465" s="14"/>
    </row>
    <row r="466" customFormat="false" ht="15" hidden="false" customHeight="true" outlineLevel="0" collapsed="false">
      <c r="B466" s="7"/>
      <c r="H466" s="12"/>
      <c r="I466" s="11"/>
      <c r="J466" s="12"/>
      <c r="K466" s="12"/>
      <c r="L466" s="12"/>
      <c r="M466" s="12"/>
    </row>
    <row r="467" customFormat="false" ht="15" hidden="false" customHeight="true" outlineLevel="0" collapsed="false">
      <c r="B467" s="7"/>
      <c r="H467" s="14"/>
      <c r="I467" s="11"/>
      <c r="J467" s="14"/>
      <c r="K467" s="14"/>
      <c r="L467" s="14"/>
      <c r="M467" s="14"/>
    </row>
    <row r="468" customFormat="false" ht="15" hidden="false" customHeight="true" outlineLevel="0" collapsed="false">
      <c r="B468" s="7"/>
      <c r="H468" s="12"/>
      <c r="I468" s="11"/>
      <c r="J468" s="12"/>
      <c r="K468" s="12"/>
      <c r="L468" s="12"/>
      <c r="M468" s="12"/>
    </row>
    <row r="469" customFormat="false" ht="15" hidden="false" customHeight="true" outlineLevel="0" collapsed="false">
      <c r="B469" s="7"/>
      <c r="H469" s="14"/>
      <c r="I469" s="11"/>
      <c r="J469" s="14"/>
      <c r="K469" s="14"/>
      <c r="L469" s="14"/>
      <c r="M469" s="14"/>
    </row>
    <row r="470" customFormat="false" ht="15" hidden="false" customHeight="true" outlineLevel="0" collapsed="false">
      <c r="B470" s="7"/>
      <c r="H470" s="12"/>
      <c r="I470" s="11"/>
      <c r="J470" s="12"/>
      <c r="K470" s="12"/>
      <c r="L470" s="12"/>
      <c r="M470" s="12"/>
    </row>
    <row r="471" customFormat="false" ht="15" hidden="false" customHeight="true" outlineLevel="0" collapsed="false">
      <c r="B471" s="7"/>
      <c r="H471" s="14"/>
      <c r="I471" s="11"/>
      <c r="J471" s="14"/>
      <c r="K471" s="14"/>
      <c r="L471" s="14"/>
      <c r="M471" s="14"/>
    </row>
    <row r="472" customFormat="false" ht="15" hidden="false" customHeight="true" outlineLevel="0" collapsed="false">
      <c r="B472" s="7"/>
      <c r="H472" s="12"/>
      <c r="I472" s="11"/>
      <c r="J472" s="12"/>
      <c r="K472" s="12"/>
      <c r="L472" s="12"/>
      <c r="M472" s="12"/>
    </row>
    <row r="473" customFormat="false" ht="15" hidden="false" customHeight="true" outlineLevel="0" collapsed="false">
      <c r="B473" s="7"/>
      <c r="H473" s="14"/>
      <c r="I473" s="11"/>
      <c r="J473" s="14"/>
      <c r="K473" s="14"/>
      <c r="L473" s="14"/>
      <c r="M473" s="14"/>
    </row>
    <row r="474" customFormat="false" ht="15" hidden="false" customHeight="true" outlineLevel="0" collapsed="false">
      <c r="B474" s="7"/>
      <c r="H474" s="12"/>
      <c r="I474" s="11"/>
      <c r="J474" s="12"/>
      <c r="K474" s="12"/>
      <c r="L474" s="12"/>
      <c r="M474" s="12"/>
    </row>
    <row r="475" customFormat="false" ht="15" hidden="false" customHeight="true" outlineLevel="0" collapsed="false">
      <c r="B475" s="7"/>
      <c r="H475" s="14"/>
      <c r="I475" s="11"/>
      <c r="J475" s="14"/>
      <c r="K475" s="14"/>
      <c r="L475" s="14"/>
      <c r="M475" s="14"/>
    </row>
    <row r="476" customFormat="false" ht="15" hidden="false" customHeight="true" outlineLevel="0" collapsed="false">
      <c r="B476" s="7"/>
      <c r="H476" s="12"/>
      <c r="I476" s="11"/>
      <c r="J476" s="12"/>
      <c r="K476" s="12"/>
      <c r="L476" s="12"/>
      <c r="M476" s="12"/>
    </row>
    <row r="477" customFormat="false" ht="15" hidden="false" customHeight="true" outlineLevel="0" collapsed="false">
      <c r="B477" s="7"/>
      <c r="H477" s="14"/>
      <c r="I477" s="11"/>
      <c r="J477" s="14"/>
      <c r="K477" s="14"/>
      <c r="L477" s="14"/>
      <c r="M477" s="14"/>
    </row>
    <row r="478" customFormat="false" ht="15" hidden="false" customHeight="true" outlineLevel="0" collapsed="false">
      <c r="B478" s="7"/>
      <c r="H478" s="12"/>
      <c r="I478" s="11"/>
      <c r="J478" s="12"/>
      <c r="K478" s="12"/>
      <c r="L478" s="12"/>
      <c r="M478" s="12"/>
    </row>
    <row r="479" customFormat="false" ht="15" hidden="false" customHeight="true" outlineLevel="0" collapsed="false">
      <c r="B479" s="7"/>
      <c r="H479" s="14"/>
      <c r="I479" s="11"/>
      <c r="J479" s="14"/>
      <c r="K479" s="14"/>
      <c r="L479" s="14"/>
      <c r="M479" s="14"/>
    </row>
    <row r="480" customFormat="false" ht="15" hidden="false" customHeight="true" outlineLevel="0" collapsed="false">
      <c r="B480" s="7"/>
      <c r="H480" s="12"/>
      <c r="I480" s="11"/>
      <c r="J480" s="12"/>
      <c r="K480" s="12"/>
      <c r="L480" s="12"/>
      <c r="M480" s="12"/>
    </row>
    <row r="481" customFormat="false" ht="15" hidden="false" customHeight="true" outlineLevel="0" collapsed="false">
      <c r="B481" s="7"/>
      <c r="H481" s="14"/>
      <c r="I481" s="11"/>
      <c r="J481" s="14"/>
      <c r="K481" s="14"/>
      <c r="L481" s="14"/>
      <c r="M481" s="14"/>
    </row>
    <row r="482" customFormat="false" ht="15" hidden="false" customHeight="true" outlineLevel="0" collapsed="false">
      <c r="B482" s="7"/>
      <c r="H482" s="12"/>
      <c r="I482" s="11"/>
      <c r="J482" s="12"/>
      <c r="K482" s="12"/>
      <c r="L482" s="12"/>
      <c r="M482" s="12"/>
    </row>
    <row r="483" customFormat="false" ht="15" hidden="false" customHeight="true" outlineLevel="0" collapsed="false">
      <c r="B483" s="7"/>
      <c r="H483" s="14"/>
      <c r="I483" s="11"/>
      <c r="J483" s="14"/>
      <c r="K483" s="14"/>
      <c r="L483" s="14"/>
      <c r="M483" s="14"/>
    </row>
    <row r="484" customFormat="false" ht="15" hidden="false" customHeight="true" outlineLevel="0" collapsed="false">
      <c r="B484" s="7"/>
      <c r="H484" s="12"/>
      <c r="I484" s="11"/>
      <c r="J484" s="12"/>
      <c r="K484" s="12"/>
      <c r="L484" s="12"/>
      <c r="M484" s="12"/>
    </row>
    <row r="485" customFormat="false" ht="15" hidden="false" customHeight="true" outlineLevel="0" collapsed="false">
      <c r="B485" s="7"/>
      <c r="H485" s="14"/>
      <c r="I485" s="11"/>
      <c r="J485" s="14"/>
      <c r="K485" s="14"/>
      <c r="L485" s="14"/>
      <c r="M485" s="14"/>
    </row>
    <row r="486" customFormat="false" ht="15" hidden="false" customHeight="true" outlineLevel="0" collapsed="false">
      <c r="B486" s="7"/>
      <c r="H486" s="12"/>
      <c r="I486" s="11"/>
      <c r="J486" s="12"/>
      <c r="K486" s="12"/>
      <c r="L486" s="12"/>
      <c r="M486" s="12"/>
    </row>
    <row r="487" customFormat="false" ht="15" hidden="false" customHeight="true" outlineLevel="0" collapsed="false">
      <c r="B487" s="7"/>
      <c r="H487" s="14"/>
      <c r="I487" s="11"/>
      <c r="J487" s="14"/>
      <c r="K487" s="14"/>
      <c r="L487" s="14"/>
      <c r="M487" s="14"/>
    </row>
    <row r="488" customFormat="false" ht="15" hidden="false" customHeight="true" outlineLevel="0" collapsed="false">
      <c r="B488" s="7"/>
      <c r="H488" s="12"/>
      <c r="I488" s="11"/>
      <c r="J488" s="12"/>
      <c r="K488" s="12"/>
      <c r="L488" s="12"/>
      <c r="M488" s="12"/>
    </row>
    <row r="489" customFormat="false" ht="15" hidden="false" customHeight="true" outlineLevel="0" collapsed="false">
      <c r="B489" s="7"/>
      <c r="H489" s="14"/>
      <c r="I489" s="11"/>
      <c r="J489" s="14"/>
      <c r="K489" s="14"/>
      <c r="L489" s="14"/>
      <c r="M489" s="14"/>
    </row>
    <row r="490" customFormat="false" ht="15" hidden="false" customHeight="true" outlineLevel="0" collapsed="false">
      <c r="B490" s="7"/>
      <c r="H490" s="12"/>
      <c r="I490" s="11"/>
      <c r="J490" s="12"/>
      <c r="K490" s="12"/>
      <c r="L490" s="12"/>
      <c r="M490" s="12"/>
    </row>
    <row r="491" customFormat="false" ht="15" hidden="false" customHeight="true" outlineLevel="0" collapsed="false">
      <c r="B491" s="7"/>
      <c r="H491" s="14"/>
      <c r="I491" s="11"/>
      <c r="J491" s="14"/>
      <c r="K491" s="14"/>
      <c r="L491" s="14"/>
      <c r="M491" s="14"/>
    </row>
    <row r="492" customFormat="false" ht="15" hidden="false" customHeight="true" outlineLevel="0" collapsed="false">
      <c r="B492" s="7"/>
      <c r="H492" s="12"/>
      <c r="I492" s="11"/>
      <c r="J492" s="12"/>
      <c r="K492" s="12"/>
      <c r="L492" s="12"/>
      <c r="M492" s="12"/>
    </row>
    <row r="493" customFormat="false" ht="15" hidden="false" customHeight="true" outlineLevel="0" collapsed="false">
      <c r="B493" s="7"/>
      <c r="H493" s="14"/>
      <c r="I493" s="11"/>
      <c r="J493" s="14"/>
      <c r="K493" s="14"/>
      <c r="L493" s="14"/>
      <c r="M493" s="14"/>
    </row>
    <row r="494" customFormat="false" ht="15" hidden="false" customHeight="true" outlineLevel="0" collapsed="false">
      <c r="B494" s="7"/>
      <c r="H494" s="12"/>
      <c r="I494" s="11"/>
      <c r="J494" s="12"/>
      <c r="K494" s="12"/>
      <c r="L494" s="12"/>
      <c r="M494" s="12"/>
    </row>
    <row r="495" customFormat="false" ht="15" hidden="false" customHeight="true" outlineLevel="0" collapsed="false">
      <c r="B495" s="7"/>
      <c r="H495" s="14"/>
      <c r="I495" s="11"/>
      <c r="J495" s="14"/>
      <c r="K495" s="14"/>
      <c r="L495" s="14"/>
      <c r="M495" s="14"/>
    </row>
    <row r="496" customFormat="false" ht="15" hidden="false" customHeight="true" outlineLevel="0" collapsed="false">
      <c r="B496" s="7"/>
      <c r="H496" s="12"/>
      <c r="I496" s="11"/>
      <c r="J496" s="12"/>
      <c r="K496" s="12"/>
      <c r="L496" s="12"/>
      <c r="M496" s="12"/>
    </row>
    <row r="497" customFormat="false" ht="15" hidden="false" customHeight="true" outlineLevel="0" collapsed="false">
      <c r="B497" s="7"/>
      <c r="H497" s="14"/>
      <c r="I497" s="11"/>
      <c r="J497" s="14"/>
      <c r="K497" s="14"/>
      <c r="L497" s="14"/>
      <c r="M497" s="14"/>
    </row>
    <row r="498" customFormat="false" ht="15" hidden="false" customHeight="true" outlineLevel="0" collapsed="false">
      <c r="B498" s="7"/>
      <c r="H498" s="12"/>
      <c r="I498" s="11"/>
      <c r="J498" s="12"/>
      <c r="K498" s="12"/>
      <c r="L498" s="12"/>
      <c r="M498" s="12"/>
    </row>
    <row r="499" customFormat="false" ht="15" hidden="false" customHeight="true" outlineLevel="0" collapsed="false">
      <c r="B499" s="7"/>
      <c r="H499" s="14"/>
      <c r="I499" s="11"/>
      <c r="J499" s="14"/>
      <c r="K499" s="14"/>
      <c r="L499" s="14"/>
      <c r="M499" s="14"/>
    </row>
    <row r="500" customFormat="false" ht="15" hidden="false" customHeight="true" outlineLevel="0" collapsed="false">
      <c r="B500" s="7"/>
      <c r="H500" s="12"/>
      <c r="I500" s="11"/>
      <c r="J500" s="12"/>
      <c r="K500" s="12"/>
      <c r="L500" s="12"/>
      <c r="M500" s="12"/>
    </row>
    <row r="501" customFormat="false" ht="15" hidden="false" customHeight="true" outlineLevel="0" collapsed="false">
      <c r="B501" s="7"/>
      <c r="H501" s="14"/>
      <c r="I501" s="11"/>
      <c r="J501" s="14"/>
      <c r="K501" s="14"/>
      <c r="L501" s="14"/>
      <c r="M501" s="14"/>
    </row>
    <row r="502" customFormat="false" ht="15" hidden="false" customHeight="true" outlineLevel="0" collapsed="false">
      <c r="B502" s="7"/>
      <c r="H502" s="12"/>
      <c r="I502" s="11"/>
      <c r="J502" s="12"/>
      <c r="K502" s="12"/>
      <c r="L502" s="12"/>
      <c r="M502" s="12"/>
    </row>
    <row r="503" customFormat="false" ht="15" hidden="false" customHeight="true" outlineLevel="0" collapsed="false">
      <c r="B503" s="7"/>
      <c r="H503" s="14"/>
      <c r="I503" s="11"/>
      <c r="J503" s="14"/>
      <c r="K503" s="14"/>
      <c r="L503" s="14"/>
      <c r="M503" s="14"/>
    </row>
    <row r="504" customFormat="false" ht="15" hidden="false" customHeight="true" outlineLevel="0" collapsed="false">
      <c r="B504" s="7"/>
      <c r="H504" s="12"/>
      <c r="I504" s="11"/>
      <c r="J504" s="12"/>
      <c r="K504" s="12"/>
      <c r="L504" s="12"/>
      <c r="M504" s="12"/>
    </row>
    <row r="505" customFormat="false" ht="15" hidden="false" customHeight="true" outlineLevel="0" collapsed="false">
      <c r="B505" s="7"/>
      <c r="H505" s="14"/>
      <c r="I505" s="11"/>
      <c r="J505" s="14"/>
      <c r="K505" s="14"/>
      <c r="L505" s="14"/>
      <c r="M505" s="14"/>
    </row>
    <row r="506" customFormat="false" ht="15" hidden="false" customHeight="true" outlineLevel="0" collapsed="false">
      <c r="B506" s="7"/>
      <c r="H506" s="12"/>
      <c r="I506" s="11"/>
      <c r="J506" s="12"/>
      <c r="K506" s="12"/>
      <c r="L506" s="12"/>
      <c r="M506" s="12"/>
    </row>
    <row r="507" customFormat="false" ht="15" hidden="false" customHeight="true" outlineLevel="0" collapsed="false">
      <c r="B507" s="7"/>
      <c r="H507" s="14"/>
      <c r="I507" s="11"/>
      <c r="J507" s="14"/>
      <c r="K507" s="14"/>
      <c r="L507" s="14"/>
      <c r="M507" s="14"/>
    </row>
    <row r="508" customFormat="false" ht="15" hidden="false" customHeight="true" outlineLevel="0" collapsed="false">
      <c r="B508" s="7"/>
      <c r="H508" s="12"/>
      <c r="I508" s="11"/>
      <c r="J508" s="12"/>
      <c r="K508" s="12"/>
      <c r="L508" s="12"/>
      <c r="M508" s="12"/>
    </row>
    <row r="509" customFormat="false" ht="15" hidden="false" customHeight="true" outlineLevel="0" collapsed="false">
      <c r="B509" s="7"/>
      <c r="H509" s="14"/>
      <c r="I509" s="11"/>
      <c r="J509" s="14"/>
      <c r="K509" s="14"/>
      <c r="L509" s="14"/>
      <c r="M509" s="14"/>
    </row>
    <row r="510" customFormat="false" ht="15" hidden="false" customHeight="true" outlineLevel="0" collapsed="false">
      <c r="B510" s="7"/>
      <c r="H510" s="12"/>
      <c r="I510" s="11"/>
      <c r="J510" s="12"/>
      <c r="K510" s="12"/>
      <c r="L510" s="12"/>
      <c r="M510" s="12"/>
    </row>
    <row r="511" customFormat="false" ht="15" hidden="false" customHeight="true" outlineLevel="0" collapsed="false">
      <c r="B511" s="7"/>
      <c r="H511" s="14"/>
      <c r="I511" s="11"/>
      <c r="J511" s="14"/>
      <c r="K511" s="14"/>
      <c r="L511" s="14"/>
      <c r="M511" s="14"/>
    </row>
    <row r="512" customFormat="false" ht="15" hidden="false" customHeight="true" outlineLevel="0" collapsed="false">
      <c r="B512" s="7"/>
      <c r="H512" s="12"/>
      <c r="I512" s="11"/>
      <c r="J512" s="12"/>
      <c r="K512" s="12"/>
      <c r="L512" s="12"/>
      <c r="M512" s="12"/>
    </row>
    <row r="513" customFormat="false" ht="15" hidden="false" customHeight="true" outlineLevel="0" collapsed="false">
      <c r="B513" s="7"/>
      <c r="H513" s="14"/>
      <c r="I513" s="11"/>
      <c r="J513" s="14"/>
      <c r="K513" s="14"/>
      <c r="L513" s="14"/>
      <c r="M513" s="14"/>
    </row>
    <row r="514" customFormat="false" ht="15" hidden="false" customHeight="true" outlineLevel="0" collapsed="false">
      <c r="B514" s="7"/>
      <c r="H514" s="12"/>
      <c r="I514" s="11"/>
      <c r="J514" s="12"/>
      <c r="K514" s="12"/>
      <c r="L514" s="12"/>
      <c r="M514" s="12"/>
    </row>
    <row r="515" customFormat="false" ht="15" hidden="false" customHeight="true" outlineLevel="0" collapsed="false">
      <c r="B515" s="7"/>
      <c r="H515" s="14"/>
      <c r="I515" s="11"/>
      <c r="J515" s="14"/>
      <c r="K515" s="14"/>
      <c r="L515" s="14"/>
      <c r="M515" s="14"/>
    </row>
    <row r="516" customFormat="false" ht="15" hidden="false" customHeight="true" outlineLevel="0" collapsed="false">
      <c r="B516" s="7"/>
      <c r="H516" s="12"/>
      <c r="I516" s="11"/>
      <c r="J516" s="12"/>
      <c r="K516" s="12"/>
      <c r="L516" s="12"/>
      <c r="M516" s="12"/>
    </row>
    <row r="517" customFormat="false" ht="15" hidden="false" customHeight="true" outlineLevel="0" collapsed="false">
      <c r="B517" s="7"/>
      <c r="H517" s="14"/>
      <c r="I517" s="11"/>
      <c r="J517" s="14"/>
      <c r="K517" s="14"/>
      <c r="L517" s="14"/>
      <c r="M517" s="14"/>
    </row>
    <row r="518" customFormat="false" ht="15" hidden="false" customHeight="true" outlineLevel="0" collapsed="false">
      <c r="B518" s="7"/>
      <c r="H518" s="12"/>
      <c r="I518" s="11"/>
      <c r="J518" s="12"/>
      <c r="K518" s="12"/>
      <c r="L518" s="12"/>
      <c r="M518" s="12"/>
    </row>
    <row r="519" customFormat="false" ht="15" hidden="false" customHeight="true" outlineLevel="0" collapsed="false">
      <c r="B519" s="7"/>
      <c r="H519" s="14"/>
      <c r="I519" s="11"/>
      <c r="J519" s="14"/>
      <c r="K519" s="14"/>
      <c r="L519" s="14"/>
      <c r="M519" s="14"/>
    </row>
    <row r="520" customFormat="false" ht="15" hidden="false" customHeight="true" outlineLevel="0" collapsed="false">
      <c r="B520" s="7"/>
      <c r="H520" s="12"/>
      <c r="I520" s="11"/>
      <c r="J520" s="12"/>
      <c r="K520" s="12"/>
      <c r="L520" s="12"/>
      <c r="M520" s="12"/>
    </row>
    <row r="521" customFormat="false" ht="15" hidden="false" customHeight="true" outlineLevel="0" collapsed="false">
      <c r="B521" s="7"/>
      <c r="H521" s="14"/>
      <c r="I521" s="11"/>
      <c r="J521" s="14"/>
      <c r="K521" s="14"/>
      <c r="L521" s="14"/>
      <c r="M521" s="14"/>
    </row>
    <row r="522" customFormat="false" ht="15" hidden="false" customHeight="true" outlineLevel="0" collapsed="false">
      <c r="B522" s="7"/>
      <c r="H522" s="12"/>
      <c r="I522" s="11"/>
      <c r="J522" s="12"/>
      <c r="K522" s="12"/>
      <c r="L522" s="12"/>
      <c r="M522" s="12"/>
    </row>
    <row r="523" customFormat="false" ht="15" hidden="false" customHeight="true" outlineLevel="0" collapsed="false">
      <c r="B523" s="7"/>
      <c r="H523" s="14"/>
      <c r="I523" s="11"/>
      <c r="J523" s="14"/>
      <c r="K523" s="14"/>
      <c r="L523" s="14"/>
      <c r="M523" s="14"/>
    </row>
    <row r="524" customFormat="false" ht="15" hidden="false" customHeight="true" outlineLevel="0" collapsed="false">
      <c r="B524" s="7"/>
      <c r="H524" s="12"/>
      <c r="I524" s="11"/>
      <c r="J524" s="12"/>
      <c r="K524" s="12"/>
      <c r="L524" s="12"/>
      <c r="M524" s="12"/>
    </row>
    <row r="525" customFormat="false" ht="15" hidden="false" customHeight="true" outlineLevel="0" collapsed="false">
      <c r="B525" s="7"/>
      <c r="H525" s="14"/>
      <c r="I525" s="11"/>
      <c r="J525" s="14"/>
      <c r="K525" s="14"/>
      <c r="L525" s="14"/>
      <c r="M525" s="14"/>
    </row>
    <row r="526" customFormat="false" ht="15" hidden="false" customHeight="true" outlineLevel="0" collapsed="false">
      <c r="B526" s="7"/>
      <c r="H526" s="12"/>
      <c r="I526" s="11"/>
      <c r="J526" s="12"/>
      <c r="K526" s="12"/>
      <c r="L526" s="12"/>
      <c r="M526" s="12"/>
    </row>
    <row r="527" customFormat="false" ht="15" hidden="false" customHeight="true" outlineLevel="0" collapsed="false">
      <c r="B527" s="7"/>
      <c r="H527" s="14"/>
      <c r="I527" s="11"/>
      <c r="J527" s="14"/>
      <c r="K527" s="14"/>
      <c r="L527" s="14"/>
      <c r="M527" s="14"/>
    </row>
    <row r="528" customFormat="false" ht="15" hidden="false" customHeight="true" outlineLevel="0" collapsed="false">
      <c r="B528" s="7"/>
      <c r="H528" s="12"/>
      <c r="I528" s="11"/>
      <c r="J528" s="12"/>
      <c r="K528" s="12"/>
      <c r="L528" s="12"/>
      <c r="M528" s="12"/>
    </row>
    <row r="529" customFormat="false" ht="15" hidden="false" customHeight="true" outlineLevel="0" collapsed="false">
      <c r="B529" s="7"/>
      <c r="H529" s="14"/>
      <c r="I529" s="11"/>
      <c r="J529" s="14"/>
      <c r="K529" s="14"/>
      <c r="L529" s="14"/>
      <c r="M529" s="14"/>
    </row>
    <row r="530" customFormat="false" ht="15" hidden="false" customHeight="true" outlineLevel="0" collapsed="false">
      <c r="B530" s="7"/>
      <c r="H530" s="12"/>
      <c r="I530" s="11"/>
      <c r="J530" s="12"/>
      <c r="K530" s="12"/>
      <c r="L530" s="12"/>
      <c r="M530" s="12"/>
    </row>
    <row r="531" customFormat="false" ht="15" hidden="false" customHeight="true" outlineLevel="0" collapsed="false">
      <c r="B531" s="7"/>
      <c r="H531" s="14"/>
      <c r="I531" s="11"/>
      <c r="J531" s="14"/>
      <c r="K531" s="14"/>
      <c r="L531" s="14"/>
      <c r="M531" s="14"/>
    </row>
    <row r="532" customFormat="false" ht="15" hidden="false" customHeight="true" outlineLevel="0" collapsed="false">
      <c r="B532" s="7"/>
      <c r="H532" s="12"/>
      <c r="I532" s="11"/>
      <c r="J532" s="12"/>
      <c r="K532" s="12"/>
      <c r="L532" s="12"/>
      <c r="M532" s="12"/>
    </row>
    <row r="533" customFormat="false" ht="15" hidden="false" customHeight="true" outlineLevel="0" collapsed="false">
      <c r="B533" s="7"/>
      <c r="H533" s="14"/>
      <c r="I533" s="11"/>
      <c r="J533" s="14"/>
      <c r="K533" s="14"/>
      <c r="L533" s="14"/>
      <c r="M533" s="14"/>
    </row>
    <row r="534" customFormat="false" ht="15" hidden="false" customHeight="true" outlineLevel="0" collapsed="false">
      <c r="B534" s="7"/>
      <c r="H534" s="12"/>
      <c r="I534" s="11"/>
      <c r="J534" s="12"/>
      <c r="K534" s="12"/>
      <c r="L534" s="12"/>
      <c r="M534" s="12"/>
    </row>
    <row r="535" customFormat="false" ht="15" hidden="false" customHeight="true" outlineLevel="0" collapsed="false">
      <c r="B535" s="7"/>
      <c r="H535" s="14"/>
      <c r="I535" s="11"/>
      <c r="J535" s="14"/>
      <c r="K535" s="14"/>
      <c r="L535" s="14"/>
      <c r="M535" s="14"/>
    </row>
    <row r="536" customFormat="false" ht="15" hidden="false" customHeight="true" outlineLevel="0" collapsed="false">
      <c r="B536" s="7"/>
      <c r="H536" s="12"/>
      <c r="I536" s="11"/>
      <c r="J536" s="12"/>
      <c r="K536" s="12"/>
      <c r="L536" s="12"/>
      <c r="M536" s="12"/>
    </row>
    <row r="537" customFormat="false" ht="15" hidden="false" customHeight="true" outlineLevel="0" collapsed="false">
      <c r="B537" s="7"/>
      <c r="H537" s="14"/>
      <c r="I537" s="11"/>
      <c r="J537" s="14"/>
      <c r="K537" s="14"/>
      <c r="L537" s="14"/>
      <c r="M537" s="14"/>
    </row>
    <row r="538" customFormat="false" ht="15" hidden="false" customHeight="true" outlineLevel="0" collapsed="false">
      <c r="B538" s="7"/>
      <c r="H538" s="12"/>
      <c r="I538" s="11"/>
      <c r="J538" s="12"/>
      <c r="K538" s="12"/>
      <c r="L538" s="12"/>
      <c r="M538" s="12"/>
    </row>
    <row r="539" customFormat="false" ht="15" hidden="false" customHeight="true" outlineLevel="0" collapsed="false">
      <c r="B539" s="7"/>
      <c r="H539" s="14"/>
      <c r="I539" s="11"/>
      <c r="J539" s="14"/>
      <c r="K539" s="14"/>
      <c r="L539" s="14"/>
      <c r="M539" s="14"/>
    </row>
    <row r="540" customFormat="false" ht="15" hidden="false" customHeight="true" outlineLevel="0" collapsed="false">
      <c r="B540" s="7"/>
      <c r="H540" s="12"/>
      <c r="I540" s="11"/>
      <c r="J540" s="12"/>
      <c r="K540" s="12"/>
      <c r="L540" s="12"/>
      <c r="M540" s="12"/>
    </row>
    <row r="541" customFormat="false" ht="15" hidden="false" customHeight="true" outlineLevel="0" collapsed="false">
      <c r="B541" s="7"/>
      <c r="H541" s="14"/>
      <c r="I541" s="11"/>
      <c r="J541" s="14"/>
      <c r="K541" s="14"/>
      <c r="L541" s="14"/>
      <c r="M541" s="14"/>
    </row>
    <row r="542" customFormat="false" ht="15" hidden="false" customHeight="true" outlineLevel="0" collapsed="false">
      <c r="B542" s="7"/>
      <c r="H542" s="12"/>
      <c r="I542" s="11"/>
      <c r="J542" s="12"/>
      <c r="K542" s="12"/>
      <c r="L542" s="12"/>
      <c r="M542" s="12"/>
    </row>
    <row r="543" customFormat="false" ht="15" hidden="false" customHeight="true" outlineLevel="0" collapsed="false">
      <c r="B543" s="7"/>
      <c r="H543" s="14"/>
      <c r="I543" s="11"/>
      <c r="J543" s="14"/>
      <c r="K543" s="14"/>
      <c r="L543" s="14"/>
      <c r="M543" s="14"/>
    </row>
    <row r="544" customFormat="false" ht="15" hidden="false" customHeight="true" outlineLevel="0" collapsed="false">
      <c r="B544" s="7"/>
      <c r="H544" s="12"/>
      <c r="I544" s="11"/>
      <c r="J544" s="12"/>
      <c r="K544" s="12"/>
      <c r="L544" s="12"/>
      <c r="M544" s="12"/>
    </row>
    <row r="545" customFormat="false" ht="15" hidden="false" customHeight="true" outlineLevel="0" collapsed="false">
      <c r="B545" s="7"/>
      <c r="H545" s="14"/>
      <c r="I545" s="11"/>
      <c r="J545" s="14"/>
      <c r="K545" s="14"/>
      <c r="L545" s="14"/>
      <c r="M545" s="14"/>
    </row>
    <row r="546" customFormat="false" ht="15" hidden="false" customHeight="true" outlineLevel="0" collapsed="false">
      <c r="B546" s="7"/>
      <c r="H546" s="12"/>
      <c r="I546" s="11"/>
      <c r="J546" s="12"/>
      <c r="K546" s="12"/>
      <c r="L546" s="12"/>
      <c r="M546" s="12"/>
    </row>
    <row r="547" customFormat="false" ht="15" hidden="false" customHeight="true" outlineLevel="0" collapsed="false">
      <c r="B547" s="7"/>
      <c r="H547" s="14"/>
      <c r="I547" s="11"/>
      <c r="J547" s="14"/>
      <c r="K547" s="14"/>
      <c r="L547" s="14"/>
      <c r="M547" s="14"/>
    </row>
    <row r="548" customFormat="false" ht="15" hidden="false" customHeight="true" outlineLevel="0" collapsed="false">
      <c r="B548" s="7"/>
      <c r="H548" s="12"/>
      <c r="I548" s="11"/>
      <c r="J548" s="12"/>
      <c r="K548" s="12"/>
      <c r="L548" s="12"/>
      <c r="M548" s="12"/>
    </row>
    <row r="549" customFormat="false" ht="15" hidden="false" customHeight="true" outlineLevel="0" collapsed="false">
      <c r="B549" s="7"/>
      <c r="H549" s="14"/>
      <c r="I549" s="11"/>
      <c r="J549" s="14"/>
      <c r="K549" s="14"/>
      <c r="L549" s="14"/>
      <c r="M549" s="14"/>
    </row>
    <row r="550" customFormat="false" ht="15" hidden="false" customHeight="true" outlineLevel="0" collapsed="false">
      <c r="B550" s="7"/>
      <c r="H550" s="12"/>
      <c r="I550" s="11"/>
      <c r="J550" s="12"/>
      <c r="K550" s="12"/>
      <c r="L550" s="12"/>
      <c r="M550" s="12"/>
    </row>
    <row r="551" customFormat="false" ht="15" hidden="false" customHeight="true" outlineLevel="0" collapsed="false">
      <c r="B551" s="7"/>
      <c r="H551" s="14"/>
      <c r="I551" s="11"/>
      <c r="J551" s="14"/>
      <c r="K551" s="14"/>
      <c r="L551" s="14"/>
      <c r="M551" s="14"/>
    </row>
    <row r="552" customFormat="false" ht="15" hidden="false" customHeight="true" outlineLevel="0" collapsed="false">
      <c r="B552" s="7"/>
      <c r="H552" s="12"/>
      <c r="I552" s="11"/>
      <c r="J552" s="12"/>
      <c r="K552" s="12"/>
      <c r="L552" s="12"/>
      <c r="M552" s="12"/>
    </row>
    <row r="553" customFormat="false" ht="15" hidden="false" customHeight="true" outlineLevel="0" collapsed="false">
      <c r="B553" s="7"/>
      <c r="H553" s="14"/>
      <c r="I553" s="11"/>
      <c r="J553" s="14"/>
      <c r="K553" s="14"/>
      <c r="L553" s="14"/>
      <c r="M553" s="14"/>
    </row>
    <row r="554" customFormat="false" ht="15" hidden="false" customHeight="true" outlineLevel="0" collapsed="false">
      <c r="B554" s="7"/>
      <c r="H554" s="12"/>
      <c r="I554" s="11"/>
      <c r="J554" s="12"/>
      <c r="K554" s="12"/>
      <c r="L554" s="12"/>
      <c r="M554" s="12"/>
    </row>
    <row r="555" customFormat="false" ht="15" hidden="false" customHeight="true" outlineLevel="0" collapsed="false">
      <c r="B555" s="7"/>
      <c r="H555" s="14"/>
      <c r="I555" s="11"/>
      <c r="J555" s="14"/>
      <c r="K555" s="14"/>
      <c r="L555" s="14"/>
      <c r="M555" s="14"/>
    </row>
    <row r="556" customFormat="false" ht="15" hidden="false" customHeight="true" outlineLevel="0" collapsed="false">
      <c r="B556" s="7"/>
      <c r="H556" s="12"/>
      <c r="I556" s="11"/>
      <c r="J556" s="12"/>
      <c r="K556" s="12"/>
      <c r="L556" s="12"/>
      <c r="M556" s="12"/>
    </row>
    <row r="557" customFormat="false" ht="15" hidden="false" customHeight="true" outlineLevel="0" collapsed="false">
      <c r="B557" s="7"/>
      <c r="H557" s="14"/>
      <c r="I557" s="11"/>
      <c r="J557" s="14"/>
      <c r="K557" s="14"/>
      <c r="L557" s="14"/>
      <c r="M557" s="14"/>
    </row>
    <row r="558" customFormat="false" ht="15" hidden="false" customHeight="true" outlineLevel="0" collapsed="false">
      <c r="B558" s="7"/>
      <c r="H558" s="12"/>
      <c r="I558" s="11"/>
      <c r="J558" s="12"/>
      <c r="K558" s="12"/>
      <c r="L558" s="12"/>
      <c r="M558" s="12"/>
    </row>
    <row r="559" customFormat="false" ht="15" hidden="false" customHeight="true" outlineLevel="0" collapsed="false">
      <c r="B559" s="7"/>
      <c r="H559" s="14"/>
      <c r="I559" s="11"/>
      <c r="J559" s="14"/>
      <c r="K559" s="14"/>
      <c r="L559" s="14"/>
      <c r="M559" s="14"/>
    </row>
    <row r="560" customFormat="false" ht="15" hidden="false" customHeight="true" outlineLevel="0" collapsed="false">
      <c r="B560" s="7"/>
      <c r="H560" s="12"/>
      <c r="I560" s="11"/>
      <c r="J560" s="12"/>
      <c r="K560" s="12"/>
      <c r="L560" s="12"/>
      <c r="M560" s="12"/>
    </row>
    <row r="561" customFormat="false" ht="15" hidden="false" customHeight="true" outlineLevel="0" collapsed="false">
      <c r="B561" s="7"/>
      <c r="H561" s="14"/>
      <c r="I561" s="11"/>
      <c r="J561" s="14"/>
      <c r="K561" s="14"/>
      <c r="L561" s="14"/>
      <c r="M561" s="14"/>
    </row>
    <row r="562" customFormat="false" ht="15" hidden="false" customHeight="true" outlineLevel="0" collapsed="false">
      <c r="B562" s="7"/>
      <c r="H562" s="12"/>
      <c r="I562" s="11"/>
      <c r="J562" s="12"/>
      <c r="K562" s="12"/>
      <c r="L562" s="12"/>
      <c r="M562" s="12"/>
    </row>
    <row r="563" customFormat="false" ht="15" hidden="false" customHeight="true" outlineLevel="0" collapsed="false">
      <c r="B563" s="7"/>
      <c r="H563" s="14"/>
      <c r="I563" s="11"/>
      <c r="J563" s="14"/>
      <c r="K563" s="14"/>
      <c r="L563" s="14"/>
      <c r="M563" s="14"/>
    </row>
    <row r="564" customFormat="false" ht="15" hidden="false" customHeight="true" outlineLevel="0" collapsed="false">
      <c r="B564" s="7"/>
      <c r="H564" s="12"/>
      <c r="I564" s="11"/>
      <c r="J564" s="12"/>
      <c r="K564" s="12"/>
      <c r="L564" s="12"/>
      <c r="M564" s="12"/>
    </row>
    <row r="565" customFormat="false" ht="15" hidden="false" customHeight="true" outlineLevel="0" collapsed="false">
      <c r="B565" s="7"/>
      <c r="H565" s="14"/>
      <c r="I565" s="11"/>
      <c r="J565" s="14"/>
      <c r="K565" s="14"/>
      <c r="L565" s="14"/>
      <c r="M565" s="14"/>
    </row>
    <row r="566" customFormat="false" ht="15" hidden="false" customHeight="true" outlineLevel="0" collapsed="false">
      <c r="B566" s="7"/>
      <c r="H566" s="12"/>
      <c r="I566" s="11"/>
      <c r="J566" s="12"/>
      <c r="K566" s="12"/>
      <c r="L566" s="12"/>
      <c r="M566" s="12"/>
    </row>
    <row r="567" customFormat="false" ht="15" hidden="false" customHeight="true" outlineLevel="0" collapsed="false">
      <c r="B567" s="7"/>
      <c r="H567" s="14"/>
      <c r="I567" s="11"/>
      <c r="J567" s="14"/>
      <c r="K567" s="14"/>
      <c r="L567" s="14"/>
      <c r="M567" s="14"/>
    </row>
    <row r="568" customFormat="false" ht="15" hidden="false" customHeight="true" outlineLevel="0" collapsed="false">
      <c r="B568" s="7"/>
      <c r="H568" s="12"/>
      <c r="I568" s="11"/>
      <c r="J568" s="12"/>
      <c r="K568" s="12"/>
      <c r="L568" s="12"/>
      <c r="M568" s="12"/>
    </row>
    <row r="569" customFormat="false" ht="15" hidden="false" customHeight="true" outlineLevel="0" collapsed="false">
      <c r="B569" s="7"/>
      <c r="H569" s="14"/>
      <c r="I569" s="11"/>
      <c r="J569" s="14"/>
      <c r="K569" s="14"/>
      <c r="L569" s="14"/>
      <c r="M569" s="14"/>
    </row>
    <row r="570" customFormat="false" ht="15" hidden="false" customHeight="true" outlineLevel="0" collapsed="false">
      <c r="B570" s="7"/>
      <c r="H570" s="12"/>
      <c r="I570" s="11"/>
      <c r="J570" s="12"/>
      <c r="K570" s="12"/>
      <c r="L570" s="12"/>
      <c r="M570" s="12"/>
    </row>
    <row r="571" customFormat="false" ht="15" hidden="false" customHeight="true" outlineLevel="0" collapsed="false">
      <c r="B571" s="7"/>
      <c r="H571" s="14"/>
      <c r="I571" s="11"/>
      <c r="J571" s="14"/>
      <c r="K571" s="14"/>
      <c r="L571" s="14"/>
      <c r="M571" s="14"/>
    </row>
    <row r="572" customFormat="false" ht="15" hidden="false" customHeight="true" outlineLevel="0" collapsed="false">
      <c r="B572" s="7"/>
      <c r="H572" s="12"/>
      <c r="I572" s="11"/>
      <c r="J572" s="12"/>
      <c r="K572" s="12"/>
      <c r="L572" s="12"/>
      <c r="M572" s="12"/>
    </row>
    <row r="573" customFormat="false" ht="15" hidden="false" customHeight="true" outlineLevel="0" collapsed="false">
      <c r="B573" s="7"/>
      <c r="H573" s="14"/>
      <c r="I573" s="11"/>
      <c r="J573" s="14"/>
      <c r="K573" s="14"/>
      <c r="L573" s="14"/>
      <c r="M573" s="14"/>
    </row>
    <row r="574" customFormat="false" ht="15" hidden="false" customHeight="true" outlineLevel="0" collapsed="false">
      <c r="B574" s="7"/>
      <c r="H574" s="12"/>
      <c r="I574" s="11"/>
      <c r="J574" s="12"/>
      <c r="K574" s="12"/>
      <c r="L574" s="12"/>
      <c r="M574" s="12"/>
    </row>
    <row r="575" customFormat="false" ht="15" hidden="false" customHeight="true" outlineLevel="0" collapsed="false">
      <c r="B575" s="7"/>
      <c r="H575" s="14"/>
      <c r="I575" s="11"/>
      <c r="J575" s="14"/>
      <c r="K575" s="14"/>
      <c r="L575" s="14"/>
      <c r="M575" s="14"/>
    </row>
    <row r="576" customFormat="false" ht="15" hidden="false" customHeight="true" outlineLevel="0" collapsed="false">
      <c r="B576" s="7"/>
      <c r="H576" s="12"/>
      <c r="I576" s="11"/>
      <c r="J576" s="12"/>
      <c r="K576" s="12"/>
      <c r="L576" s="12"/>
      <c r="M576" s="12"/>
    </row>
    <row r="577" customFormat="false" ht="15" hidden="false" customHeight="true" outlineLevel="0" collapsed="false">
      <c r="B577" s="7"/>
      <c r="H577" s="14"/>
      <c r="I577" s="11"/>
      <c r="J577" s="14"/>
      <c r="K577" s="14"/>
      <c r="L577" s="14"/>
      <c r="M577" s="14"/>
    </row>
    <row r="578" customFormat="false" ht="15" hidden="false" customHeight="true" outlineLevel="0" collapsed="false">
      <c r="B578" s="7"/>
      <c r="H578" s="12"/>
      <c r="I578" s="11"/>
      <c r="J578" s="12"/>
      <c r="K578" s="12"/>
      <c r="L578" s="12"/>
      <c r="M578" s="12"/>
    </row>
    <row r="579" customFormat="false" ht="15" hidden="false" customHeight="true" outlineLevel="0" collapsed="false">
      <c r="B579" s="7"/>
      <c r="H579" s="14"/>
      <c r="I579" s="11"/>
      <c r="J579" s="14"/>
      <c r="K579" s="14"/>
      <c r="L579" s="14"/>
      <c r="M579" s="14"/>
    </row>
    <row r="580" customFormat="false" ht="15" hidden="false" customHeight="true" outlineLevel="0" collapsed="false">
      <c r="B580" s="7"/>
      <c r="H580" s="12"/>
      <c r="I580" s="11"/>
      <c r="J580" s="12"/>
      <c r="K580" s="12"/>
      <c r="L580" s="12"/>
      <c r="M580" s="12"/>
    </row>
    <row r="581" customFormat="false" ht="15" hidden="false" customHeight="true" outlineLevel="0" collapsed="false">
      <c r="B581" s="7"/>
      <c r="H581" s="14"/>
      <c r="I581" s="11"/>
      <c r="J581" s="14"/>
      <c r="K581" s="14"/>
      <c r="L581" s="14"/>
      <c r="M581" s="14"/>
    </row>
    <row r="582" customFormat="false" ht="15" hidden="false" customHeight="true" outlineLevel="0" collapsed="false">
      <c r="B582" s="7"/>
      <c r="H582" s="12"/>
      <c r="I582" s="11"/>
      <c r="J582" s="12"/>
      <c r="K582" s="12"/>
      <c r="L582" s="12"/>
      <c r="M582" s="12"/>
    </row>
    <row r="583" customFormat="false" ht="15" hidden="false" customHeight="true" outlineLevel="0" collapsed="false">
      <c r="B583" s="7"/>
      <c r="H583" s="14"/>
      <c r="I583" s="11"/>
      <c r="J583" s="14"/>
      <c r="K583" s="14"/>
      <c r="L583" s="14"/>
      <c r="M583" s="14"/>
    </row>
    <row r="584" customFormat="false" ht="15" hidden="false" customHeight="true" outlineLevel="0" collapsed="false">
      <c r="B584" s="7"/>
      <c r="H584" s="12"/>
      <c r="I584" s="11"/>
      <c r="J584" s="12"/>
      <c r="K584" s="12"/>
      <c r="L584" s="12"/>
      <c r="M584" s="12"/>
    </row>
    <row r="585" customFormat="false" ht="15" hidden="false" customHeight="true" outlineLevel="0" collapsed="false">
      <c r="B585" s="7"/>
      <c r="H585" s="14"/>
      <c r="I585" s="11"/>
      <c r="J585" s="14"/>
      <c r="K585" s="14"/>
      <c r="L585" s="14"/>
      <c r="M585" s="14"/>
    </row>
    <row r="586" customFormat="false" ht="15" hidden="false" customHeight="true" outlineLevel="0" collapsed="false">
      <c r="B586" s="7"/>
      <c r="H586" s="12"/>
      <c r="I586" s="11"/>
      <c r="J586" s="12"/>
      <c r="K586" s="12"/>
      <c r="L586" s="12"/>
      <c r="M586" s="12"/>
    </row>
    <row r="587" customFormat="false" ht="15" hidden="false" customHeight="true" outlineLevel="0" collapsed="false">
      <c r="B587" s="7"/>
      <c r="H587" s="14"/>
      <c r="I587" s="11"/>
      <c r="J587" s="14"/>
      <c r="K587" s="14"/>
      <c r="L587" s="14"/>
      <c r="M587" s="14"/>
    </row>
    <row r="588" customFormat="false" ht="15" hidden="false" customHeight="true" outlineLevel="0" collapsed="false">
      <c r="B588" s="7"/>
      <c r="H588" s="12"/>
      <c r="I588" s="11"/>
      <c r="J588" s="12"/>
      <c r="K588" s="12"/>
      <c r="L588" s="12"/>
      <c r="M588" s="12"/>
    </row>
    <row r="589" customFormat="false" ht="15" hidden="false" customHeight="true" outlineLevel="0" collapsed="false">
      <c r="B589" s="7"/>
      <c r="H589" s="14"/>
      <c r="I589" s="11"/>
      <c r="J589" s="14"/>
      <c r="K589" s="14"/>
      <c r="L589" s="14"/>
      <c r="M589" s="14"/>
    </row>
    <row r="590" customFormat="false" ht="15" hidden="false" customHeight="true" outlineLevel="0" collapsed="false">
      <c r="B590" s="7"/>
      <c r="H590" s="12"/>
      <c r="I590" s="11"/>
      <c r="J590" s="12"/>
      <c r="K590" s="12"/>
      <c r="L590" s="12"/>
      <c r="M590" s="12"/>
    </row>
    <row r="591" customFormat="false" ht="15" hidden="false" customHeight="true" outlineLevel="0" collapsed="false">
      <c r="B591" s="7"/>
      <c r="H591" s="14"/>
      <c r="I591" s="11"/>
      <c r="J591" s="14"/>
      <c r="K591" s="14"/>
      <c r="L591" s="14"/>
      <c r="M591" s="14"/>
    </row>
    <row r="592" customFormat="false" ht="15" hidden="false" customHeight="true" outlineLevel="0" collapsed="false">
      <c r="B592" s="7"/>
      <c r="H592" s="12"/>
      <c r="I592" s="11"/>
      <c r="J592" s="12"/>
      <c r="K592" s="12"/>
      <c r="L592" s="12"/>
      <c r="M592" s="12"/>
    </row>
    <row r="593" customFormat="false" ht="15" hidden="false" customHeight="true" outlineLevel="0" collapsed="false">
      <c r="B593" s="7"/>
      <c r="H593" s="14"/>
      <c r="I593" s="11"/>
      <c r="J593" s="14"/>
      <c r="K593" s="14"/>
      <c r="L593" s="14"/>
      <c r="M593" s="14"/>
    </row>
    <row r="594" customFormat="false" ht="15" hidden="false" customHeight="true" outlineLevel="0" collapsed="false">
      <c r="B594" s="7"/>
      <c r="H594" s="12"/>
      <c r="I594" s="11"/>
      <c r="J594" s="12"/>
      <c r="K594" s="12"/>
      <c r="L594" s="12"/>
      <c r="M594" s="12"/>
    </row>
    <row r="595" customFormat="false" ht="15" hidden="false" customHeight="true" outlineLevel="0" collapsed="false">
      <c r="B595" s="7"/>
      <c r="H595" s="14"/>
      <c r="I595" s="11"/>
      <c r="J595" s="14"/>
      <c r="K595" s="14"/>
      <c r="L595" s="14"/>
      <c r="M595" s="14"/>
    </row>
    <row r="596" customFormat="false" ht="15" hidden="false" customHeight="true" outlineLevel="0" collapsed="false">
      <c r="B596" s="7"/>
      <c r="H596" s="12"/>
      <c r="I596" s="11"/>
      <c r="J596" s="12"/>
      <c r="K596" s="12"/>
      <c r="L596" s="12"/>
      <c r="M596" s="12"/>
    </row>
    <row r="597" customFormat="false" ht="15" hidden="false" customHeight="true" outlineLevel="0" collapsed="false">
      <c r="B597" s="7"/>
      <c r="H597" s="14"/>
      <c r="I597" s="11"/>
      <c r="J597" s="14"/>
      <c r="K597" s="14"/>
      <c r="L597" s="14"/>
      <c r="M597" s="14"/>
    </row>
    <row r="598" customFormat="false" ht="15" hidden="false" customHeight="true" outlineLevel="0" collapsed="false">
      <c r="B598" s="7"/>
      <c r="H598" s="12"/>
      <c r="I598" s="11"/>
      <c r="J598" s="12"/>
      <c r="K598" s="12"/>
      <c r="L598" s="12"/>
      <c r="M598" s="12"/>
    </row>
    <row r="599" customFormat="false" ht="15" hidden="false" customHeight="true" outlineLevel="0" collapsed="false">
      <c r="B599" s="7"/>
      <c r="H599" s="14"/>
      <c r="I599" s="11"/>
      <c r="J599" s="14"/>
      <c r="K599" s="14"/>
      <c r="L599" s="14"/>
      <c r="M599" s="14"/>
    </row>
    <row r="600" customFormat="false" ht="15" hidden="false" customHeight="true" outlineLevel="0" collapsed="false">
      <c r="B600" s="7"/>
      <c r="H600" s="12"/>
      <c r="I600" s="11"/>
      <c r="J600" s="12"/>
      <c r="K600" s="12"/>
      <c r="L600" s="12"/>
      <c r="M600" s="12"/>
    </row>
    <row r="601" customFormat="false" ht="15" hidden="false" customHeight="true" outlineLevel="0" collapsed="false">
      <c r="B601" s="7"/>
      <c r="H601" s="14"/>
      <c r="I601" s="11"/>
      <c r="J601" s="14"/>
      <c r="K601" s="14"/>
      <c r="L601" s="14"/>
      <c r="M601" s="14"/>
    </row>
    <row r="602" customFormat="false" ht="15" hidden="false" customHeight="true" outlineLevel="0" collapsed="false">
      <c r="B602" s="7"/>
      <c r="H602" s="12"/>
      <c r="I602" s="11"/>
      <c r="J602" s="12"/>
      <c r="K602" s="12"/>
      <c r="L602" s="12"/>
      <c r="M602" s="12"/>
    </row>
    <row r="603" customFormat="false" ht="15" hidden="false" customHeight="true" outlineLevel="0" collapsed="false">
      <c r="B603" s="7"/>
      <c r="H603" s="14"/>
      <c r="I603" s="11"/>
      <c r="J603" s="14"/>
      <c r="K603" s="14"/>
      <c r="L603" s="14"/>
      <c r="M603" s="14"/>
    </row>
    <row r="604" customFormat="false" ht="15" hidden="false" customHeight="true" outlineLevel="0" collapsed="false">
      <c r="B604" s="7"/>
      <c r="H604" s="12"/>
      <c r="I604" s="11"/>
      <c r="J604" s="12"/>
      <c r="K604" s="12"/>
      <c r="L604" s="12"/>
      <c r="M604" s="12"/>
    </row>
    <row r="605" customFormat="false" ht="15" hidden="false" customHeight="true" outlineLevel="0" collapsed="false">
      <c r="B605" s="7"/>
      <c r="H605" s="14"/>
      <c r="I605" s="11"/>
      <c r="J605" s="14"/>
      <c r="K605" s="14"/>
      <c r="L605" s="14"/>
      <c r="M605" s="14"/>
    </row>
    <row r="606" customFormat="false" ht="15" hidden="false" customHeight="true" outlineLevel="0" collapsed="false">
      <c r="B606" s="7"/>
      <c r="H606" s="12"/>
      <c r="I606" s="11"/>
      <c r="J606" s="12"/>
      <c r="K606" s="12"/>
      <c r="L606" s="12"/>
      <c r="M606" s="12"/>
    </row>
    <row r="607" customFormat="false" ht="15" hidden="false" customHeight="true" outlineLevel="0" collapsed="false">
      <c r="B607" s="7"/>
      <c r="H607" s="14"/>
      <c r="I607" s="11"/>
      <c r="J607" s="14"/>
      <c r="K607" s="14"/>
      <c r="L607" s="14"/>
      <c r="M607" s="14"/>
    </row>
    <row r="608" customFormat="false" ht="15" hidden="false" customHeight="true" outlineLevel="0" collapsed="false">
      <c r="B608" s="7"/>
      <c r="H608" s="12"/>
      <c r="I608" s="11"/>
      <c r="J608" s="12"/>
      <c r="K608" s="12"/>
      <c r="L608" s="12"/>
      <c r="M608" s="12"/>
    </row>
    <row r="609" customFormat="false" ht="15" hidden="false" customHeight="true" outlineLevel="0" collapsed="false">
      <c r="B609" s="7"/>
      <c r="H609" s="14"/>
      <c r="I609" s="11"/>
      <c r="J609" s="14"/>
      <c r="K609" s="14"/>
      <c r="L609" s="14"/>
      <c r="M609" s="14"/>
    </row>
    <row r="610" customFormat="false" ht="15" hidden="false" customHeight="true" outlineLevel="0" collapsed="false">
      <c r="B610" s="7"/>
      <c r="H610" s="12"/>
      <c r="I610" s="11"/>
      <c r="J610" s="12"/>
      <c r="K610" s="12"/>
      <c r="L610" s="12"/>
      <c r="M610" s="12"/>
    </row>
    <row r="611" customFormat="false" ht="15" hidden="false" customHeight="true" outlineLevel="0" collapsed="false">
      <c r="B611" s="7"/>
      <c r="H611" s="14"/>
      <c r="I611" s="11"/>
      <c r="J611" s="14"/>
      <c r="K611" s="14"/>
      <c r="L611" s="14"/>
      <c r="M611" s="14"/>
    </row>
    <row r="612" customFormat="false" ht="15" hidden="false" customHeight="true" outlineLevel="0" collapsed="false">
      <c r="B612" s="7"/>
      <c r="H612" s="12"/>
      <c r="I612" s="11"/>
      <c r="J612" s="12"/>
      <c r="K612" s="12"/>
      <c r="L612" s="12"/>
      <c r="M612" s="12"/>
    </row>
    <row r="613" customFormat="false" ht="15" hidden="false" customHeight="true" outlineLevel="0" collapsed="false">
      <c r="B613" s="7"/>
      <c r="H613" s="14"/>
      <c r="I613" s="11"/>
      <c r="J613" s="14"/>
      <c r="K613" s="14"/>
      <c r="L613" s="14"/>
      <c r="M613" s="14"/>
    </row>
    <row r="614" customFormat="false" ht="15" hidden="false" customHeight="true" outlineLevel="0" collapsed="false">
      <c r="B614" s="7"/>
      <c r="H614" s="12"/>
      <c r="I614" s="11"/>
      <c r="J614" s="12"/>
      <c r="K614" s="12"/>
      <c r="L614" s="12"/>
      <c r="M614" s="12"/>
    </row>
    <row r="615" customFormat="false" ht="15" hidden="false" customHeight="true" outlineLevel="0" collapsed="false">
      <c r="B615" s="7"/>
      <c r="H615" s="14"/>
      <c r="I615" s="11"/>
      <c r="J615" s="14"/>
      <c r="K615" s="14"/>
      <c r="L615" s="14"/>
      <c r="M615" s="14"/>
    </row>
    <row r="616" customFormat="false" ht="15" hidden="false" customHeight="true" outlineLevel="0" collapsed="false">
      <c r="B616" s="7"/>
      <c r="H616" s="12"/>
      <c r="I616" s="11"/>
      <c r="J616" s="12"/>
      <c r="K616" s="12"/>
      <c r="L616" s="12"/>
      <c r="M616" s="12"/>
    </row>
    <row r="617" customFormat="false" ht="15" hidden="false" customHeight="true" outlineLevel="0" collapsed="false">
      <c r="B617" s="7"/>
      <c r="H617" s="14"/>
      <c r="I617" s="11"/>
      <c r="J617" s="14"/>
      <c r="K617" s="14"/>
      <c r="L617" s="14"/>
      <c r="M617" s="14"/>
    </row>
    <row r="618" customFormat="false" ht="15" hidden="false" customHeight="true" outlineLevel="0" collapsed="false">
      <c r="B618" s="7"/>
      <c r="H618" s="12"/>
      <c r="I618" s="11"/>
      <c r="J618" s="12"/>
      <c r="K618" s="12"/>
      <c r="L618" s="12"/>
      <c r="M618" s="12"/>
    </row>
    <row r="619" customFormat="false" ht="15" hidden="false" customHeight="true" outlineLevel="0" collapsed="false">
      <c r="B619" s="7"/>
      <c r="H619" s="14"/>
      <c r="I619" s="11"/>
      <c r="J619" s="14"/>
      <c r="K619" s="14"/>
      <c r="L619" s="14"/>
      <c r="M619" s="14"/>
    </row>
    <row r="620" customFormat="false" ht="15" hidden="false" customHeight="true" outlineLevel="0" collapsed="false">
      <c r="B620" s="7"/>
      <c r="H620" s="12"/>
      <c r="I620" s="11"/>
      <c r="J620" s="12"/>
      <c r="K620" s="12"/>
      <c r="L620" s="12"/>
      <c r="M620" s="12"/>
    </row>
    <row r="621" customFormat="false" ht="15" hidden="false" customHeight="true" outlineLevel="0" collapsed="false">
      <c r="B621" s="7"/>
      <c r="H621" s="14"/>
      <c r="I621" s="11"/>
      <c r="J621" s="14"/>
      <c r="K621" s="14"/>
      <c r="L621" s="14"/>
      <c r="M621" s="14"/>
    </row>
    <row r="622" customFormat="false" ht="15" hidden="false" customHeight="true" outlineLevel="0" collapsed="false">
      <c r="B622" s="7"/>
      <c r="H622" s="12"/>
      <c r="I622" s="11"/>
      <c r="J622" s="12"/>
      <c r="K622" s="12"/>
      <c r="L622" s="12"/>
      <c r="M622" s="12"/>
    </row>
    <row r="623" customFormat="false" ht="15" hidden="false" customHeight="true" outlineLevel="0" collapsed="false">
      <c r="B623" s="7"/>
      <c r="H623" s="14"/>
      <c r="I623" s="11"/>
      <c r="J623" s="14"/>
      <c r="K623" s="14"/>
      <c r="L623" s="14"/>
      <c r="M623" s="14"/>
    </row>
    <row r="624" customFormat="false" ht="15" hidden="false" customHeight="true" outlineLevel="0" collapsed="false">
      <c r="B624" s="7"/>
      <c r="H624" s="12"/>
      <c r="I624" s="11"/>
      <c r="J624" s="12"/>
      <c r="K624" s="12"/>
      <c r="L624" s="12"/>
      <c r="M624" s="12"/>
    </row>
    <row r="625" customFormat="false" ht="15" hidden="false" customHeight="true" outlineLevel="0" collapsed="false">
      <c r="B625" s="7"/>
      <c r="H625" s="14"/>
      <c r="I625" s="11"/>
      <c r="J625" s="14"/>
      <c r="K625" s="14"/>
      <c r="L625" s="14"/>
      <c r="M625" s="14"/>
    </row>
    <row r="626" customFormat="false" ht="15" hidden="false" customHeight="true" outlineLevel="0" collapsed="false">
      <c r="B626" s="7"/>
      <c r="H626" s="12"/>
      <c r="I626" s="11"/>
      <c r="J626" s="12"/>
      <c r="K626" s="12"/>
      <c r="L626" s="12"/>
      <c r="M626" s="12"/>
    </row>
    <row r="627" customFormat="false" ht="15" hidden="false" customHeight="true" outlineLevel="0" collapsed="false">
      <c r="B627" s="7"/>
      <c r="H627" s="14"/>
      <c r="I627" s="11"/>
      <c r="J627" s="14"/>
      <c r="K627" s="14"/>
      <c r="L627" s="14"/>
      <c r="M627" s="14"/>
    </row>
    <row r="628" customFormat="false" ht="15" hidden="false" customHeight="true" outlineLevel="0" collapsed="false">
      <c r="B628" s="7"/>
      <c r="H628" s="12"/>
      <c r="I628" s="11"/>
      <c r="J628" s="12"/>
      <c r="K628" s="12"/>
      <c r="L628" s="12"/>
      <c r="M628" s="12"/>
    </row>
    <row r="629" customFormat="false" ht="15" hidden="false" customHeight="true" outlineLevel="0" collapsed="false">
      <c r="B629" s="7"/>
      <c r="H629" s="14"/>
      <c r="I629" s="11"/>
      <c r="J629" s="14"/>
      <c r="K629" s="14"/>
      <c r="L629" s="14"/>
      <c r="M629" s="14"/>
    </row>
    <row r="630" customFormat="false" ht="15" hidden="false" customHeight="true" outlineLevel="0" collapsed="false">
      <c r="B630" s="7"/>
      <c r="H630" s="12"/>
      <c r="I630" s="11"/>
      <c r="J630" s="12"/>
      <c r="K630" s="12"/>
      <c r="L630" s="12"/>
      <c r="M630" s="12"/>
    </row>
    <row r="631" customFormat="false" ht="15" hidden="false" customHeight="true" outlineLevel="0" collapsed="false">
      <c r="B631" s="7"/>
      <c r="H631" s="14"/>
      <c r="I631" s="11"/>
      <c r="J631" s="14"/>
      <c r="K631" s="14"/>
      <c r="L631" s="14"/>
      <c r="M631" s="14"/>
    </row>
    <row r="632" customFormat="false" ht="15" hidden="false" customHeight="true" outlineLevel="0" collapsed="false">
      <c r="B632" s="7"/>
      <c r="H632" s="12"/>
      <c r="I632" s="11"/>
      <c r="J632" s="12"/>
      <c r="K632" s="12"/>
      <c r="L632" s="12"/>
      <c r="M632" s="12"/>
    </row>
    <row r="633" customFormat="false" ht="15" hidden="false" customHeight="true" outlineLevel="0" collapsed="false">
      <c r="B633" s="7"/>
      <c r="H633" s="14"/>
      <c r="I633" s="11"/>
      <c r="J633" s="14"/>
      <c r="K633" s="14"/>
      <c r="L633" s="14"/>
      <c r="M633" s="14"/>
    </row>
    <row r="634" customFormat="false" ht="15" hidden="false" customHeight="true" outlineLevel="0" collapsed="false">
      <c r="B634" s="7"/>
      <c r="H634" s="12"/>
      <c r="I634" s="11"/>
      <c r="J634" s="12"/>
      <c r="K634" s="12"/>
      <c r="L634" s="12"/>
      <c r="M634" s="12"/>
    </row>
    <row r="635" customFormat="false" ht="15" hidden="false" customHeight="true" outlineLevel="0" collapsed="false">
      <c r="B635" s="7"/>
      <c r="H635" s="14"/>
      <c r="I635" s="11"/>
      <c r="J635" s="14"/>
      <c r="K635" s="14"/>
      <c r="L635" s="14"/>
      <c r="M635" s="14"/>
    </row>
    <row r="636" customFormat="false" ht="15" hidden="false" customHeight="true" outlineLevel="0" collapsed="false">
      <c r="B636" s="7"/>
      <c r="H636" s="12"/>
      <c r="I636" s="11"/>
      <c r="J636" s="12"/>
      <c r="K636" s="12"/>
      <c r="L636" s="12"/>
      <c r="M636" s="12"/>
    </row>
    <row r="637" customFormat="false" ht="15" hidden="false" customHeight="true" outlineLevel="0" collapsed="false">
      <c r="B637" s="7"/>
      <c r="H637" s="14"/>
      <c r="I637" s="11"/>
      <c r="J637" s="14"/>
      <c r="K637" s="14"/>
      <c r="L637" s="14"/>
      <c r="M637" s="14"/>
    </row>
    <row r="638" customFormat="false" ht="15" hidden="false" customHeight="true" outlineLevel="0" collapsed="false">
      <c r="B638" s="7"/>
      <c r="H638" s="12"/>
      <c r="I638" s="11"/>
      <c r="J638" s="12"/>
      <c r="K638" s="12"/>
      <c r="L638" s="12"/>
      <c r="M638" s="12"/>
    </row>
    <row r="639" customFormat="false" ht="15" hidden="false" customHeight="true" outlineLevel="0" collapsed="false">
      <c r="B639" s="7"/>
      <c r="H639" s="14"/>
      <c r="I639" s="11"/>
      <c r="J639" s="14"/>
      <c r="K639" s="14"/>
      <c r="L639" s="14"/>
      <c r="M639" s="14"/>
    </row>
    <row r="640" customFormat="false" ht="15" hidden="false" customHeight="true" outlineLevel="0" collapsed="false">
      <c r="B640" s="7"/>
      <c r="H640" s="12"/>
      <c r="I640" s="11"/>
      <c r="J640" s="12"/>
      <c r="K640" s="12"/>
      <c r="L640" s="12"/>
      <c r="M640" s="12"/>
    </row>
    <row r="641" customFormat="false" ht="15" hidden="false" customHeight="true" outlineLevel="0" collapsed="false">
      <c r="B641" s="7"/>
      <c r="H641" s="14"/>
      <c r="I641" s="11"/>
      <c r="J641" s="14"/>
      <c r="K641" s="14"/>
      <c r="L641" s="14"/>
      <c r="M641" s="14"/>
    </row>
    <row r="642" customFormat="false" ht="15" hidden="false" customHeight="true" outlineLevel="0" collapsed="false">
      <c r="B642" s="7"/>
      <c r="H642" s="12"/>
      <c r="I642" s="11"/>
      <c r="J642" s="12"/>
      <c r="K642" s="12"/>
      <c r="L642" s="12"/>
      <c r="M642" s="12"/>
    </row>
    <row r="643" customFormat="false" ht="15" hidden="false" customHeight="true" outlineLevel="0" collapsed="false">
      <c r="B643" s="7"/>
      <c r="H643" s="14"/>
      <c r="I643" s="11"/>
      <c r="J643" s="14"/>
      <c r="K643" s="14"/>
      <c r="L643" s="14"/>
      <c r="M643" s="14"/>
    </row>
    <row r="644" customFormat="false" ht="15" hidden="false" customHeight="true" outlineLevel="0" collapsed="false">
      <c r="B644" s="7"/>
      <c r="H644" s="12"/>
      <c r="I644" s="11"/>
      <c r="J644" s="12"/>
      <c r="K644" s="12"/>
      <c r="L644" s="12"/>
      <c r="M644" s="12"/>
    </row>
    <row r="645" customFormat="false" ht="15" hidden="false" customHeight="true" outlineLevel="0" collapsed="false">
      <c r="B645" s="7"/>
      <c r="H645" s="14"/>
      <c r="I645" s="11"/>
      <c r="J645" s="14"/>
      <c r="K645" s="14"/>
      <c r="L645" s="14"/>
      <c r="M645" s="14"/>
    </row>
    <row r="646" customFormat="false" ht="15" hidden="false" customHeight="true" outlineLevel="0" collapsed="false">
      <c r="B646" s="7"/>
      <c r="H646" s="12"/>
      <c r="I646" s="11"/>
      <c r="J646" s="12"/>
      <c r="K646" s="12"/>
      <c r="L646" s="12"/>
      <c r="M646" s="12"/>
    </row>
    <row r="647" customFormat="false" ht="15" hidden="false" customHeight="true" outlineLevel="0" collapsed="false">
      <c r="B647" s="7"/>
      <c r="H647" s="14"/>
      <c r="I647" s="11"/>
      <c r="J647" s="14"/>
      <c r="K647" s="14"/>
      <c r="L647" s="14"/>
      <c r="M647" s="14"/>
    </row>
    <row r="648" customFormat="false" ht="15" hidden="false" customHeight="true" outlineLevel="0" collapsed="false">
      <c r="B648" s="7"/>
      <c r="H648" s="12"/>
      <c r="I648" s="11"/>
      <c r="J648" s="12"/>
      <c r="K648" s="12"/>
      <c r="L648" s="12"/>
      <c r="M648" s="12"/>
    </row>
    <row r="649" customFormat="false" ht="15" hidden="false" customHeight="true" outlineLevel="0" collapsed="false">
      <c r="B649" s="7"/>
      <c r="H649" s="14"/>
      <c r="I649" s="11"/>
      <c r="J649" s="14"/>
      <c r="K649" s="14"/>
      <c r="L649" s="14"/>
      <c r="M649" s="14"/>
    </row>
    <row r="650" customFormat="false" ht="15" hidden="false" customHeight="true" outlineLevel="0" collapsed="false">
      <c r="B650" s="7"/>
      <c r="H650" s="12"/>
      <c r="I650" s="11"/>
      <c r="J650" s="12"/>
      <c r="K650" s="12"/>
      <c r="L650" s="12"/>
      <c r="M650" s="12"/>
    </row>
    <row r="651" customFormat="false" ht="15" hidden="false" customHeight="true" outlineLevel="0" collapsed="false">
      <c r="B651" s="7"/>
      <c r="H651" s="14"/>
      <c r="I651" s="11"/>
      <c r="J651" s="14"/>
      <c r="K651" s="14"/>
      <c r="L651" s="14"/>
      <c r="M651" s="14"/>
    </row>
    <row r="652" customFormat="false" ht="15" hidden="false" customHeight="true" outlineLevel="0" collapsed="false">
      <c r="B652" s="7"/>
      <c r="H652" s="12"/>
      <c r="I652" s="11"/>
      <c r="J652" s="12"/>
      <c r="K652" s="12"/>
      <c r="L652" s="12"/>
      <c r="M652" s="12"/>
    </row>
    <row r="653" customFormat="false" ht="15" hidden="false" customHeight="true" outlineLevel="0" collapsed="false">
      <c r="B653" s="7"/>
      <c r="H653" s="14"/>
      <c r="I653" s="11"/>
      <c r="J653" s="14"/>
      <c r="K653" s="14"/>
      <c r="L653" s="14"/>
      <c r="M653" s="14"/>
    </row>
    <row r="654" customFormat="false" ht="15" hidden="false" customHeight="true" outlineLevel="0" collapsed="false">
      <c r="B654" s="7"/>
      <c r="H654" s="12"/>
      <c r="I654" s="11"/>
      <c r="J654" s="12"/>
      <c r="K654" s="12"/>
      <c r="L654" s="12"/>
      <c r="M654" s="12"/>
    </row>
    <row r="655" customFormat="false" ht="15" hidden="false" customHeight="true" outlineLevel="0" collapsed="false">
      <c r="B655" s="7"/>
      <c r="H655" s="14"/>
      <c r="I655" s="11"/>
      <c r="J655" s="14"/>
      <c r="K655" s="14"/>
      <c r="L655" s="14"/>
      <c r="M655" s="14"/>
    </row>
    <row r="656" customFormat="false" ht="15" hidden="false" customHeight="true" outlineLevel="0" collapsed="false">
      <c r="B656" s="7"/>
      <c r="H656" s="12"/>
      <c r="I656" s="11"/>
      <c r="J656" s="12"/>
      <c r="K656" s="12"/>
      <c r="L656" s="12"/>
      <c r="M656" s="12"/>
    </row>
    <row r="657" customFormat="false" ht="15" hidden="false" customHeight="true" outlineLevel="0" collapsed="false">
      <c r="B657" s="7"/>
      <c r="H657" s="14"/>
      <c r="I657" s="11"/>
      <c r="J657" s="14"/>
      <c r="K657" s="14"/>
      <c r="L657" s="14"/>
      <c r="M657" s="14"/>
    </row>
    <row r="658" customFormat="false" ht="15" hidden="false" customHeight="true" outlineLevel="0" collapsed="false">
      <c r="B658" s="7"/>
      <c r="H658" s="12"/>
      <c r="I658" s="11"/>
      <c r="J658" s="12"/>
      <c r="K658" s="12"/>
      <c r="L658" s="12"/>
      <c r="M658" s="12"/>
    </row>
    <row r="659" customFormat="false" ht="15" hidden="false" customHeight="true" outlineLevel="0" collapsed="false">
      <c r="B659" s="7"/>
      <c r="H659" s="14"/>
      <c r="I659" s="11"/>
      <c r="J659" s="14"/>
      <c r="K659" s="14"/>
      <c r="L659" s="14"/>
      <c r="M659" s="14"/>
    </row>
    <row r="660" customFormat="false" ht="15" hidden="false" customHeight="true" outlineLevel="0" collapsed="false">
      <c r="B660" s="7"/>
      <c r="H660" s="12"/>
      <c r="I660" s="11"/>
      <c r="J660" s="12"/>
      <c r="K660" s="12"/>
      <c r="L660" s="12"/>
      <c r="M660" s="12"/>
    </row>
    <row r="661" customFormat="false" ht="15" hidden="false" customHeight="true" outlineLevel="0" collapsed="false">
      <c r="B661" s="7"/>
      <c r="H661" s="14"/>
      <c r="I661" s="11"/>
      <c r="J661" s="14"/>
      <c r="K661" s="14"/>
      <c r="L661" s="14"/>
      <c r="M661" s="14"/>
    </row>
    <row r="662" customFormat="false" ht="15" hidden="false" customHeight="true" outlineLevel="0" collapsed="false">
      <c r="B662" s="7"/>
      <c r="H662" s="12"/>
      <c r="I662" s="11"/>
      <c r="J662" s="12"/>
      <c r="K662" s="12"/>
      <c r="L662" s="12"/>
      <c r="M662" s="12"/>
    </row>
    <row r="663" customFormat="false" ht="15" hidden="false" customHeight="true" outlineLevel="0" collapsed="false">
      <c r="B663" s="7"/>
      <c r="H663" s="14"/>
      <c r="I663" s="11"/>
      <c r="J663" s="14"/>
      <c r="K663" s="14"/>
      <c r="L663" s="14"/>
      <c r="M663" s="14"/>
    </row>
    <row r="664" customFormat="false" ht="15" hidden="false" customHeight="true" outlineLevel="0" collapsed="false">
      <c r="B664" s="7"/>
      <c r="H664" s="12"/>
      <c r="I664" s="11"/>
      <c r="J664" s="12"/>
      <c r="K664" s="12"/>
      <c r="L664" s="12"/>
      <c r="M664" s="12"/>
    </row>
    <row r="665" customFormat="false" ht="15" hidden="false" customHeight="true" outlineLevel="0" collapsed="false">
      <c r="B665" s="7"/>
      <c r="H665" s="14"/>
      <c r="I665" s="11"/>
      <c r="J665" s="14"/>
      <c r="K665" s="14"/>
      <c r="L665" s="14"/>
      <c r="M665" s="14"/>
    </row>
    <row r="666" customFormat="false" ht="15" hidden="false" customHeight="true" outlineLevel="0" collapsed="false">
      <c r="B666" s="7"/>
      <c r="H666" s="12"/>
      <c r="I666" s="11"/>
      <c r="J666" s="12"/>
      <c r="K666" s="12"/>
      <c r="L666" s="12"/>
      <c r="M666" s="12"/>
    </row>
    <row r="667" customFormat="false" ht="15" hidden="false" customHeight="true" outlineLevel="0" collapsed="false">
      <c r="B667" s="7"/>
      <c r="H667" s="14"/>
      <c r="I667" s="11"/>
      <c r="J667" s="14"/>
      <c r="K667" s="14"/>
      <c r="L667" s="14"/>
      <c r="M667" s="14"/>
    </row>
    <row r="668" customFormat="false" ht="15" hidden="false" customHeight="true" outlineLevel="0" collapsed="false">
      <c r="B668" s="7"/>
      <c r="H668" s="12"/>
      <c r="I668" s="11"/>
      <c r="J668" s="12"/>
      <c r="K668" s="12"/>
      <c r="L668" s="12"/>
      <c r="M668" s="12"/>
    </row>
    <row r="669" customFormat="false" ht="15" hidden="false" customHeight="true" outlineLevel="0" collapsed="false">
      <c r="B669" s="7"/>
      <c r="H669" s="14"/>
      <c r="I669" s="11"/>
      <c r="J669" s="14"/>
      <c r="K669" s="14"/>
      <c r="L669" s="14"/>
      <c r="M669" s="14"/>
    </row>
    <row r="670" customFormat="false" ht="15" hidden="false" customHeight="true" outlineLevel="0" collapsed="false">
      <c r="B670" s="7"/>
      <c r="H670" s="12"/>
      <c r="I670" s="11"/>
      <c r="J670" s="12"/>
      <c r="K670" s="12"/>
      <c r="L670" s="12"/>
      <c r="M670" s="12"/>
    </row>
    <row r="671" customFormat="false" ht="15" hidden="false" customHeight="true" outlineLevel="0" collapsed="false">
      <c r="B671" s="7"/>
      <c r="H671" s="14"/>
      <c r="I671" s="11"/>
      <c r="J671" s="14"/>
      <c r="K671" s="14"/>
      <c r="L671" s="14"/>
      <c r="M671" s="14"/>
    </row>
    <row r="672" customFormat="false" ht="15" hidden="false" customHeight="true" outlineLevel="0" collapsed="false">
      <c r="B672" s="7"/>
      <c r="H672" s="12"/>
      <c r="I672" s="11"/>
      <c r="J672" s="12"/>
      <c r="K672" s="12"/>
      <c r="L672" s="12"/>
      <c r="M672" s="12"/>
    </row>
    <row r="673" customFormat="false" ht="15" hidden="false" customHeight="true" outlineLevel="0" collapsed="false">
      <c r="B673" s="7"/>
      <c r="H673" s="14"/>
      <c r="I673" s="11"/>
      <c r="J673" s="14"/>
      <c r="K673" s="14"/>
      <c r="L673" s="14"/>
      <c r="M673" s="14"/>
    </row>
    <row r="674" customFormat="false" ht="15" hidden="false" customHeight="true" outlineLevel="0" collapsed="false">
      <c r="B674" s="7"/>
      <c r="H674" s="12"/>
      <c r="I674" s="11"/>
      <c r="J674" s="12"/>
      <c r="K674" s="12"/>
      <c r="L674" s="12"/>
      <c r="M674" s="12"/>
    </row>
    <row r="675" customFormat="false" ht="15" hidden="false" customHeight="true" outlineLevel="0" collapsed="false">
      <c r="B675" s="7"/>
      <c r="H675" s="14"/>
      <c r="I675" s="11"/>
      <c r="J675" s="14"/>
      <c r="K675" s="14"/>
      <c r="L675" s="14"/>
      <c r="M675" s="14"/>
    </row>
    <row r="676" customFormat="false" ht="15" hidden="false" customHeight="true" outlineLevel="0" collapsed="false">
      <c r="B676" s="7"/>
      <c r="H676" s="12"/>
      <c r="I676" s="11"/>
      <c r="J676" s="12"/>
      <c r="K676" s="12"/>
      <c r="L676" s="12"/>
      <c r="M676" s="12"/>
    </row>
    <row r="677" customFormat="false" ht="15" hidden="false" customHeight="true" outlineLevel="0" collapsed="false">
      <c r="B677" s="7"/>
      <c r="H677" s="14"/>
      <c r="I677" s="11"/>
      <c r="J677" s="14"/>
      <c r="K677" s="14"/>
      <c r="L677" s="14"/>
      <c r="M677" s="14"/>
    </row>
    <row r="678" customFormat="false" ht="15" hidden="false" customHeight="true" outlineLevel="0" collapsed="false">
      <c r="B678" s="7"/>
      <c r="H678" s="12"/>
      <c r="I678" s="11"/>
      <c r="J678" s="12"/>
      <c r="K678" s="12"/>
      <c r="L678" s="12"/>
      <c r="M678" s="12"/>
    </row>
    <row r="679" customFormat="false" ht="15" hidden="false" customHeight="true" outlineLevel="0" collapsed="false">
      <c r="B679" s="7"/>
      <c r="H679" s="14"/>
      <c r="I679" s="11"/>
      <c r="J679" s="14"/>
      <c r="K679" s="14"/>
      <c r="L679" s="14"/>
      <c r="M679" s="14"/>
    </row>
    <row r="680" customFormat="false" ht="15" hidden="false" customHeight="true" outlineLevel="0" collapsed="false">
      <c r="B680" s="7"/>
      <c r="H680" s="12"/>
      <c r="I680" s="11"/>
      <c r="J680" s="12"/>
      <c r="K680" s="12"/>
      <c r="L680" s="12"/>
      <c r="M680" s="12"/>
    </row>
    <row r="681" customFormat="false" ht="15" hidden="false" customHeight="true" outlineLevel="0" collapsed="false">
      <c r="B681" s="7"/>
      <c r="H681" s="14"/>
      <c r="I681" s="11"/>
      <c r="J681" s="14"/>
      <c r="K681" s="14"/>
      <c r="L681" s="14"/>
      <c r="M681" s="14"/>
    </row>
    <row r="682" customFormat="false" ht="15" hidden="false" customHeight="true" outlineLevel="0" collapsed="false">
      <c r="B682" s="7"/>
      <c r="H682" s="12"/>
      <c r="I682" s="11"/>
      <c r="J682" s="12"/>
      <c r="K682" s="12"/>
      <c r="L682" s="12"/>
      <c r="M682" s="12"/>
    </row>
    <row r="683" customFormat="false" ht="15" hidden="false" customHeight="true" outlineLevel="0" collapsed="false">
      <c r="B683" s="7"/>
      <c r="H683" s="14"/>
      <c r="I683" s="11"/>
      <c r="J683" s="14"/>
      <c r="K683" s="14"/>
      <c r="L683" s="14"/>
      <c r="M683" s="14"/>
    </row>
    <row r="684" customFormat="false" ht="15" hidden="false" customHeight="true" outlineLevel="0" collapsed="false">
      <c r="B684" s="7"/>
      <c r="H684" s="12"/>
      <c r="I684" s="11"/>
      <c r="J684" s="12"/>
      <c r="K684" s="12"/>
      <c r="L684" s="12"/>
      <c r="M684" s="12"/>
    </row>
    <row r="685" customFormat="false" ht="15" hidden="false" customHeight="true" outlineLevel="0" collapsed="false">
      <c r="B685" s="7"/>
      <c r="H685" s="14"/>
      <c r="I685" s="11"/>
      <c r="J685" s="14"/>
      <c r="K685" s="14"/>
      <c r="L685" s="14"/>
      <c r="M685" s="14"/>
    </row>
    <row r="686" customFormat="false" ht="15" hidden="false" customHeight="true" outlineLevel="0" collapsed="false">
      <c r="B686" s="7"/>
      <c r="H686" s="12"/>
      <c r="I686" s="11"/>
      <c r="J686" s="12"/>
      <c r="K686" s="12"/>
      <c r="L686" s="12"/>
      <c r="M686" s="12"/>
    </row>
    <row r="687" customFormat="false" ht="15" hidden="false" customHeight="true" outlineLevel="0" collapsed="false">
      <c r="B687" s="7"/>
      <c r="H687" s="14"/>
      <c r="I687" s="11"/>
      <c r="J687" s="14"/>
      <c r="K687" s="14"/>
      <c r="L687" s="14"/>
      <c r="M687" s="14"/>
    </row>
    <row r="688" customFormat="false" ht="15" hidden="false" customHeight="true" outlineLevel="0" collapsed="false">
      <c r="B688" s="7"/>
      <c r="H688" s="12"/>
      <c r="I688" s="11"/>
      <c r="J688" s="12"/>
      <c r="K688" s="12"/>
      <c r="L688" s="12"/>
      <c r="M688" s="12"/>
    </row>
    <row r="689" customFormat="false" ht="15" hidden="false" customHeight="true" outlineLevel="0" collapsed="false">
      <c r="B689" s="7"/>
      <c r="H689" s="14"/>
      <c r="I689" s="11"/>
      <c r="J689" s="14"/>
      <c r="K689" s="14"/>
      <c r="L689" s="14"/>
      <c r="M689" s="14"/>
    </row>
    <row r="690" customFormat="false" ht="15" hidden="false" customHeight="true" outlineLevel="0" collapsed="false">
      <c r="B690" s="7"/>
      <c r="H690" s="12"/>
      <c r="I690" s="11"/>
      <c r="J690" s="12"/>
      <c r="K690" s="12"/>
      <c r="L690" s="12"/>
      <c r="M690" s="12"/>
    </row>
    <row r="691" customFormat="false" ht="15" hidden="false" customHeight="true" outlineLevel="0" collapsed="false">
      <c r="B691" s="7"/>
      <c r="H691" s="14"/>
      <c r="I691" s="11"/>
      <c r="J691" s="14"/>
      <c r="K691" s="14"/>
      <c r="L691" s="14"/>
      <c r="M691" s="14"/>
    </row>
    <row r="692" customFormat="false" ht="15" hidden="false" customHeight="true" outlineLevel="0" collapsed="false">
      <c r="B692" s="7"/>
      <c r="H692" s="12"/>
      <c r="I692" s="11"/>
      <c r="J692" s="12"/>
      <c r="K692" s="12"/>
      <c r="L692" s="12"/>
      <c r="M692" s="12"/>
    </row>
    <row r="693" customFormat="false" ht="15" hidden="false" customHeight="true" outlineLevel="0" collapsed="false">
      <c r="B693" s="7"/>
      <c r="H693" s="14"/>
      <c r="I693" s="11"/>
      <c r="J693" s="14"/>
      <c r="K693" s="14"/>
      <c r="L693" s="14"/>
      <c r="M693" s="14"/>
    </row>
    <row r="694" customFormat="false" ht="15" hidden="false" customHeight="true" outlineLevel="0" collapsed="false">
      <c r="B694" s="7"/>
      <c r="H694" s="12"/>
      <c r="I694" s="11"/>
      <c r="J694" s="12"/>
      <c r="K694" s="12"/>
      <c r="L694" s="12"/>
      <c r="M694" s="12"/>
    </row>
    <row r="695" customFormat="false" ht="15" hidden="false" customHeight="true" outlineLevel="0" collapsed="false">
      <c r="B695" s="7"/>
      <c r="H695" s="14"/>
      <c r="I695" s="11"/>
      <c r="J695" s="14"/>
      <c r="K695" s="14"/>
      <c r="L695" s="14"/>
      <c r="M695" s="14"/>
    </row>
    <row r="696" customFormat="false" ht="15" hidden="false" customHeight="true" outlineLevel="0" collapsed="false">
      <c r="B696" s="7"/>
      <c r="H696" s="12"/>
      <c r="I696" s="11"/>
      <c r="J696" s="12"/>
      <c r="K696" s="12"/>
      <c r="L696" s="12"/>
      <c r="M696" s="12"/>
    </row>
    <row r="697" customFormat="false" ht="15" hidden="false" customHeight="true" outlineLevel="0" collapsed="false">
      <c r="B697" s="7"/>
      <c r="H697" s="14"/>
      <c r="I697" s="11"/>
      <c r="J697" s="14"/>
      <c r="K697" s="14"/>
      <c r="L697" s="14"/>
      <c r="M697" s="14"/>
    </row>
    <row r="698" customFormat="false" ht="15" hidden="false" customHeight="true" outlineLevel="0" collapsed="false">
      <c r="B698" s="7"/>
      <c r="H698" s="12"/>
      <c r="I698" s="11"/>
      <c r="J698" s="12"/>
      <c r="K698" s="12"/>
      <c r="L698" s="12"/>
      <c r="M698" s="12"/>
    </row>
    <row r="699" customFormat="false" ht="15" hidden="false" customHeight="true" outlineLevel="0" collapsed="false">
      <c r="B699" s="7"/>
      <c r="H699" s="14"/>
      <c r="I699" s="11"/>
      <c r="J699" s="14"/>
      <c r="K699" s="14"/>
      <c r="L699" s="14"/>
      <c r="M699" s="14"/>
    </row>
    <row r="700" customFormat="false" ht="15" hidden="false" customHeight="true" outlineLevel="0" collapsed="false">
      <c r="B700" s="7"/>
      <c r="H700" s="12"/>
      <c r="I700" s="11"/>
      <c r="J700" s="12"/>
      <c r="K700" s="12"/>
      <c r="L700" s="12"/>
      <c r="M700" s="12"/>
    </row>
    <row r="701" customFormat="false" ht="15" hidden="false" customHeight="true" outlineLevel="0" collapsed="false">
      <c r="B701" s="7"/>
      <c r="H701" s="14"/>
      <c r="I701" s="11"/>
      <c r="J701" s="14"/>
      <c r="K701" s="14"/>
      <c r="L701" s="14"/>
      <c r="M701" s="14"/>
    </row>
    <row r="702" customFormat="false" ht="15" hidden="false" customHeight="true" outlineLevel="0" collapsed="false">
      <c r="B702" s="7"/>
      <c r="H702" s="12"/>
      <c r="I702" s="11"/>
      <c r="J702" s="12"/>
      <c r="K702" s="12"/>
      <c r="L702" s="12"/>
      <c r="M702" s="12"/>
    </row>
    <row r="703" customFormat="false" ht="15" hidden="false" customHeight="true" outlineLevel="0" collapsed="false">
      <c r="B703" s="7"/>
      <c r="H703" s="14"/>
      <c r="I703" s="11"/>
      <c r="J703" s="14"/>
      <c r="K703" s="14"/>
      <c r="L703" s="14"/>
      <c r="M703" s="14"/>
    </row>
    <row r="704" customFormat="false" ht="15" hidden="false" customHeight="true" outlineLevel="0" collapsed="false">
      <c r="B704" s="7"/>
      <c r="H704" s="12"/>
      <c r="I704" s="11"/>
      <c r="J704" s="12"/>
      <c r="K704" s="12"/>
      <c r="L704" s="12"/>
      <c r="M704" s="12"/>
    </row>
    <row r="705" customFormat="false" ht="15" hidden="false" customHeight="true" outlineLevel="0" collapsed="false">
      <c r="B705" s="7"/>
      <c r="H705" s="14"/>
      <c r="I705" s="11"/>
      <c r="J705" s="14"/>
      <c r="K705" s="14"/>
      <c r="L705" s="14"/>
      <c r="M705" s="14"/>
    </row>
    <row r="706" customFormat="false" ht="15" hidden="false" customHeight="true" outlineLevel="0" collapsed="false">
      <c r="B706" s="7"/>
      <c r="H706" s="12"/>
      <c r="I706" s="11"/>
      <c r="J706" s="12"/>
      <c r="K706" s="12"/>
      <c r="L706" s="12"/>
      <c r="M706" s="12"/>
    </row>
    <row r="707" customFormat="false" ht="15" hidden="false" customHeight="true" outlineLevel="0" collapsed="false">
      <c r="B707" s="7"/>
      <c r="H707" s="14"/>
      <c r="I707" s="11"/>
      <c r="J707" s="14"/>
      <c r="K707" s="14"/>
      <c r="L707" s="14"/>
      <c r="M707" s="14"/>
    </row>
    <row r="708" customFormat="false" ht="15" hidden="false" customHeight="true" outlineLevel="0" collapsed="false">
      <c r="B708" s="7"/>
      <c r="H708" s="12"/>
      <c r="I708" s="11"/>
      <c r="J708" s="12"/>
      <c r="K708" s="12"/>
      <c r="L708" s="12"/>
      <c r="M708" s="12"/>
    </row>
    <row r="709" customFormat="false" ht="15" hidden="false" customHeight="true" outlineLevel="0" collapsed="false">
      <c r="B709" s="7"/>
      <c r="H709" s="14"/>
      <c r="I709" s="11"/>
      <c r="J709" s="14"/>
      <c r="K709" s="14"/>
      <c r="L709" s="14"/>
      <c r="M709" s="14"/>
    </row>
    <row r="710" customFormat="false" ht="15" hidden="false" customHeight="true" outlineLevel="0" collapsed="false">
      <c r="B710" s="7"/>
      <c r="H710" s="12"/>
      <c r="I710" s="11"/>
      <c r="J710" s="12"/>
      <c r="K710" s="12"/>
      <c r="L710" s="12"/>
      <c r="M710" s="12"/>
    </row>
    <row r="711" customFormat="false" ht="15" hidden="false" customHeight="true" outlineLevel="0" collapsed="false">
      <c r="B711" s="7"/>
      <c r="H711" s="14"/>
      <c r="I711" s="11"/>
      <c r="J711" s="14"/>
      <c r="K711" s="14"/>
      <c r="L711" s="14"/>
      <c r="M711" s="14"/>
    </row>
    <row r="712" customFormat="false" ht="15" hidden="false" customHeight="true" outlineLevel="0" collapsed="false">
      <c r="B712" s="7"/>
      <c r="H712" s="12"/>
      <c r="I712" s="11"/>
      <c r="J712" s="12"/>
      <c r="K712" s="12"/>
      <c r="L712" s="12"/>
      <c r="M712" s="12"/>
    </row>
    <row r="713" customFormat="false" ht="15" hidden="false" customHeight="true" outlineLevel="0" collapsed="false">
      <c r="B713" s="7"/>
      <c r="H713" s="14"/>
      <c r="I713" s="11"/>
      <c r="J713" s="14"/>
      <c r="K713" s="14"/>
      <c r="L713" s="14"/>
      <c r="M713" s="14"/>
    </row>
    <row r="714" customFormat="false" ht="15" hidden="false" customHeight="true" outlineLevel="0" collapsed="false">
      <c r="B714" s="7"/>
      <c r="H714" s="12"/>
      <c r="I714" s="11"/>
      <c r="J714" s="12"/>
      <c r="K714" s="12"/>
      <c r="L714" s="12"/>
      <c r="M714" s="12"/>
    </row>
    <row r="715" customFormat="false" ht="15" hidden="false" customHeight="true" outlineLevel="0" collapsed="false">
      <c r="B715" s="7"/>
      <c r="H715" s="14"/>
      <c r="I715" s="11"/>
      <c r="J715" s="14"/>
      <c r="K715" s="14"/>
      <c r="L715" s="14"/>
      <c r="M715" s="14"/>
    </row>
    <row r="716" customFormat="false" ht="15" hidden="false" customHeight="true" outlineLevel="0" collapsed="false">
      <c r="B716" s="7"/>
      <c r="H716" s="12"/>
      <c r="I716" s="11"/>
      <c r="J716" s="12"/>
      <c r="K716" s="12"/>
      <c r="L716" s="12"/>
      <c r="M716" s="12"/>
    </row>
    <row r="717" customFormat="false" ht="15" hidden="false" customHeight="true" outlineLevel="0" collapsed="false">
      <c r="B717" s="7"/>
      <c r="H717" s="14"/>
      <c r="I717" s="11"/>
      <c r="J717" s="14"/>
      <c r="K717" s="14"/>
      <c r="L717" s="14"/>
      <c r="M717" s="14"/>
    </row>
    <row r="718" customFormat="false" ht="15" hidden="false" customHeight="true" outlineLevel="0" collapsed="false">
      <c r="B718" s="7"/>
      <c r="H718" s="12"/>
      <c r="I718" s="11"/>
      <c r="J718" s="12"/>
      <c r="K718" s="12"/>
      <c r="L718" s="12"/>
      <c r="M718" s="12"/>
    </row>
    <row r="719" customFormat="false" ht="15" hidden="false" customHeight="true" outlineLevel="0" collapsed="false">
      <c r="B719" s="7"/>
      <c r="H719" s="14"/>
      <c r="I719" s="11"/>
      <c r="J719" s="14"/>
      <c r="K719" s="14"/>
      <c r="L719" s="14"/>
      <c r="M719" s="14"/>
    </row>
    <row r="720" customFormat="false" ht="15" hidden="false" customHeight="true" outlineLevel="0" collapsed="false">
      <c r="B720" s="7"/>
      <c r="H720" s="12"/>
      <c r="I720" s="11"/>
      <c r="J720" s="12"/>
      <c r="K720" s="12"/>
      <c r="L720" s="12"/>
      <c r="M720" s="12"/>
    </row>
    <row r="721" customFormat="false" ht="15" hidden="false" customHeight="true" outlineLevel="0" collapsed="false">
      <c r="B721" s="7"/>
      <c r="H721" s="14"/>
      <c r="I721" s="11"/>
      <c r="J721" s="14"/>
      <c r="K721" s="14"/>
      <c r="L721" s="14"/>
      <c r="M721" s="14"/>
    </row>
    <row r="722" customFormat="false" ht="15" hidden="false" customHeight="true" outlineLevel="0" collapsed="false">
      <c r="B722" s="7"/>
      <c r="H722" s="12"/>
      <c r="I722" s="11"/>
      <c r="J722" s="12"/>
      <c r="K722" s="12"/>
      <c r="L722" s="12"/>
      <c r="M722" s="12"/>
    </row>
    <row r="723" customFormat="false" ht="15" hidden="false" customHeight="true" outlineLevel="0" collapsed="false">
      <c r="B723" s="7"/>
      <c r="H723" s="14"/>
      <c r="I723" s="11"/>
      <c r="J723" s="14"/>
      <c r="K723" s="14"/>
      <c r="L723" s="14"/>
      <c r="M723" s="14"/>
    </row>
    <row r="724" customFormat="false" ht="15" hidden="false" customHeight="true" outlineLevel="0" collapsed="false">
      <c r="B724" s="7"/>
      <c r="H724" s="12"/>
      <c r="I724" s="11"/>
      <c r="J724" s="12"/>
      <c r="K724" s="12"/>
      <c r="L724" s="12"/>
      <c r="M724" s="12"/>
    </row>
    <row r="725" customFormat="false" ht="15" hidden="false" customHeight="true" outlineLevel="0" collapsed="false">
      <c r="B725" s="7"/>
      <c r="H725" s="14"/>
      <c r="I725" s="11"/>
      <c r="J725" s="14"/>
      <c r="K725" s="14"/>
      <c r="L725" s="14"/>
      <c r="M725" s="14"/>
    </row>
    <row r="726" customFormat="false" ht="15" hidden="false" customHeight="true" outlineLevel="0" collapsed="false">
      <c r="B726" s="7"/>
      <c r="H726" s="12"/>
      <c r="I726" s="11"/>
      <c r="J726" s="12"/>
      <c r="K726" s="12"/>
      <c r="L726" s="12"/>
      <c r="M726" s="12"/>
    </row>
    <row r="727" customFormat="false" ht="15" hidden="false" customHeight="true" outlineLevel="0" collapsed="false">
      <c r="B727" s="7"/>
      <c r="H727" s="14"/>
      <c r="I727" s="11"/>
      <c r="J727" s="14"/>
      <c r="K727" s="14"/>
      <c r="L727" s="14"/>
      <c r="M727" s="14"/>
    </row>
    <row r="728" customFormat="false" ht="15" hidden="false" customHeight="true" outlineLevel="0" collapsed="false">
      <c r="B728" s="7"/>
      <c r="H728" s="12"/>
      <c r="I728" s="11"/>
      <c r="J728" s="12"/>
      <c r="K728" s="12"/>
      <c r="L728" s="12"/>
      <c r="M728" s="12"/>
    </row>
    <row r="729" customFormat="false" ht="15" hidden="false" customHeight="true" outlineLevel="0" collapsed="false">
      <c r="B729" s="7"/>
      <c r="H729" s="14"/>
      <c r="I729" s="11"/>
      <c r="J729" s="14"/>
      <c r="K729" s="14"/>
      <c r="L729" s="14"/>
      <c r="M729" s="14"/>
    </row>
    <row r="730" customFormat="false" ht="15" hidden="false" customHeight="true" outlineLevel="0" collapsed="false">
      <c r="B730" s="7"/>
      <c r="H730" s="12"/>
      <c r="I730" s="11"/>
      <c r="J730" s="12"/>
      <c r="K730" s="12"/>
      <c r="L730" s="12"/>
      <c r="M730" s="12"/>
    </row>
    <row r="731" customFormat="false" ht="15" hidden="false" customHeight="true" outlineLevel="0" collapsed="false">
      <c r="B731" s="7"/>
      <c r="H731" s="14"/>
      <c r="I731" s="11"/>
      <c r="J731" s="14"/>
      <c r="K731" s="14"/>
      <c r="L731" s="14"/>
      <c r="M731" s="14"/>
    </row>
    <row r="732" customFormat="false" ht="15" hidden="false" customHeight="true" outlineLevel="0" collapsed="false">
      <c r="B732" s="7"/>
      <c r="H732" s="12"/>
      <c r="I732" s="11"/>
      <c r="J732" s="12"/>
      <c r="K732" s="12"/>
      <c r="L732" s="12"/>
      <c r="M732" s="12"/>
    </row>
    <row r="733" customFormat="false" ht="15" hidden="false" customHeight="true" outlineLevel="0" collapsed="false">
      <c r="B733" s="7"/>
      <c r="H733" s="14"/>
      <c r="I733" s="11"/>
      <c r="J733" s="14"/>
      <c r="K733" s="14"/>
      <c r="L733" s="14"/>
      <c r="M733" s="14"/>
    </row>
    <row r="734" customFormat="false" ht="15" hidden="false" customHeight="true" outlineLevel="0" collapsed="false">
      <c r="B734" s="7"/>
      <c r="H734" s="12"/>
      <c r="I734" s="11"/>
      <c r="J734" s="12"/>
      <c r="K734" s="12"/>
      <c r="L734" s="12"/>
      <c r="M734" s="12"/>
    </row>
    <row r="735" customFormat="false" ht="15" hidden="false" customHeight="true" outlineLevel="0" collapsed="false">
      <c r="B735" s="7"/>
      <c r="H735" s="14"/>
      <c r="I735" s="11"/>
      <c r="J735" s="14"/>
      <c r="K735" s="14"/>
      <c r="L735" s="14"/>
      <c r="M735" s="14"/>
    </row>
    <row r="736" customFormat="false" ht="15" hidden="false" customHeight="true" outlineLevel="0" collapsed="false">
      <c r="B736" s="7"/>
      <c r="H736" s="12"/>
      <c r="I736" s="11"/>
      <c r="J736" s="12"/>
      <c r="K736" s="12"/>
      <c r="L736" s="12"/>
      <c r="M736" s="12"/>
    </row>
    <row r="737" customFormat="false" ht="15" hidden="false" customHeight="true" outlineLevel="0" collapsed="false">
      <c r="B737" s="7"/>
      <c r="H737" s="14"/>
      <c r="I737" s="11"/>
      <c r="J737" s="14"/>
      <c r="K737" s="14"/>
      <c r="L737" s="14"/>
      <c r="M737" s="14"/>
    </row>
    <row r="738" customFormat="false" ht="15" hidden="false" customHeight="true" outlineLevel="0" collapsed="false">
      <c r="B738" s="7"/>
      <c r="H738" s="12"/>
      <c r="I738" s="11"/>
      <c r="J738" s="12"/>
      <c r="K738" s="12"/>
      <c r="L738" s="12"/>
      <c r="M738" s="12"/>
    </row>
    <row r="739" customFormat="false" ht="15" hidden="false" customHeight="true" outlineLevel="0" collapsed="false">
      <c r="B739" s="7"/>
      <c r="H739" s="14"/>
      <c r="I739" s="11"/>
      <c r="J739" s="14"/>
      <c r="K739" s="14"/>
      <c r="L739" s="14"/>
      <c r="M739" s="14"/>
    </row>
    <row r="740" customFormat="false" ht="15" hidden="false" customHeight="true" outlineLevel="0" collapsed="false">
      <c r="B740" s="7"/>
      <c r="H740" s="12"/>
      <c r="I740" s="11"/>
      <c r="J740" s="12"/>
      <c r="K740" s="12"/>
      <c r="L740" s="12"/>
      <c r="M740" s="12"/>
    </row>
    <row r="741" customFormat="false" ht="15" hidden="false" customHeight="true" outlineLevel="0" collapsed="false">
      <c r="B741" s="7"/>
      <c r="H741" s="14"/>
      <c r="I741" s="11"/>
      <c r="J741" s="14"/>
      <c r="K741" s="14"/>
      <c r="L741" s="14"/>
      <c r="M741" s="14"/>
    </row>
    <row r="742" customFormat="false" ht="15" hidden="false" customHeight="true" outlineLevel="0" collapsed="false">
      <c r="B742" s="7"/>
      <c r="H742" s="12"/>
      <c r="I742" s="11"/>
      <c r="J742" s="12"/>
      <c r="K742" s="12"/>
      <c r="L742" s="12"/>
      <c r="M742" s="12"/>
    </row>
    <row r="743" customFormat="false" ht="15" hidden="false" customHeight="true" outlineLevel="0" collapsed="false">
      <c r="B743" s="7"/>
      <c r="H743" s="14"/>
      <c r="I743" s="11"/>
      <c r="J743" s="14"/>
      <c r="K743" s="14"/>
      <c r="L743" s="14"/>
      <c r="M743" s="14"/>
    </row>
    <row r="744" customFormat="false" ht="15" hidden="false" customHeight="true" outlineLevel="0" collapsed="false">
      <c r="B744" s="7"/>
      <c r="H744" s="12"/>
      <c r="I744" s="11"/>
      <c r="J744" s="12"/>
      <c r="K744" s="12"/>
      <c r="L744" s="12"/>
      <c r="M744" s="12"/>
    </row>
    <row r="745" customFormat="false" ht="15" hidden="false" customHeight="true" outlineLevel="0" collapsed="false">
      <c r="B745" s="7"/>
      <c r="H745" s="14"/>
      <c r="I745" s="11"/>
      <c r="J745" s="14"/>
      <c r="K745" s="14"/>
      <c r="L745" s="14"/>
      <c r="M745" s="14"/>
    </row>
    <row r="746" customFormat="false" ht="15" hidden="false" customHeight="true" outlineLevel="0" collapsed="false">
      <c r="B746" s="7"/>
      <c r="H746" s="12"/>
      <c r="I746" s="11"/>
      <c r="J746" s="12"/>
      <c r="K746" s="12"/>
      <c r="L746" s="12"/>
      <c r="M746" s="12"/>
    </row>
    <row r="747" customFormat="false" ht="15" hidden="false" customHeight="true" outlineLevel="0" collapsed="false">
      <c r="B747" s="7"/>
      <c r="H747" s="14"/>
      <c r="I747" s="11"/>
      <c r="J747" s="14"/>
      <c r="K747" s="14"/>
      <c r="L747" s="14"/>
      <c r="M747" s="14"/>
    </row>
    <row r="748" customFormat="false" ht="15" hidden="false" customHeight="true" outlineLevel="0" collapsed="false">
      <c r="B748" s="7"/>
      <c r="H748" s="12"/>
      <c r="I748" s="11"/>
      <c r="J748" s="12"/>
      <c r="K748" s="12"/>
      <c r="L748" s="12"/>
      <c r="M748" s="12"/>
    </row>
    <row r="749" customFormat="false" ht="15" hidden="false" customHeight="true" outlineLevel="0" collapsed="false">
      <c r="B749" s="7"/>
      <c r="H749" s="14"/>
      <c r="I749" s="11"/>
      <c r="J749" s="14"/>
      <c r="K749" s="14"/>
      <c r="L749" s="14"/>
      <c r="M749" s="14"/>
    </row>
    <row r="750" customFormat="false" ht="15" hidden="false" customHeight="true" outlineLevel="0" collapsed="false">
      <c r="B750" s="7"/>
      <c r="H750" s="12"/>
      <c r="I750" s="11"/>
      <c r="J750" s="12"/>
      <c r="K750" s="12"/>
      <c r="L750" s="12"/>
      <c r="M750" s="12"/>
    </row>
    <row r="751" customFormat="false" ht="15" hidden="false" customHeight="true" outlineLevel="0" collapsed="false">
      <c r="B751" s="7"/>
      <c r="H751" s="14"/>
      <c r="I751" s="11"/>
      <c r="J751" s="14"/>
      <c r="K751" s="14"/>
      <c r="L751" s="14"/>
      <c r="M751" s="14"/>
    </row>
    <row r="752" customFormat="false" ht="15" hidden="false" customHeight="true" outlineLevel="0" collapsed="false">
      <c r="B752" s="7"/>
      <c r="H752" s="12"/>
      <c r="I752" s="11"/>
      <c r="J752" s="12"/>
      <c r="K752" s="12"/>
      <c r="L752" s="12"/>
      <c r="M752" s="12"/>
    </row>
    <row r="753" customFormat="false" ht="15" hidden="false" customHeight="true" outlineLevel="0" collapsed="false">
      <c r="B753" s="7"/>
      <c r="H753" s="14"/>
      <c r="I753" s="11"/>
      <c r="J753" s="14"/>
      <c r="K753" s="14"/>
      <c r="L753" s="14"/>
      <c r="M753" s="14"/>
    </row>
    <row r="754" customFormat="false" ht="15" hidden="false" customHeight="true" outlineLevel="0" collapsed="false">
      <c r="B754" s="7"/>
      <c r="H754" s="12"/>
      <c r="I754" s="11"/>
      <c r="J754" s="12"/>
      <c r="K754" s="12"/>
      <c r="L754" s="12"/>
      <c r="M754" s="12"/>
    </row>
    <row r="755" customFormat="false" ht="15" hidden="false" customHeight="true" outlineLevel="0" collapsed="false">
      <c r="B755" s="7"/>
      <c r="H755" s="14"/>
      <c r="I755" s="11"/>
      <c r="J755" s="14"/>
      <c r="K755" s="14"/>
      <c r="L755" s="14"/>
      <c r="M755" s="14"/>
    </row>
    <row r="756" customFormat="false" ht="15" hidden="false" customHeight="true" outlineLevel="0" collapsed="false">
      <c r="B756" s="7"/>
      <c r="H756" s="12"/>
      <c r="I756" s="11"/>
      <c r="J756" s="12"/>
      <c r="K756" s="12"/>
      <c r="L756" s="12"/>
      <c r="M756" s="12"/>
    </row>
    <row r="757" customFormat="false" ht="15" hidden="false" customHeight="true" outlineLevel="0" collapsed="false">
      <c r="B757" s="7"/>
      <c r="H757" s="14"/>
      <c r="I757" s="11"/>
      <c r="J757" s="14"/>
      <c r="K757" s="14"/>
      <c r="L757" s="14"/>
      <c r="M757" s="14"/>
    </row>
    <row r="758" customFormat="false" ht="15" hidden="false" customHeight="true" outlineLevel="0" collapsed="false">
      <c r="B758" s="7"/>
      <c r="H758" s="12"/>
      <c r="I758" s="11"/>
      <c r="J758" s="12"/>
      <c r="K758" s="12"/>
      <c r="L758" s="12"/>
      <c r="M758" s="12"/>
    </row>
    <row r="759" customFormat="false" ht="15" hidden="false" customHeight="true" outlineLevel="0" collapsed="false">
      <c r="B759" s="7"/>
      <c r="H759" s="14"/>
      <c r="I759" s="11"/>
      <c r="J759" s="14"/>
      <c r="K759" s="14"/>
      <c r="L759" s="14"/>
      <c r="M759" s="14"/>
    </row>
    <row r="760" customFormat="false" ht="15" hidden="false" customHeight="true" outlineLevel="0" collapsed="false">
      <c r="B760" s="7"/>
      <c r="H760" s="12"/>
      <c r="I760" s="11"/>
      <c r="J760" s="12"/>
      <c r="K760" s="12"/>
      <c r="L760" s="12"/>
      <c r="M760" s="12"/>
    </row>
    <row r="761" customFormat="false" ht="15" hidden="false" customHeight="true" outlineLevel="0" collapsed="false">
      <c r="B761" s="7"/>
      <c r="H761" s="14"/>
      <c r="I761" s="11"/>
      <c r="J761" s="14"/>
      <c r="K761" s="14"/>
      <c r="L761" s="14"/>
      <c r="M761" s="14"/>
    </row>
    <row r="762" customFormat="false" ht="15" hidden="false" customHeight="true" outlineLevel="0" collapsed="false">
      <c r="B762" s="7"/>
      <c r="H762" s="12"/>
      <c r="I762" s="11"/>
      <c r="J762" s="12"/>
      <c r="K762" s="12"/>
      <c r="L762" s="12"/>
      <c r="M762" s="12"/>
    </row>
    <row r="763" customFormat="false" ht="15" hidden="false" customHeight="true" outlineLevel="0" collapsed="false">
      <c r="B763" s="7"/>
      <c r="H763" s="14"/>
      <c r="I763" s="11"/>
      <c r="J763" s="14"/>
      <c r="K763" s="14"/>
      <c r="L763" s="14"/>
      <c r="M763" s="14"/>
    </row>
    <row r="764" customFormat="false" ht="15" hidden="false" customHeight="true" outlineLevel="0" collapsed="false">
      <c r="B764" s="7"/>
      <c r="H764" s="12"/>
      <c r="I764" s="11"/>
      <c r="J764" s="12"/>
      <c r="K764" s="12"/>
      <c r="L764" s="12"/>
      <c r="M764" s="12"/>
    </row>
    <row r="765" customFormat="false" ht="15" hidden="false" customHeight="true" outlineLevel="0" collapsed="false">
      <c r="B765" s="7"/>
      <c r="H765" s="14"/>
      <c r="I765" s="11"/>
      <c r="J765" s="14"/>
      <c r="K765" s="14"/>
      <c r="L765" s="14"/>
      <c r="M765" s="14"/>
    </row>
    <row r="766" customFormat="false" ht="15" hidden="false" customHeight="true" outlineLevel="0" collapsed="false">
      <c r="B766" s="7"/>
      <c r="H766" s="12"/>
      <c r="I766" s="11"/>
      <c r="J766" s="12"/>
      <c r="K766" s="12"/>
      <c r="L766" s="12"/>
      <c r="M766" s="12"/>
    </row>
    <row r="767" customFormat="false" ht="15" hidden="false" customHeight="true" outlineLevel="0" collapsed="false">
      <c r="B767" s="7"/>
      <c r="H767" s="14"/>
      <c r="I767" s="11"/>
      <c r="J767" s="14"/>
      <c r="K767" s="14"/>
      <c r="L767" s="14"/>
      <c r="M767" s="14"/>
    </row>
    <row r="768" customFormat="false" ht="15" hidden="false" customHeight="true" outlineLevel="0" collapsed="false">
      <c r="B768" s="7"/>
      <c r="H768" s="12"/>
      <c r="I768" s="11"/>
      <c r="J768" s="12"/>
      <c r="K768" s="12"/>
      <c r="L768" s="12"/>
      <c r="M768" s="12"/>
    </row>
    <row r="769" customFormat="false" ht="15" hidden="false" customHeight="true" outlineLevel="0" collapsed="false">
      <c r="B769" s="7"/>
      <c r="H769" s="14"/>
      <c r="I769" s="11"/>
      <c r="J769" s="14"/>
      <c r="K769" s="14"/>
      <c r="L769" s="14"/>
      <c r="M769" s="14"/>
    </row>
    <row r="770" customFormat="false" ht="15" hidden="false" customHeight="true" outlineLevel="0" collapsed="false">
      <c r="B770" s="7"/>
      <c r="H770" s="12"/>
      <c r="I770" s="11"/>
      <c r="J770" s="12"/>
      <c r="K770" s="12"/>
      <c r="L770" s="12"/>
      <c r="M770" s="12"/>
    </row>
    <row r="771" customFormat="false" ht="15" hidden="false" customHeight="true" outlineLevel="0" collapsed="false">
      <c r="B771" s="7"/>
      <c r="H771" s="14"/>
      <c r="I771" s="11"/>
      <c r="J771" s="14"/>
      <c r="K771" s="14"/>
      <c r="L771" s="14"/>
      <c r="M771" s="14"/>
    </row>
    <row r="772" customFormat="false" ht="15" hidden="false" customHeight="true" outlineLevel="0" collapsed="false">
      <c r="B772" s="7"/>
      <c r="H772" s="12"/>
      <c r="I772" s="11"/>
      <c r="J772" s="12"/>
      <c r="K772" s="12"/>
      <c r="L772" s="12"/>
      <c r="M772" s="12"/>
    </row>
    <row r="773" customFormat="false" ht="15" hidden="false" customHeight="true" outlineLevel="0" collapsed="false">
      <c r="B773" s="7"/>
      <c r="H773" s="14"/>
      <c r="I773" s="11"/>
      <c r="J773" s="14"/>
      <c r="K773" s="14"/>
      <c r="L773" s="14"/>
      <c r="M773" s="14"/>
    </row>
    <row r="774" customFormat="false" ht="15" hidden="false" customHeight="true" outlineLevel="0" collapsed="false">
      <c r="B774" s="7"/>
      <c r="H774" s="12"/>
      <c r="I774" s="11"/>
      <c r="J774" s="12"/>
      <c r="K774" s="12"/>
      <c r="L774" s="12"/>
      <c r="M774" s="12"/>
    </row>
    <row r="775" customFormat="false" ht="15" hidden="false" customHeight="true" outlineLevel="0" collapsed="false">
      <c r="B775" s="7"/>
      <c r="H775" s="14"/>
      <c r="I775" s="11"/>
      <c r="J775" s="14"/>
      <c r="K775" s="14"/>
      <c r="L775" s="14"/>
      <c r="M775" s="14"/>
    </row>
    <row r="776" customFormat="false" ht="15" hidden="false" customHeight="true" outlineLevel="0" collapsed="false">
      <c r="B776" s="7"/>
      <c r="H776" s="12"/>
      <c r="I776" s="11"/>
      <c r="J776" s="12"/>
      <c r="K776" s="12"/>
      <c r="L776" s="12"/>
      <c r="M776" s="12"/>
    </row>
    <row r="777" customFormat="false" ht="15" hidden="false" customHeight="true" outlineLevel="0" collapsed="false">
      <c r="B777" s="7"/>
      <c r="H777" s="14"/>
      <c r="I777" s="11"/>
      <c r="J777" s="14"/>
      <c r="K777" s="14"/>
      <c r="L777" s="14"/>
      <c r="M777" s="14"/>
    </row>
    <row r="778" customFormat="false" ht="15" hidden="false" customHeight="true" outlineLevel="0" collapsed="false">
      <c r="B778" s="7"/>
      <c r="H778" s="12"/>
      <c r="I778" s="11"/>
      <c r="J778" s="12"/>
      <c r="K778" s="12"/>
      <c r="L778" s="12"/>
      <c r="M778" s="12"/>
    </row>
    <row r="779" customFormat="false" ht="15" hidden="false" customHeight="true" outlineLevel="0" collapsed="false">
      <c r="B779" s="7"/>
      <c r="H779" s="14"/>
      <c r="I779" s="11"/>
      <c r="J779" s="14"/>
      <c r="K779" s="14"/>
      <c r="L779" s="14"/>
      <c r="M779" s="14"/>
    </row>
    <row r="780" customFormat="false" ht="15" hidden="false" customHeight="true" outlineLevel="0" collapsed="false">
      <c r="B780" s="7"/>
      <c r="H780" s="12"/>
      <c r="I780" s="11"/>
      <c r="J780" s="12"/>
      <c r="K780" s="12"/>
      <c r="L780" s="12"/>
      <c r="M780" s="12"/>
    </row>
    <row r="781" customFormat="false" ht="15" hidden="false" customHeight="true" outlineLevel="0" collapsed="false">
      <c r="B781" s="7"/>
      <c r="H781" s="14"/>
      <c r="I781" s="11"/>
      <c r="J781" s="14"/>
      <c r="K781" s="14"/>
      <c r="L781" s="14"/>
      <c r="M781" s="14"/>
    </row>
    <row r="782" customFormat="false" ht="15" hidden="false" customHeight="true" outlineLevel="0" collapsed="false">
      <c r="B782" s="7"/>
      <c r="H782" s="12"/>
      <c r="I782" s="11"/>
      <c r="J782" s="12"/>
      <c r="K782" s="12"/>
      <c r="L782" s="12"/>
      <c r="M782" s="12"/>
    </row>
    <row r="783" customFormat="false" ht="15" hidden="false" customHeight="true" outlineLevel="0" collapsed="false">
      <c r="B783" s="7"/>
      <c r="H783" s="14"/>
      <c r="I783" s="11"/>
      <c r="J783" s="14"/>
      <c r="K783" s="14"/>
      <c r="L783" s="14"/>
      <c r="M783" s="14"/>
    </row>
    <row r="784" customFormat="false" ht="15" hidden="false" customHeight="true" outlineLevel="0" collapsed="false">
      <c r="B784" s="7"/>
      <c r="H784" s="12"/>
      <c r="I784" s="11"/>
      <c r="J784" s="12"/>
      <c r="K784" s="12"/>
      <c r="L784" s="12"/>
      <c r="M784" s="12"/>
    </row>
    <row r="785" customFormat="false" ht="15" hidden="false" customHeight="true" outlineLevel="0" collapsed="false">
      <c r="B785" s="7"/>
      <c r="H785" s="14"/>
      <c r="I785" s="11"/>
      <c r="J785" s="14"/>
      <c r="K785" s="14"/>
      <c r="L785" s="14"/>
      <c r="M785" s="14"/>
    </row>
    <row r="786" customFormat="false" ht="15" hidden="false" customHeight="true" outlineLevel="0" collapsed="false">
      <c r="B786" s="7"/>
      <c r="H786" s="12"/>
      <c r="I786" s="11"/>
      <c r="J786" s="12"/>
      <c r="K786" s="12"/>
      <c r="L786" s="12"/>
      <c r="M786" s="12"/>
    </row>
    <row r="787" customFormat="false" ht="15" hidden="false" customHeight="true" outlineLevel="0" collapsed="false">
      <c r="B787" s="7"/>
      <c r="H787" s="14"/>
      <c r="I787" s="11"/>
      <c r="J787" s="14"/>
      <c r="K787" s="14"/>
      <c r="L787" s="14"/>
      <c r="M787" s="14"/>
    </row>
    <row r="788" customFormat="false" ht="15" hidden="false" customHeight="true" outlineLevel="0" collapsed="false">
      <c r="B788" s="7"/>
      <c r="H788" s="12"/>
      <c r="I788" s="11"/>
      <c r="J788" s="12"/>
      <c r="K788" s="12"/>
      <c r="L788" s="12"/>
      <c r="M788" s="12"/>
    </row>
    <row r="789" customFormat="false" ht="15" hidden="false" customHeight="true" outlineLevel="0" collapsed="false">
      <c r="B789" s="7"/>
      <c r="H789" s="14"/>
      <c r="I789" s="11"/>
      <c r="J789" s="14"/>
      <c r="K789" s="14"/>
      <c r="L789" s="14"/>
      <c r="M789" s="14"/>
    </row>
    <row r="790" customFormat="false" ht="15" hidden="false" customHeight="true" outlineLevel="0" collapsed="false">
      <c r="B790" s="7"/>
      <c r="H790" s="12"/>
      <c r="I790" s="11"/>
      <c r="J790" s="12"/>
      <c r="K790" s="12"/>
      <c r="L790" s="12"/>
      <c r="M790" s="12"/>
    </row>
    <row r="791" customFormat="false" ht="15" hidden="false" customHeight="true" outlineLevel="0" collapsed="false">
      <c r="B791" s="7"/>
      <c r="H791" s="14"/>
      <c r="I791" s="11"/>
      <c r="J791" s="14"/>
      <c r="K791" s="14"/>
      <c r="L791" s="14"/>
      <c r="M791" s="14"/>
    </row>
    <row r="792" customFormat="false" ht="15" hidden="false" customHeight="true" outlineLevel="0" collapsed="false">
      <c r="B792" s="7"/>
      <c r="H792" s="12"/>
      <c r="I792" s="11"/>
      <c r="J792" s="12"/>
      <c r="K792" s="12"/>
      <c r="L792" s="12"/>
      <c r="M792" s="12"/>
    </row>
    <row r="793" customFormat="false" ht="15" hidden="false" customHeight="true" outlineLevel="0" collapsed="false">
      <c r="B793" s="7"/>
      <c r="H793" s="14"/>
      <c r="I793" s="11"/>
      <c r="J793" s="14"/>
      <c r="K793" s="14"/>
      <c r="L793" s="14"/>
      <c r="M793" s="14"/>
    </row>
    <row r="794" customFormat="false" ht="15" hidden="false" customHeight="true" outlineLevel="0" collapsed="false">
      <c r="B794" s="7"/>
      <c r="H794" s="12"/>
      <c r="I794" s="11"/>
      <c r="J794" s="12"/>
      <c r="K794" s="12"/>
      <c r="L794" s="12"/>
      <c r="M794" s="12"/>
    </row>
    <row r="795" customFormat="false" ht="15" hidden="false" customHeight="true" outlineLevel="0" collapsed="false">
      <c r="B795" s="7"/>
      <c r="H795" s="14"/>
      <c r="I795" s="11"/>
      <c r="J795" s="14"/>
      <c r="K795" s="14"/>
      <c r="L795" s="14"/>
      <c r="M795" s="14"/>
    </row>
    <row r="796" customFormat="false" ht="15" hidden="false" customHeight="true" outlineLevel="0" collapsed="false">
      <c r="B796" s="7"/>
      <c r="H796" s="12"/>
      <c r="I796" s="11"/>
      <c r="J796" s="12"/>
      <c r="K796" s="12"/>
      <c r="L796" s="12"/>
      <c r="M796" s="12"/>
    </row>
    <row r="797" customFormat="false" ht="15" hidden="false" customHeight="true" outlineLevel="0" collapsed="false">
      <c r="B797" s="7"/>
      <c r="H797" s="14"/>
      <c r="I797" s="11"/>
      <c r="J797" s="14"/>
      <c r="K797" s="14"/>
      <c r="L797" s="14"/>
      <c r="M797" s="14"/>
    </row>
    <row r="798" customFormat="false" ht="15" hidden="false" customHeight="true" outlineLevel="0" collapsed="false">
      <c r="B798" s="7"/>
      <c r="H798" s="12"/>
      <c r="I798" s="11"/>
      <c r="J798" s="12"/>
      <c r="K798" s="12"/>
      <c r="L798" s="12"/>
      <c r="M798" s="12"/>
    </row>
    <row r="799" customFormat="false" ht="15" hidden="false" customHeight="true" outlineLevel="0" collapsed="false">
      <c r="B799" s="7"/>
      <c r="H799" s="14"/>
      <c r="I799" s="11"/>
      <c r="J799" s="14"/>
      <c r="K799" s="14"/>
      <c r="L799" s="14"/>
      <c r="M799" s="14"/>
    </row>
    <row r="800" customFormat="false" ht="15" hidden="false" customHeight="true" outlineLevel="0" collapsed="false">
      <c r="B800" s="7"/>
      <c r="H800" s="12"/>
      <c r="I800" s="11"/>
      <c r="J800" s="12"/>
      <c r="K800" s="12"/>
      <c r="L800" s="12"/>
      <c r="M800" s="12"/>
    </row>
    <row r="801" customFormat="false" ht="15" hidden="false" customHeight="true" outlineLevel="0" collapsed="false">
      <c r="B801" s="7"/>
      <c r="H801" s="14"/>
      <c r="I801" s="11"/>
      <c r="J801" s="14"/>
      <c r="K801" s="14"/>
      <c r="L801" s="14"/>
      <c r="M801" s="14"/>
    </row>
    <row r="802" customFormat="false" ht="15" hidden="false" customHeight="true" outlineLevel="0" collapsed="false">
      <c r="B802" s="7"/>
      <c r="H802" s="12"/>
      <c r="I802" s="11"/>
      <c r="J802" s="12"/>
      <c r="K802" s="12"/>
      <c r="L802" s="12"/>
      <c r="M802" s="12"/>
    </row>
    <row r="803" customFormat="false" ht="15" hidden="false" customHeight="true" outlineLevel="0" collapsed="false">
      <c r="B803" s="7"/>
      <c r="H803" s="14"/>
      <c r="I803" s="11"/>
      <c r="J803" s="14"/>
      <c r="K803" s="14"/>
      <c r="L803" s="14"/>
      <c r="M803" s="14"/>
    </row>
    <row r="804" customFormat="false" ht="15" hidden="false" customHeight="true" outlineLevel="0" collapsed="false">
      <c r="B804" s="7"/>
      <c r="H804" s="12"/>
      <c r="I804" s="11"/>
      <c r="J804" s="12"/>
      <c r="K804" s="12"/>
      <c r="L804" s="12"/>
      <c r="M804" s="12"/>
    </row>
    <row r="805" customFormat="false" ht="15" hidden="false" customHeight="true" outlineLevel="0" collapsed="false">
      <c r="B805" s="7"/>
      <c r="H805" s="14"/>
      <c r="I805" s="11"/>
      <c r="J805" s="14"/>
      <c r="K805" s="14"/>
      <c r="L805" s="14"/>
      <c r="M805" s="14"/>
    </row>
    <row r="806" customFormat="false" ht="15" hidden="false" customHeight="true" outlineLevel="0" collapsed="false">
      <c r="B806" s="7"/>
      <c r="H806" s="12"/>
      <c r="I806" s="11"/>
      <c r="J806" s="12"/>
      <c r="K806" s="12"/>
      <c r="L806" s="12"/>
      <c r="M806" s="12"/>
    </row>
    <row r="807" customFormat="false" ht="15" hidden="false" customHeight="true" outlineLevel="0" collapsed="false">
      <c r="B807" s="7"/>
      <c r="H807" s="14"/>
      <c r="I807" s="11"/>
      <c r="J807" s="14"/>
      <c r="K807" s="14"/>
      <c r="L807" s="14"/>
      <c r="M807" s="14"/>
    </row>
    <row r="808" customFormat="false" ht="15" hidden="false" customHeight="true" outlineLevel="0" collapsed="false">
      <c r="B808" s="7"/>
      <c r="H808" s="12"/>
      <c r="I808" s="11"/>
      <c r="J808" s="12"/>
      <c r="K808" s="12"/>
      <c r="L808" s="12"/>
      <c r="M808" s="12"/>
    </row>
    <row r="809" customFormat="false" ht="15" hidden="false" customHeight="true" outlineLevel="0" collapsed="false">
      <c r="B809" s="7"/>
      <c r="H809" s="14"/>
      <c r="I809" s="11"/>
      <c r="J809" s="14"/>
      <c r="K809" s="14"/>
      <c r="L809" s="14"/>
      <c r="M809" s="14"/>
    </row>
    <row r="810" customFormat="false" ht="15" hidden="false" customHeight="true" outlineLevel="0" collapsed="false">
      <c r="B810" s="7"/>
      <c r="H810" s="12"/>
      <c r="I810" s="11"/>
      <c r="J810" s="12"/>
      <c r="K810" s="12"/>
      <c r="L810" s="12"/>
      <c r="M810" s="12"/>
    </row>
    <row r="811" customFormat="false" ht="15" hidden="false" customHeight="true" outlineLevel="0" collapsed="false">
      <c r="B811" s="7"/>
      <c r="H811" s="14"/>
      <c r="I811" s="11"/>
      <c r="J811" s="14"/>
      <c r="K811" s="14"/>
      <c r="L811" s="14"/>
      <c r="M811" s="14"/>
    </row>
    <row r="812" customFormat="false" ht="15" hidden="false" customHeight="true" outlineLevel="0" collapsed="false">
      <c r="B812" s="7"/>
      <c r="H812" s="12"/>
      <c r="I812" s="11"/>
      <c r="J812" s="12"/>
      <c r="K812" s="12"/>
      <c r="L812" s="12"/>
      <c r="M812" s="12"/>
    </row>
    <row r="813" customFormat="false" ht="15" hidden="false" customHeight="true" outlineLevel="0" collapsed="false">
      <c r="B813" s="7"/>
      <c r="H813" s="14"/>
      <c r="I813" s="11"/>
      <c r="J813" s="14"/>
      <c r="K813" s="14"/>
      <c r="L813" s="14"/>
      <c r="M813" s="14"/>
    </row>
    <row r="814" customFormat="false" ht="15" hidden="false" customHeight="true" outlineLevel="0" collapsed="false">
      <c r="B814" s="7"/>
      <c r="H814" s="12"/>
      <c r="I814" s="11"/>
      <c r="J814" s="12"/>
      <c r="K814" s="12"/>
      <c r="L814" s="12"/>
      <c r="M814" s="12"/>
    </row>
    <row r="815" customFormat="false" ht="15" hidden="false" customHeight="true" outlineLevel="0" collapsed="false">
      <c r="B815" s="7"/>
      <c r="H815" s="14"/>
      <c r="I815" s="11"/>
      <c r="J815" s="14"/>
      <c r="K815" s="14"/>
      <c r="L815" s="14"/>
      <c r="M815" s="14"/>
    </row>
    <row r="816" customFormat="false" ht="15" hidden="false" customHeight="true" outlineLevel="0" collapsed="false">
      <c r="B816" s="7"/>
      <c r="H816" s="12"/>
      <c r="I816" s="11"/>
      <c r="J816" s="12"/>
      <c r="K816" s="12"/>
      <c r="L816" s="12"/>
      <c r="M816" s="12"/>
    </row>
    <row r="817" customFormat="false" ht="15" hidden="false" customHeight="true" outlineLevel="0" collapsed="false">
      <c r="B817" s="7"/>
      <c r="H817" s="14"/>
      <c r="I817" s="11"/>
      <c r="J817" s="14"/>
      <c r="K817" s="14"/>
      <c r="L817" s="14"/>
      <c r="M817" s="14"/>
    </row>
    <row r="818" customFormat="false" ht="15" hidden="false" customHeight="true" outlineLevel="0" collapsed="false">
      <c r="B818" s="7"/>
      <c r="H818" s="12"/>
      <c r="I818" s="11"/>
      <c r="J818" s="12"/>
      <c r="K818" s="12"/>
      <c r="L818" s="12"/>
      <c r="M818" s="12"/>
    </row>
    <row r="819" customFormat="false" ht="15" hidden="false" customHeight="true" outlineLevel="0" collapsed="false">
      <c r="B819" s="7"/>
      <c r="H819" s="14"/>
      <c r="I819" s="11"/>
      <c r="J819" s="14"/>
      <c r="K819" s="14"/>
      <c r="L819" s="14"/>
      <c r="M819" s="14"/>
    </row>
    <row r="820" customFormat="false" ht="15" hidden="false" customHeight="true" outlineLevel="0" collapsed="false">
      <c r="B820" s="7"/>
      <c r="H820" s="12"/>
      <c r="I820" s="11"/>
      <c r="J820" s="12"/>
      <c r="K820" s="12"/>
      <c r="L820" s="12"/>
      <c r="M820" s="12"/>
    </row>
    <row r="821" customFormat="false" ht="15" hidden="false" customHeight="true" outlineLevel="0" collapsed="false">
      <c r="B821" s="7"/>
      <c r="H821" s="14"/>
      <c r="I821" s="11"/>
      <c r="J821" s="14"/>
      <c r="K821" s="14"/>
      <c r="L821" s="14"/>
      <c r="M821" s="14"/>
    </row>
    <row r="822" customFormat="false" ht="15" hidden="false" customHeight="true" outlineLevel="0" collapsed="false">
      <c r="B822" s="7"/>
      <c r="H822" s="12"/>
      <c r="I822" s="11"/>
      <c r="J822" s="12"/>
      <c r="K822" s="12"/>
      <c r="L822" s="12"/>
      <c r="M822" s="12"/>
    </row>
    <row r="823" customFormat="false" ht="15" hidden="false" customHeight="true" outlineLevel="0" collapsed="false">
      <c r="B823" s="7"/>
      <c r="H823" s="14"/>
      <c r="I823" s="11"/>
      <c r="J823" s="14"/>
      <c r="K823" s="14"/>
      <c r="L823" s="14"/>
      <c r="M823" s="14"/>
    </row>
    <row r="824" customFormat="false" ht="15" hidden="false" customHeight="true" outlineLevel="0" collapsed="false">
      <c r="B824" s="7"/>
      <c r="H824" s="12"/>
      <c r="I824" s="11"/>
      <c r="J824" s="12"/>
      <c r="K824" s="12"/>
      <c r="L824" s="12"/>
      <c r="M824" s="12"/>
    </row>
    <row r="825" customFormat="false" ht="15" hidden="false" customHeight="true" outlineLevel="0" collapsed="false">
      <c r="B825" s="7"/>
      <c r="H825" s="14"/>
      <c r="I825" s="11"/>
      <c r="J825" s="14"/>
      <c r="K825" s="14"/>
      <c r="L825" s="14"/>
      <c r="M825" s="14"/>
    </row>
    <row r="826" customFormat="false" ht="15" hidden="false" customHeight="true" outlineLevel="0" collapsed="false">
      <c r="B826" s="7"/>
      <c r="H826" s="12"/>
      <c r="I826" s="11"/>
      <c r="J826" s="12"/>
      <c r="K826" s="12"/>
      <c r="L826" s="12"/>
      <c r="M826" s="12"/>
    </row>
    <row r="827" customFormat="false" ht="15" hidden="false" customHeight="true" outlineLevel="0" collapsed="false">
      <c r="B827" s="7"/>
      <c r="H827" s="14"/>
      <c r="I827" s="11"/>
      <c r="J827" s="14"/>
      <c r="K827" s="14"/>
      <c r="L827" s="14"/>
      <c r="M827" s="14"/>
    </row>
    <row r="828" customFormat="false" ht="15" hidden="false" customHeight="true" outlineLevel="0" collapsed="false">
      <c r="B828" s="7"/>
      <c r="H828" s="12"/>
      <c r="I828" s="11"/>
      <c r="J828" s="12"/>
      <c r="K828" s="12"/>
      <c r="L828" s="12"/>
      <c r="M828" s="12"/>
    </row>
    <row r="829" customFormat="false" ht="15" hidden="false" customHeight="true" outlineLevel="0" collapsed="false">
      <c r="B829" s="7"/>
      <c r="H829" s="14"/>
      <c r="I829" s="11"/>
      <c r="J829" s="14"/>
      <c r="K829" s="14"/>
      <c r="L829" s="14"/>
      <c r="M829" s="14"/>
    </row>
    <row r="830" customFormat="false" ht="15" hidden="false" customHeight="true" outlineLevel="0" collapsed="false">
      <c r="B830" s="7"/>
      <c r="H830" s="12"/>
      <c r="I830" s="11"/>
      <c r="J830" s="12"/>
      <c r="K830" s="12"/>
      <c r="L830" s="12"/>
      <c r="M830" s="12"/>
    </row>
    <row r="831" customFormat="false" ht="15" hidden="false" customHeight="true" outlineLevel="0" collapsed="false">
      <c r="B831" s="7"/>
      <c r="H831" s="14"/>
      <c r="I831" s="11"/>
      <c r="J831" s="14"/>
      <c r="K831" s="14"/>
      <c r="L831" s="14"/>
      <c r="M831" s="14"/>
    </row>
    <row r="832" customFormat="false" ht="15" hidden="false" customHeight="true" outlineLevel="0" collapsed="false">
      <c r="B832" s="7"/>
      <c r="H832" s="12"/>
      <c r="I832" s="11"/>
      <c r="J832" s="12"/>
      <c r="K832" s="12"/>
      <c r="L832" s="12"/>
      <c r="M832" s="12"/>
    </row>
    <row r="833" customFormat="false" ht="15" hidden="false" customHeight="true" outlineLevel="0" collapsed="false">
      <c r="B833" s="7"/>
      <c r="H833" s="14"/>
      <c r="I833" s="11"/>
      <c r="J833" s="14"/>
      <c r="K833" s="14"/>
      <c r="L833" s="14"/>
      <c r="M833" s="14"/>
    </row>
    <row r="834" customFormat="false" ht="15" hidden="false" customHeight="true" outlineLevel="0" collapsed="false">
      <c r="B834" s="7"/>
      <c r="H834" s="12"/>
      <c r="I834" s="11"/>
      <c r="J834" s="12"/>
      <c r="K834" s="12"/>
      <c r="L834" s="12"/>
      <c r="M834" s="12"/>
    </row>
    <row r="835" customFormat="false" ht="15" hidden="false" customHeight="true" outlineLevel="0" collapsed="false">
      <c r="B835" s="7"/>
      <c r="H835" s="14"/>
      <c r="I835" s="11"/>
      <c r="J835" s="14"/>
      <c r="K835" s="14"/>
      <c r="L835" s="14"/>
      <c r="M835" s="14"/>
    </row>
    <row r="836" customFormat="false" ht="15" hidden="false" customHeight="true" outlineLevel="0" collapsed="false">
      <c r="B836" s="7"/>
      <c r="H836" s="12"/>
      <c r="I836" s="11"/>
      <c r="J836" s="12"/>
      <c r="K836" s="12"/>
      <c r="L836" s="12"/>
      <c r="M836" s="12"/>
    </row>
    <row r="837" customFormat="false" ht="15" hidden="false" customHeight="true" outlineLevel="0" collapsed="false">
      <c r="B837" s="7"/>
      <c r="H837" s="14"/>
      <c r="I837" s="11"/>
      <c r="J837" s="14"/>
      <c r="K837" s="14"/>
      <c r="L837" s="14"/>
      <c r="M837" s="14"/>
    </row>
    <row r="838" customFormat="false" ht="15" hidden="false" customHeight="true" outlineLevel="0" collapsed="false">
      <c r="B838" s="7"/>
      <c r="H838" s="12"/>
      <c r="I838" s="11"/>
      <c r="J838" s="12"/>
      <c r="K838" s="12"/>
      <c r="L838" s="12"/>
      <c r="M838" s="12"/>
    </row>
    <row r="839" customFormat="false" ht="15" hidden="false" customHeight="true" outlineLevel="0" collapsed="false">
      <c r="B839" s="7"/>
      <c r="H839" s="14"/>
      <c r="I839" s="11"/>
      <c r="J839" s="14"/>
      <c r="K839" s="14"/>
      <c r="L839" s="14"/>
      <c r="M839" s="14"/>
    </row>
    <row r="840" customFormat="false" ht="15" hidden="false" customHeight="true" outlineLevel="0" collapsed="false">
      <c r="B840" s="7"/>
      <c r="H840" s="12"/>
      <c r="I840" s="11"/>
      <c r="J840" s="12"/>
      <c r="K840" s="12"/>
      <c r="L840" s="12"/>
      <c r="M840" s="12"/>
    </row>
    <row r="841" customFormat="false" ht="15" hidden="false" customHeight="true" outlineLevel="0" collapsed="false">
      <c r="B841" s="7"/>
      <c r="H841" s="14"/>
      <c r="I841" s="11"/>
      <c r="J841" s="14"/>
      <c r="K841" s="14"/>
      <c r="L841" s="14"/>
      <c r="M841" s="14"/>
    </row>
    <row r="842" customFormat="false" ht="15" hidden="false" customHeight="true" outlineLevel="0" collapsed="false">
      <c r="B842" s="7"/>
      <c r="H842" s="12"/>
      <c r="I842" s="11"/>
      <c r="J842" s="12"/>
      <c r="K842" s="12"/>
      <c r="L842" s="12"/>
      <c r="M842" s="12"/>
    </row>
    <row r="843" customFormat="false" ht="15" hidden="false" customHeight="true" outlineLevel="0" collapsed="false">
      <c r="B843" s="7"/>
      <c r="H843" s="14"/>
      <c r="I843" s="11"/>
      <c r="J843" s="14"/>
      <c r="K843" s="14"/>
      <c r="L843" s="14"/>
      <c r="M843" s="14"/>
    </row>
    <row r="844" customFormat="false" ht="15" hidden="false" customHeight="true" outlineLevel="0" collapsed="false">
      <c r="B844" s="7"/>
      <c r="H844" s="12"/>
      <c r="I844" s="11"/>
      <c r="J844" s="12"/>
      <c r="K844" s="12"/>
      <c r="L844" s="12"/>
      <c r="M844" s="12"/>
    </row>
    <row r="845" customFormat="false" ht="15" hidden="false" customHeight="true" outlineLevel="0" collapsed="false">
      <c r="B845" s="7"/>
      <c r="H845" s="14"/>
      <c r="I845" s="11"/>
      <c r="J845" s="14"/>
      <c r="K845" s="14"/>
      <c r="L845" s="14"/>
      <c r="M845" s="14"/>
    </row>
    <row r="846" customFormat="false" ht="15" hidden="false" customHeight="true" outlineLevel="0" collapsed="false">
      <c r="B846" s="7"/>
      <c r="H846" s="12"/>
      <c r="I846" s="11"/>
      <c r="J846" s="12"/>
      <c r="K846" s="12"/>
      <c r="L846" s="12"/>
      <c r="M846" s="12"/>
    </row>
    <row r="847" customFormat="false" ht="15" hidden="false" customHeight="true" outlineLevel="0" collapsed="false">
      <c r="B847" s="7"/>
      <c r="H847" s="14"/>
      <c r="I847" s="11"/>
      <c r="J847" s="14"/>
      <c r="K847" s="14"/>
      <c r="L847" s="14"/>
      <c r="M847" s="14"/>
    </row>
    <row r="848" customFormat="false" ht="15" hidden="false" customHeight="true" outlineLevel="0" collapsed="false">
      <c r="B848" s="7"/>
      <c r="H848" s="12"/>
      <c r="I848" s="11"/>
      <c r="J848" s="12"/>
      <c r="K848" s="12"/>
      <c r="L848" s="12"/>
      <c r="M848" s="12"/>
    </row>
    <row r="849" customFormat="false" ht="15" hidden="false" customHeight="true" outlineLevel="0" collapsed="false">
      <c r="B849" s="7"/>
      <c r="H849" s="14"/>
      <c r="I849" s="11"/>
      <c r="J849" s="14"/>
      <c r="K849" s="14"/>
      <c r="L849" s="14"/>
      <c r="M849" s="14"/>
    </row>
    <row r="850" customFormat="false" ht="15" hidden="false" customHeight="true" outlineLevel="0" collapsed="false">
      <c r="B850" s="7"/>
      <c r="H850" s="12"/>
      <c r="I850" s="11"/>
      <c r="J850" s="12"/>
      <c r="K850" s="12"/>
      <c r="L850" s="12"/>
      <c r="M850" s="12"/>
    </row>
    <row r="851" customFormat="false" ht="15" hidden="false" customHeight="true" outlineLevel="0" collapsed="false">
      <c r="B851" s="7"/>
      <c r="H851" s="14"/>
      <c r="I851" s="11"/>
      <c r="J851" s="14"/>
      <c r="K851" s="14"/>
      <c r="L851" s="14"/>
      <c r="M851" s="14"/>
    </row>
    <row r="852" customFormat="false" ht="15" hidden="false" customHeight="true" outlineLevel="0" collapsed="false">
      <c r="B852" s="7"/>
      <c r="H852" s="12"/>
      <c r="I852" s="11"/>
      <c r="J852" s="12"/>
      <c r="K852" s="12"/>
      <c r="L852" s="12"/>
      <c r="M852" s="12"/>
    </row>
    <row r="853" customFormat="false" ht="15" hidden="false" customHeight="true" outlineLevel="0" collapsed="false">
      <c r="B853" s="7"/>
      <c r="H853" s="14"/>
      <c r="I853" s="11"/>
      <c r="J853" s="14"/>
      <c r="K853" s="14"/>
      <c r="L853" s="14"/>
      <c r="M853" s="14"/>
    </row>
    <row r="854" customFormat="false" ht="15" hidden="false" customHeight="true" outlineLevel="0" collapsed="false">
      <c r="B854" s="7"/>
      <c r="H854" s="12"/>
      <c r="I854" s="11"/>
      <c r="J854" s="12"/>
      <c r="K854" s="12"/>
      <c r="L854" s="12"/>
      <c r="M854" s="12"/>
    </row>
    <row r="855" customFormat="false" ht="15" hidden="false" customHeight="true" outlineLevel="0" collapsed="false">
      <c r="B855" s="7"/>
      <c r="H855" s="14"/>
      <c r="I855" s="11"/>
      <c r="J855" s="14"/>
      <c r="K855" s="14"/>
      <c r="L855" s="14"/>
      <c r="M855" s="14"/>
    </row>
    <row r="856" customFormat="false" ht="15" hidden="false" customHeight="true" outlineLevel="0" collapsed="false">
      <c r="B856" s="7"/>
      <c r="H856" s="12"/>
      <c r="I856" s="11"/>
      <c r="J856" s="12"/>
      <c r="K856" s="12"/>
      <c r="L856" s="12"/>
      <c r="M856" s="12"/>
    </row>
    <row r="857" customFormat="false" ht="15" hidden="false" customHeight="true" outlineLevel="0" collapsed="false">
      <c r="B857" s="7"/>
      <c r="H857" s="14"/>
      <c r="I857" s="11"/>
      <c r="J857" s="14"/>
      <c r="K857" s="14"/>
      <c r="L857" s="14"/>
      <c r="M857" s="14"/>
    </row>
    <row r="858" customFormat="false" ht="15" hidden="false" customHeight="true" outlineLevel="0" collapsed="false">
      <c r="B858" s="7"/>
      <c r="H858" s="12"/>
      <c r="I858" s="11"/>
      <c r="J858" s="12"/>
      <c r="K858" s="12"/>
      <c r="L858" s="12"/>
      <c r="M858" s="12"/>
    </row>
    <row r="859" customFormat="false" ht="15" hidden="false" customHeight="true" outlineLevel="0" collapsed="false">
      <c r="B859" s="7"/>
      <c r="H859" s="14"/>
      <c r="I859" s="11"/>
      <c r="J859" s="14"/>
      <c r="K859" s="14"/>
      <c r="L859" s="14"/>
      <c r="M859" s="14"/>
    </row>
    <row r="860" customFormat="false" ht="15" hidden="false" customHeight="true" outlineLevel="0" collapsed="false">
      <c r="B860" s="7"/>
      <c r="H860" s="12"/>
      <c r="I860" s="11"/>
      <c r="J860" s="12"/>
      <c r="K860" s="12"/>
      <c r="L860" s="12"/>
      <c r="M860" s="12"/>
    </row>
    <row r="861" customFormat="false" ht="15" hidden="false" customHeight="true" outlineLevel="0" collapsed="false">
      <c r="B861" s="7"/>
      <c r="H861" s="14"/>
      <c r="I861" s="11"/>
      <c r="J861" s="14"/>
      <c r="K861" s="14"/>
      <c r="L861" s="14"/>
      <c r="M861" s="14"/>
    </row>
    <row r="862" customFormat="false" ht="15" hidden="false" customHeight="true" outlineLevel="0" collapsed="false">
      <c r="B862" s="7"/>
      <c r="H862" s="12"/>
      <c r="I862" s="11"/>
      <c r="J862" s="12"/>
      <c r="K862" s="12"/>
      <c r="L862" s="12"/>
      <c r="M862" s="12"/>
    </row>
    <row r="863" customFormat="false" ht="15" hidden="false" customHeight="true" outlineLevel="0" collapsed="false">
      <c r="B863" s="7"/>
      <c r="H863" s="14"/>
      <c r="I863" s="11"/>
      <c r="J863" s="14"/>
      <c r="K863" s="14"/>
      <c r="L863" s="14"/>
      <c r="M863" s="14"/>
    </row>
    <row r="864" customFormat="false" ht="15" hidden="false" customHeight="true" outlineLevel="0" collapsed="false">
      <c r="B864" s="7"/>
      <c r="H864" s="12"/>
      <c r="I864" s="11"/>
      <c r="J864" s="12"/>
      <c r="K864" s="12"/>
      <c r="L864" s="12"/>
      <c r="M864" s="12"/>
    </row>
    <row r="865" customFormat="false" ht="15" hidden="false" customHeight="true" outlineLevel="0" collapsed="false">
      <c r="B865" s="7"/>
      <c r="H865" s="14"/>
      <c r="I865" s="11"/>
      <c r="J865" s="14"/>
      <c r="K865" s="14"/>
      <c r="L865" s="14"/>
      <c r="M865" s="14"/>
    </row>
    <row r="866" customFormat="false" ht="15" hidden="false" customHeight="true" outlineLevel="0" collapsed="false">
      <c r="B866" s="7"/>
      <c r="H866" s="12"/>
      <c r="I866" s="11"/>
      <c r="J866" s="12"/>
      <c r="K866" s="12"/>
      <c r="L866" s="12"/>
      <c r="M866" s="12"/>
    </row>
    <row r="867" customFormat="false" ht="15" hidden="false" customHeight="true" outlineLevel="0" collapsed="false">
      <c r="B867" s="7"/>
      <c r="H867" s="14"/>
      <c r="I867" s="11"/>
      <c r="J867" s="14"/>
      <c r="K867" s="14"/>
      <c r="L867" s="14"/>
      <c r="M867" s="14"/>
    </row>
    <row r="868" customFormat="false" ht="15" hidden="false" customHeight="true" outlineLevel="0" collapsed="false">
      <c r="B868" s="7"/>
      <c r="H868" s="12"/>
      <c r="I868" s="11"/>
      <c r="J868" s="12"/>
      <c r="K868" s="12"/>
      <c r="L868" s="12"/>
      <c r="M868" s="12"/>
    </row>
    <row r="869" customFormat="false" ht="15" hidden="false" customHeight="true" outlineLevel="0" collapsed="false">
      <c r="B869" s="7"/>
      <c r="H869" s="14"/>
      <c r="I869" s="11"/>
      <c r="J869" s="14"/>
      <c r="K869" s="14"/>
      <c r="L869" s="14"/>
      <c r="M869" s="14"/>
    </row>
    <row r="870" customFormat="false" ht="15" hidden="false" customHeight="true" outlineLevel="0" collapsed="false">
      <c r="B870" s="7"/>
      <c r="H870" s="12"/>
      <c r="I870" s="11"/>
      <c r="J870" s="12"/>
      <c r="K870" s="12"/>
      <c r="L870" s="12"/>
      <c r="M870" s="12"/>
    </row>
    <row r="871" customFormat="false" ht="15" hidden="false" customHeight="true" outlineLevel="0" collapsed="false">
      <c r="B871" s="7"/>
      <c r="H871" s="14"/>
      <c r="I871" s="11"/>
      <c r="J871" s="14"/>
      <c r="K871" s="14"/>
      <c r="L871" s="14"/>
      <c r="M871" s="14"/>
    </row>
    <row r="872" customFormat="false" ht="15" hidden="false" customHeight="true" outlineLevel="0" collapsed="false">
      <c r="B872" s="7"/>
      <c r="H872" s="12"/>
      <c r="I872" s="11"/>
      <c r="J872" s="12"/>
      <c r="K872" s="12"/>
      <c r="L872" s="12"/>
      <c r="M872" s="12"/>
    </row>
    <row r="873" customFormat="false" ht="15" hidden="false" customHeight="true" outlineLevel="0" collapsed="false">
      <c r="B873" s="7"/>
      <c r="H873" s="14"/>
      <c r="I873" s="11"/>
      <c r="J873" s="14"/>
      <c r="K873" s="14"/>
      <c r="L873" s="14"/>
      <c r="M873" s="14"/>
    </row>
    <row r="874" customFormat="false" ht="15" hidden="false" customHeight="true" outlineLevel="0" collapsed="false">
      <c r="B874" s="7"/>
      <c r="H874" s="12"/>
      <c r="I874" s="11"/>
      <c r="J874" s="12"/>
      <c r="K874" s="12"/>
      <c r="L874" s="12"/>
      <c r="M874" s="12"/>
    </row>
    <row r="875" customFormat="false" ht="15" hidden="false" customHeight="true" outlineLevel="0" collapsed="false">
      <c r="B875" s="7"/>
      <c r="H875" s="14"/>
      <c r="I875" s="11"/>
      <c r="J875" s="14"/>
      <c r="K875" s="14"/>
      <c r="L875" s="14"/>
      <c r="M875" s="14"/>
    </row>
    <row r="876" customFormat="false" ht="15" hidden="false" customHeight="true" outlineLevel="0" collapsed="false">
      <c r="B876" s="7"/>
      <c r="H876" s="12"/>
      <c r="I876" s="11"/>
      <c r="J876" s="12"/>
      <c r="K876" s="12"/>
      <c r="L876" s="12"/>
      <c r="M876" s="12"/>
    </row>
    <row r="877" customFormat="false" ht="15" hidden="false" customHeight="true" outlineLevel="0" collapsed="false">
      <c r="B877" s="7"/>
      <c r="H877" s="14"/>
      <c r="I877" s="11"/>
      <c r="J877" s="14"/>
      <c r="K877" s="14"/>
      <c r="L877" s="14"/>
      <c r="M877" s="14"/>
    </row>
    <row r="878" customFormat="false" ht="15" hidden="false" customHeight="true" outlineLevel="0" collapsed="false">
      <c r="B878" s="7"/>
      <c r="H878" s="12"/>
      <c r="I878" s="11"/>
      <c r="J878" s="12"/>
      <c r="K878" s="12"/>
      <c r="L878" s="12"/>
      <c r="M878" s="12"/>
    </row>
    <row r="879" customFormat="false" ht="15" hidden="false" customHeight="true" outlineLevel="0" collapsed="false">
      <c r="B879" s="7"/>
      <c r="H879" s="14"/>
      <c r="I879" s="11"/>
      <c r="J879" s="14"/>
      <c r="K879" s="14"/>
      <c r="L879" s="14"/>
      <c r="M879" s="14"/>
    </row>
    <row r="880" customFormat="false" ht="15" hidden="false" customHeight="true" outlineLevel="0" collapsed="false">
      <c r="B880" s="7"/>
      <c r="H880" s="12"/>
      <c r="I880" s="11"/>
      <c r="J880" s="12"/>
      <c r="K880" s="12"/>
      <c r="L880" s="12"/>
      <c r="M880" s="12"/>
    </row>
    <row r="881" customFormat="false" ht="15" hidden="false" customHeight="true" outlineLevel="0" collapsed="false">
      <c r="B881" s="7"/>
      <c r="H881" s="14"/>
      <c r="I881" s="11"/>
      <c r="J881" s="14"/>
      <c r="K881" s="14"/>
      <c r="L881" s="14"/>
      <c r="M881" s="14"/>
    </row>
    <row r="882" customFormat="false" ht="15" hidden="false" customHeight="true" outlineLevel="0" collapsed="false">
      <c r="B882" s="7"/>
      <c r="H882" s="12"/>
      <c r="I882" s="11"/>
      <c r="J882" s="12"/>
      <c r="K882" s="12"/>
      <c r="L882" s="12"/>
      <c r="M882" s="12"/>
    </row>
    <row r="883" customFormat="false" ht="15" hidden="false" customHeight="true" outlineLevel="0" collapsed="false">
      <c r="B883" s="7"/>
      <c r="H883" s="14"/>
      <c r="I883" s="11"/>
      <c r="J883" s="14"/>
      <c r="K883" s="14"/>
      <c r="L883" s="14"/>
      <c r="M883" s="14"/>
    </row>
    <row r="884" customFormat="false" ht="15" hidden="false" customHeight="true" outlineLevel="0" collapsed="false">
      <c r="B884" s="7"/>
      <c r="H884" s="12"/>
      <c r="I884" s="11"/>
      <c r="J884" s="12"/>
      <c r="K884" s="12"/>
      <c r="L884" s="12"/>
      <c r="M884" s="12"/>
    </row>
    <row r="885" customFormat="false" ht="15" hidden="false" customHeight="true" outlineLevel="0" collapsed="false">
      <c r="B885" s="7"/>
      <c r="H885" s="14"/>
      <c r="I885" s="11"/>
      <c r="J885" s="14"/>
      <c r="K885" s="14"/>
      <c r="L885" s="14"/>
      <c r="M885" s="14"/>
    </row>
    <row r="886" customFormat="false" ht="15" hidden="false" customHeight="true" outlineLevel="0" collapsed="false">
      <c r="B886" s="7"/>
      <c r="H886" s="12"/>
      <c r="I886" s="11"/>
      <c r="J886" s="12"/>
      <c r="K886" s="12"/>
      <c r="L886" s="12"/>
      <c r="M886" s="12"/>
    </row>
    <row r="887" customFormat="false" ht="15" hidden="false" customHeight="true" outlineLevel="0" collapsed="false">
      <c r="B887" s="7"/>
      <c r="H887" s="14"/>
      <c r="I887" s="11"/>
      <c r="J887" s="14"/>
      <c r="K887" s="14"/>
      <c r="L887" s="14"/>
      <c r="M887" s="14"/>
    </row>
    <row r="888" customFormat="false" ht="15" hidden="false" customHeight="true" outlineLevel="0" collapsed="false">
      <c r="B888" s="7"/>
      <c r="H888" s="12"/>
      <c r="I888" s="11"/>
      <c r="J888" s="12"/>
      <c r="K888" s="12"/>
      <c r="L888" s="12"/>
      <c r="M888" s="12"/>
    </row>
    <row r="889" customFormat="false" ht="15" hidden="false" customHeight="true" outlineLevel="0" collapsed="false">
      <c r="B889" s="7"/>
      <c r="H889" s="14"/>
      <c r="I889" s="11"/>
      <c r="J889" s="14"/>
      <c r="K889" s="14"/>
      <c r="L889" s="14"/>
      <c r="M889" s="14"/>
    </row>
    <row r="890" customFormat="false" ht="15" hidden="false" customHeight="true" outlineLevel="0" collapsed="false">
      <c r="B890" s="7"/>
      <c r="H890" s="12"/>
      <c r="I890" s="11"/>
      <c r="J890" s="12"/>
      <c r="K890" s="12"/>
      <c r="L890" s="12"/>
      <c r="M890" s="12"/>
    </row>
    <row r="891" customFormat="false" ht="15" hidden="false" customHeight="true" outlineLevel="0" collapsed="false">
      <c r="B891" s="7"/>
      <c r="H891" s="14"/>
      <c r="I891" s="11"/>
      <c r="J891" s="14"/>
      <c r="K891" s="14"/>
      <c r="L891" s="14"/>
      <c r="M891" s="14"/>
    </row>
    <row r="892" customFormat="false" ht="15" hidden="false" customHeight="true" outlineLevel="0" collapsed="false">
      <c r="B892" s="7"/>
      <c r="H892" s="12"/>
      <c r="I892" s="11"/>
      <c r="J892" s="12"/>
      <c r="K892" s="12"/>
      <c r="L892" s="12"/>
      <c r="M892" s="12"/>
    </row>
    <row r="893" customFormat="false" ht="15" hidden="false" customHeight="true" outlineLevel="0" collapsed="false">
      <c r="B893" s="7"/>
      <c r="H893" s="14"/>
      <c r="I893" s="11"/>
      <c r="J893" s="14"/>
      <c r="K893" s="14"/>
      <c r="L893" s="14"/>
      <c r="M893" s="14"/>
    </row>
    <row r="894" customFormat="false" ht="15" hidden="false" customHeight="true" outlineLevel="0" collapsed="false">
      <c r="B894" s="7"/>
      <c r="H894" s="12"/>
      <c r="I894" s="11"/>
      <c r="J894" s="12"/>
      <c r="K894" s="12"/>
      <c r="L894" s="12"/>
      <c r="M894" s="12"/>
    </row>
    <row r="895" customFormat="false" ht="15" hidden="false" customHeight="true" outlineLevel="0" collapsed="false">
      <c r="B895" s="7"/>
      <c r="H895" s="14"/>
      <c r="I895" s="11"/>
      <c r="J895" s="14"/>
      <c r="K895" s="14"/>
      <c r="L895" s="14"/>
      <c r="M895" s="14"/>
    </row>
    <row r="896" customFormat="false" ht="15" hidden="false" customHeight="true" outlineLevel="0" collapsed="false">
      <c r="B896" s="7"/>
      <c r="H896" s="12"/>
      <c r="I896" s="11"/>
      <c r="J896" s="12"/>
      <c r="K896" s="12"/>
      <c r="L896" s="12"/>
      <c r="M896" s="12"/>
    </row>
    <row r="897" customFormat="false" ht="15" hidden="false" customHeight="true" outlineLevel="0" collapsed="false">
      <c r="B897" s="7"/>
      <c r="H897" s="14"/>
      <c r="I897" s="11"/>
      <c r="J897" s="14"/>
      <c r="K897" s="14"/>
      <c r="L897" s="14"/>
      <c r="M897" s="14"/>
    </row>
    <row r="898" customFormat="false" ht="15" hidden="false" customHeight="true" outlineLevel="0" collapsed="false">
      <c r="B898" s="7"/>
      <c r="H898" s="12"/>
      <c r="I898" s="11"/>
      <c r="J898" s="12"/>
      <c r="K898" s="12"/>
      <c r="L898" s="12"/>
      <c r="M898" s="12"/>
    </row>
    <row r="899" customFormat="false" ht="15" hidden="false" customHeight="true" outlineLevel="0" collapsed="false">
      <c r="B899" s="7"/>
      <c r="H899" s="14"/>
      <c r="I899" s="11"/>
      <c r="J899" s="14"/>
      <c r="K899" s="14"/>
      <c r="L899" s="14"/>
      <c r="M899" s="14"/>
    </row>
    <row r="900" customFormat="false" ht="15" hidden="false" customHeight="true" outlineLevel="0" collapsed="false">
      <c r="B900" s="7"/>
      <c r="H900" s="12"/>
      <c r="I900" s="11"/>
      <c r="J900" s="12"/>
      <c r="K900" s="12"/>
      <c r="L900" s="12"/>
      <c r="M900" s="12"/>
    </row>
    <row r="901" customFormat="false" ht="15" hidden="false" customHeight="true" outlineLevel="0" collapsed="false">
      <c r="B901" s="7"/>
      <c r="H901" s="14"/>
      <c r="I901" s="11"/>
      <c r="J901" s="14"/>
      <c r="K901" s="14"/>
      <c r="L901" s="14"/>
      <c r="M901" s="14"/>
    </row>
    <row r="902" customFormat="false" ht="15" hidden="false" customHeight="true" outlineLevel="0" collapsed="false">
      <c r="B902" s="7"/>
      <c r="H902" s="12"/>
      <c r="I902" s="11"/>
      <c r="J902" s="12"/>
      <c r="K902" s="12"/>
      <c r="L902" s="12"/>
      <c r="M902" s="12"/>
    </row>
    <row r="903" customFormat="false" ht="15" hidden="false" customHeight="true" outlineLevel="0" collapsed="false">
      <c r="B903" s="7"/>
      <c r="H903" s="14"/>
      <c r="I903" s="11"/>
      <c r="J903" s="14"/>
      <c r="K903" s="14"/>
      <c r="L903" s="14"/>
      <c r="M903" s="14"/>
    </row>
    <row r="904" customFormat="false" ht="15" hidden="false" customHeight="true" outlineLevel="0" collapsed="false">
      <c r="B904" s="7"/>
      <c r="H904" s="12"/>
      <c r="I904" s="11"/>
      <c r="J904" s="12"/>
      <c r="K904" s="12"/>
      <c r="L904" s="12"/>
      <c r="M904" s="12"/>
    </row>
    <row r="905" customFormat="false" ht="15" hidden="false" customHeight="true" outlineLevel="0" collapsed="false">
      <c r="B905" s="7"/>
      <c r="H905" s="14"/>
      <c r="I905" s="11"/>
      <c r="J905" s="14"/>
      <c r="K905" s="14"/>
      <c r="L905" s="14"/>
      <c r="M905" s="14"/>
    </row>
    <row r="906" customFormat="false" ht="15" hidden="false" customHeight="true" outlineLevel="0" collapsed="false">
      <c r="B906" s="7"/>
      <c r="H906" s="12"/>
      <c r="I906" s="11"/>
      <c r="J906" s="12"/>
      <c r="K906" s="12"/>
      <c r="L906" s="12"/>
      <c r="M906" s="12"/>
    </row>
    <row r="907" customFormat="false" ht="15" hidden="false" customHeight="true" outlineLevel="0" collapsed="false">
      <c r="B907" s="7"/>
      <c r="H907" s="14"/>
      <c r="I907" s="11"/>
      <c r="J907" s="14"/>
      <c r="K907" s="14"/>
      <c r="L907" s="14"/>
      <c r="M907" s="14"/>
    </row>
    <row r="908" customFormat="false" ht="15" hidden="false" customHeight="true" outlineLevel="0" collapsed="false">
      <c r="B908" s="7"/>
      <c r="H908" s="12"/>
      <c r="I908" s="11"/>
      <c r="J908" s="12"/>
      <c r="K908" s="12"/>
      <c r="L908" s="12"/>
      <c r="M908" s="12"/>
    </row>
    <row r="909" customFormat="false" ht="15" hidden="false" customHeight="true" outlineLevel="0" collapsed="false">
      <c r="B909" s="7"/>
      <c r="H909" s="14"/>
      <c r="I909" s="11"/>
      <c r="J909" s="14"/>
      <c r="K909" s="14"/>
      <c r="L909" s="14"/>
      <c r="M909" s="14"/>
    </row>
    <row r="910" customFormat="false" ht="15" hidden="false" customHeight="true" outlineLevel="0" collapsed="false">
      <c r="B910" s="7"/>
      <c r="H910" s="12"/>
      <c r="I910" s="11"/>
      <c r="J910" s="12"/>
      <c r="K910" s="12"/>
      <c r="L910" s="12"/>
      <c r="M910" s="12"/>
    </row>
    <row r="911" customFormat="false" ht="15" hidden="false" customHeight="true" outlineLevel="0" collapsed="false">
      <c r="B911" s="7"/>
      <c r="H911" s="14"/>
      <c r="I911" s="11"/>
      <c r="J911" s="14"/>
      <c r="K911" s="14"/>
      <c r="L911" s="14"/>
      <c r="M911" s="14"/>
    </row>
    <row r="912" customFormat="false" ht="15" hidden="false" customHeight="true" outlineLevel="0" collapsed="false">
      <c r="B912" s="7"/>
      <c r="H912" s="12"/>
      <c r="I912" s="11"/>
      <c r="J912" s="12"/>
      <c r="K912" s="12"/>
      <c r="L912" s="12"/>
      <c r="M912" s="12"/>
    </row>
    <row r="913" customFormat="false" ht="15" hidden="false" customHeight="true" outlineLevel="0" collapsed="false">
      <c r="B913" s="7"/>
      <c r="H913" s="14"/>
      <c r="I913" s="11"/>
      <c r="J913" s="14"/>
      <c r="K913" s="14"/>
      <c r="L913" s="14"/>
      <c r="M913" s="14"/>
    </row>
    <row r="914" customFormat="false" ht="15" hidden="false" customHeight="true" outlineLevel="0" collapsed="false">
      <c r="B914" s="7"/>
      <c r="H914" s="12"/>
      <c r="I914" s="11"/>
      <c r="J914" s="12"/>
      <c r="K914" s="12"/>
      <c r="L914" s="12"/>
      <c r="M914" s="12"/>
    </row>
    <row r="915" customFormat="false" ht="15" hidden="false" customHeight="true" outlineLevel="0" collapsed="false">
      <c r="B915" s="7"/>
      <c r="H915" s="14"/>
      <c r="I915" s="11"/>
      <c r="J915" s="14"/>
      <c r="K915" s="14"/>
      <c r="L915" s="14"/>
      <c r="M915" s="14"/>
    </row>
    <row r="916" customFormat="false" ht="15" hidden="false" customHeight="true" outlineLevel="0" collapsed="false">
      <c r="B916" s="7"/>
      <c r="H916" s="12"/>
      <c r="I916" s="11"/>
      <c r="J916" s="12"/>
      <c r="K916" s="12"/>
      <c r="L916" s="12"/>
      <c r="M916" s="12"/>
    </row>
    <row r="917" customFormat="false" ht="15" hidden="false" customHeight="true" outlineLevel="0" collapsed="false">
      <c r="B917" s="7"/>
      <c r="H917" s="14"/>
      <c r="I917" s="11"/>
      <c r="J917" s="14"/>
      <c r="K917" s="14"/>
      <c r="L917" s="14"/>
      <c r="M917" s="14"/>
    </row>
    <row r="918" customFormat="false" ht="15" hidden="false" customHeight="true" outlineLevel="0" collapsed="false">
      <c r="B918" s="7"/>
      <c r="H918" s="12"/>
      <c r="I918" s="11"/>
      <c r="J918" s="12"/>
      <c r="K918" s="12"/>
      <c r="L918" s="12"/>
      <c r="M918" s="12"/>
    </row>
    <row r="919" customFormat="false" ht="15" hidden="false" customHeight="true" outlineLevel="0" collapsed="false">
      <c r="B919" s="7"/>
      <c r="H919" s="14"/>
      <c r="I919" s="11"/>
      <c r="J919" s="14"/>
      <c r="K919" s="14"/>
      <c r="L919" s="14"/>
      <c r="M919" s="14"/>
    </row>
    <row r="920" customFormat="false" ht="15" hidden="false" customHeight="true" outlineLevel="0" collapsed="false">
      <c r="B920" s="7"/>
      <c r="H920" s="12"/>
      <c r="I920" s="11"/>
      <c r="J920" s="12"/>
      <c r="K920" s="12"/>
      <c r="L920" s="12"/>
      <c r="M920" s="12"/>
    </row>
    <row r="921" customFormat="false" ht="15" hidden="false" customHeight="true" outlineLevel="0" collapsed="false">
      <c r="B921" s="7"/>
      <c r="H921" s="14"/>
      <c r="I921" s="11"/>
      <c r="J921" s="14"/>
      <c r="K921" s="14"/>
      <c r="L921" s="14"/>
      <c r="M921" s="14"/>
    </row>
    <row r="922" customFormat="false" ht="15" hidden="false" customHeight="true" outlineLevel="0" collapsed="false">
      <c r="B922" s="7"/>
      <c r="H922" s="12"/>
      <c r="I922" s="11"/>
      <c r="J922" s="12"/>
      <c r="K922" s="12"/>
      <c r="L922" s="12"/>
      <c r="M922" s="12"/>
    </row>
    <row r="923" customFormat="false" ht="15" hidden="false" customHeight="true" outlineLevel="0" collapsed="false">
      <c r="B923" s="7"/>
      <c r="H923" s="14"/>
      <c r="I923" s="11"/>
      <c r="J923" s="14"/>
      <c r="K923" s="14"/>
      <c r="L923" s="14"/>
      <c r="M923" s="14"/>
    </row>
    <row r="924" customFormat="false" ht="15" hidden="false" customHeight="true" outlineLevel="0" collapsed="false">
      <c r="B924" s="7"/>
      <c r="H924" s="12"/>
      <c r="I924" s="11"/>
      <c r="J924" s="12"/>
      <c r="K924" s="12"/>
      <c r="L924" s="12"/>
      <c r="M924" s="12"/>
    </row>
    <row r="925" customFormat="false" ht="15" hidden="false" customHeight="true" outlineLevel="0" collapsed="false">
      <c r="B925" s="7"/>
      <c r="H925" s="14"/>
      <c r="I925" s="11"/>
      <c r="J925" s="14"/>
      <c r="K925" s="14"/>
      <c r="L925" s="14"/>
      <c r="M925" s="14"/>
    </row>
    <row r="926" customFormat="false" ht="15" hidden="false" customHeight="true" outlineLevel="0" collapsed="false">
      <c r="B926" s="7"/>
      <c r="H926" s="12"/>
      <c r="I926" s="11"/>
      <c r="J926" s="12"/>
      <c r="K926" s="12"/>
      <c r="L926" s="12"/>
      <c r="M926" s="12"/>
    </row>
    <row r="927" customFormat="false" ht="15" hidden="false" customHeight="true" outlineLevel="0" collapsed="false">
      <c r="B927" s="7"/>
      <c r="H927" s="14"/>
      <c r="I927" s="11"/>
      <c r="J927" s="14"/>
      <c r="K927" s="14"/>
      <c r="L927" s="14"/>
      <c r="M927" s="14"/>
    </row>
    <row r="928" customFormat="false" ht="15" hidden="false" customHeight="true" outlineLevel="0" collapsed="false">
      <c r="B928" s="7"/>
      <c r="H928" s="12"/>
      <c r="I928" s="11"/>
      <c r="J928" s="12"/>
      <c r="K928" s="12"/>
      <c r="L928" s="12"/>
      <c r="M928" s="12"/>
    </row>
    <row r="929" customFormat="false" ht="15" hidden="false" customHeight="true" outlineLevel="0" collapsed="false">
      <c r="B929" s="7"/>
      <c r="H929" s="14"/>
      <c r="I929" s="11"/>
      <c r="J929" s="14"/>
      <c r="K929" s="14"/>
      <c r="L929" s="14"/>
      <c r="M929" s="14"/>
    </row>
    <row r="930" customFormat="false" ht="15" hidden="false" customHeight="true" outlineLevel="0" collapsed="false">
      <c r="B930" s="7"/>
      <c r="H930" s="12"/>
      <c r="I930" s="11"/>
      <c r="J930" s="12"/>
      <c r="K930" s="12"/>
      <c r="L930" s="12"/>
      <c r="M930" s="12"/>
    </row>
    <row r="931" customFormat="false" ht="15" hidden="false" customHeight="true" outlineLevel="0" collapsed="false">
      <c r="B931" s="7"/>
      <c r="H931" s="14"/>
      <c r="I931" s="11"/>
      <c r="J931" s="14"/>
      <c r="K931" s="14"/>
      <c r="L931" s="14"/>
      <c r="M931" s="14"/>
    </row>
    <row r="932" customFormat="false" ht="15" hidden="false" customHeight="true" outlineLevel="0" collapsed="false">
      <c r="B932" s="7"/>
      <c r="H932" s="12"/>
      <c r="I932" s="11"/>
      <c r="J932" s="12"/>
      <c r="K932" s="12"/>
      <c r="L932" s="12"/>
      <c r="M932" s="12"/>
    </row>
    <row r="933" customFormat="false" ht="15" hidden="false" customHeight="true" outlineLevel="0" collapsed="false">
      <c r="B933" s="7"/>
      <c r="H933" s="14"/>
      <c r="I933" s="11"/>
      <c r="J933" s="14"/>
      <c r="K933" s="14"/>
      <c r="L933" s="14"/>
      <c r="M933" s="14"/>
    </row>
    <row r="934" customFormat="false" ht="15" hidden="false" customHeight="true" outlineLevel="0" collapsed="false">
      <c r="B934" s="7"/>
      <c r="H934" s="12"/>
      <c r="I934" s="11"/>
      <c r="J934" s="12"/>
      <c r="K934" s="12"/>
      <c r="L934" s="12"/>
      <c r="M934" s="12"/>
    </row>
    <row r="935" customFormat="false" ht="15" hidden="false" customHeight="true" outlineLevel="0" collapsed="false">
      <c r="B935" s="7"/>
      <c r="H935" s="14"/>
      <c r="I935" s="11"/>
      <c r="J935" s="14"/>
      <c r="K935" s="14"/>
      <c r="L935" s="14"/>
      <c r="M935" s="14"/>
    </row>
    <row r="936" customFormat="false" ht="15" hidden="false" customHeight="true" outlineLevel="0" collapsed="false">
      <c r="B936" s="7"/>
      <c r="H936" s="12"/>
      <c r="I936" s="11"/>
      <c r="J936" s="12"/>
      <c r="K936" s="12"/>
      <c r="L936" s="12"/>
      <c r="M936" s="12"/>
    </row>
    <row r="937" customFormat="false" ht="15" hidden="false" customHeight="true" outlineLevel="0" collapsed="false">
      <c r="B937" s="7"/>
      <c r="H937" s="14"/>
      <c r="I937" s="11"/>
      <c r="J937" s="14"/>
      <c r="K937" s="14"/>
      <c r="L937" s="14"/>
      <c r="M937" s="14"/>
    </row>
    <row r="938" customFormat="false" ht="15" hidden="false" customHeight="true" outlineLevel="0" collapsed="false">
      <c r="B938" s="7"/>
      <c r="H938" s="12"/>
      <c r="I938" s="11"/>
      <c r="J938" s="12"/>
      <c r="K938" s="12"/>
      <c r="L938" s="12"/>
      <c r="M938" s="12"/>
    </row>
    <row r="939" customFormat="false" ht="15" hidden="false" customHeight="true" outlineLevel="0" collapsed="false">
      <c r="B939" s="7"/>
      <c r="H939" s="14"/>
      <c r="I939" s="11"/>
      <c r="J939" s="14"/>
      <c r="K939" s="14"/>
      <c r="L939" s="14"/>
      <c r="M939" s="14"/>
    </row>
    <row r="940" customFormat="false" ht="15" hidden="false" customHeight="true" outlineLevel="0" collapsed="false">
      <c r="B940" s="7"/>
      <c r="H940" s="12"/>
      <c r="I940" s="11"/>
      <c r="J940" s="12"/>
      <c r="K940" s="12"/>
      <c r="L940" s="12"/>
      <c r="M940" s="12"/>
    </row>
    <row r="941" customFormat="false" ht="15" hidden="false" customHeight="true" outlineLevel="0" collapsed="false">
      <c r="B941" s="7"/>
      <c r="H941" s="14"/>
      <c r="I941" s="11"/>
      <c r="J941" s="14"/>
      <c r="K941" s="14"/>
      <c r="L941" s="14"/>
      <c r="M941" s="14"/>
    </row>
    <row r="942" customFormat="false" ht="15" hidden="false" customHeight="true" outlineLevel="0" collapsed="false">
      <c r="B942" s="7"/>
      <c r="H942" s="12"/>
      <c r="I942" s="11"/>
      <c r="J942" s="12"/>
      <c r="K942" s="12"/>
      <c r="L942" s="12"/>
      <c r="M942" s="12"/>
    </row>
    <row r="943" customFormat="false" ht="15" hidden="false" customHeight="true" outlineLevel="0" collapsed="false">
      <c r="B943" s="7"/>
      <c r="H943" s="14"/>
      <c r="I943" s="11"/>
      <c r="J943" s="14"/>
      <c r="K943" s="14"/>
      <c r="L943" s="14"/>
      <c r="M943" s="14"/>
    </row>
    <row r="944" customFormat="false" ht="15" hidden="false" customHeight="true" outlineLevel="0" collapsed="false">
      <c r="B944" s="7"/>
      <c r="H944" s="12"/>
      <c r="I944" s="11"/>
      <c r="J944" s="12"/>
      <c r="K944" s="12"/>
      <c r="L944" s="12"/>
      <c r="M944" s="12"/>
    </row>
    <row r="945" customFormat="false" ht="15" hidden="false" customHeight="true" outlineLevel="0" collapsed="false">
      <c r="B945" s="7"/>
      <c r="H945" s="14"/>
      <c r="I945" s="11"/>
      <c r="J945" s="14"/>
      <c r="K945" s="14"/>
      <c r="L945" s="14"/>
      <c r="M945" s="14"/>
    </row>
    <row r="946" customFormat="false" ht="15" hidden="false" customHeight="true" outlineLevel="0" collapsed="false">
      <c r="B946" s="7"/>
      <c r="H946" s="12"/>
      <c r="I946" s="11"/>
      <c r="J946" s="12"/>
      <c r="K946" s="12"/>
      <c r="L946" s="12"/>
      <c r="M946" s="12"/>
    </row>
    <row r="947" customFormat="false" ht="15" hidden="false" customHeight="true" outlineLevel="0" collapsed="false">
      <c r="B947" s="7"/>
      <c r="H947" s="14"/>
      <c r="I947" s="11"/>
      <c r="J947" s="14"/>
      <c r="K947" s="14"/>
      <c r="L947" s="14"/>
      <c r="M947" s="14"/>
    </row>
    <row r="948" customFormat="false" ht="15" hidden="false" customHeight="true" outlineLevel="0" collapsed="false">
      <c r="B948" s="7"/>
      <c r="H948" s="12"/>
      <c r="I948" s="11"/>
      <c r="J948" s="12"/>
      <c r="K948" s="12"/>
      <c r="L948" s="12"/>
      <c r="M948" s="12"/>
    </row>
    <row r="949" customFormat="false" ht="15" hidden="false" customHeight="true" outlineLevel="0" collapsed="false">
      <c r="B949" s="7"/>
      <c r="H949" s="14"/>
      <c r="I949" s="11"/>
      <c r="J949" s="14"/>
      <c r="K949" s="14"/>
      <c r="L949" s="14"/>
      <c r="M949" s="14"/>
    </row>
    <row r="950" customFormat="false" ht="15" hidden="false" customHeight="true" outlineLevel="0" collapsed="false">
      <c r="B950" s="7"/>
      <c r="H950" s="12"/>
      <c r="I950" s="11"/>
      <c r="J950" s="12"/>
      <c r="K950" s="12"/>
      <c r="L950" s="12"/>
      <c r="M950" s="12"/>
    </row>
    <row r="951" customFormat="false" ht="15" hidden="false" customHeight="true" outlineLevel="0" collapsed="false">
      <c r="B951" s="7"/>
      <c r="H951" s="14"/>
      <c r="I951" s="11"/>
      <c r="J951" s="14"/>
      <c r="K951" s="14"/>
      <c r="L951" s="14"/>
      <c r="M951" s="14"/>
    </row>
    <row r="952" customFormat="false" ht="15" hidden="false" customHeight="true" outlineLevel="0" collapsed="false">
      <c r="B952" s="7"/>
      <c r="H952" s="12"/>
      <c r="I952" s="11"/>
      <c r="J952" s="12"/>
      <c r="K952" s="12"/>
      <c r="L952" s="12"/>
      <c r="M952" s="12"/>
    </row>
    <row r="953" customFormat="false" ht="15" hidden="false" customHeight="true" outlineLevel="0" collapsed="false">
      <c r="B953" s="7"/>
      <c r="H953" s="14"/>
      <c r="I953" s="11"/>
      <c r="J953" s="14"/>
      <c r="K953" s="14"/>
      <c r="L953" s="14"/>
      <c r="M953" s="14"/>
    </row>
    <row r="954" customFormat="false" ht="15" hidden="false" customHeight="true" outlineLevel="0" collapsed="false">
      <c r="B954" s="7"/>
      <c r="H954" s="12"/>
      <c r="I954" s="11"/>
      <c r="J954" s="12"/>
      <c r="K954" s="12"/>
      <c r="L954" s="12"/>
      <c r="M954" s="12"/>
    </row>
    <row r="955" customFormat="false" ht="15" hidden="false" customHeight="true" outlineLevel="0" collapsed="false">
      <c r="B955" s="7"/>
      <c r="H955" s="14"/>
      <c r="I955" s="11"/>
      <c r="J955" s="14"/>
      <c r="K955" s="14"/>
      <c r="L955" s="14"/>
      <c r="M955" s="14"/>
    </row>
    <row r="956" customFormat="false" ht="15" hidden="false" customHeight="true" outlineLevel="0" collapsed="false">
      <c r="B956" s="7"/>
      <c r="H956" s="12"/>
      <c r="I956" s="11"/>
      <c r="J956" s="12"/>
      <c r="K956" s="12"/>
      <c r="L956" s="12"/>
      <c r="M956" s="12"/>
    </row>
    <row r="957" customFormat="false" ht="15" hidden="false" customHeight="true" outlineLevel="0" collapsed="false">
      <c r="B957" s="7"/>
      <c r="H957" s="14"/>
      <c r="I957" s="11"/>
      <c r="J957" s="14"/>
      <c r="K957" s="14"/>
      <c r="L957" s="14"/>
      <c r="M957" s="14"/>
    </row>
    <row r="958" customFormat="false" ht="15" hidden="false" customHeight="true" outlineLevel="0" collapsed="false">
      <c r="B958" s="7"/>
      <c r="H958" s="12"/>
      <c r="I958" s="11"/>
      <c r="J958" s="12"/>
      <c r="K958" s="12"/>
      <c r="L958" s="12"/>
      <c r="M958" s="12"/>
    </row>
    <row r="959" customFormat="false" ht="15" hidden="false" customHeight="true" outlineLevel="0" collapsed="false">
      <c r="B959" s="7"/>
      <c r="H959" s="14"/>
      <c r="I959" s="11"/>
      <c r="J959" s="14"/>
      <c r="K959" s="14"/>
      <c r="L959" s="14"/>
      <c r="M959" s="14"/>
    </row>
    <row r="960" customFormat="false" ht="15" hidden="false" customHeight="true" outlineLevel="0" collapsed="false">
      <c r="B960" s="7"/>
      <c r="H960" s="12"/>
      <c r="I960" s="11"/>
      <c r="J960" s="12"/>
      <c r="K960" s="12"/>
      <c r="L960" s="12"/>
      <c r="M960" s="12"/>
    </row>
    <row r="961" customFormat="false" ht="15" hidden="false" customHeight="true" outlineLevel="0" collapsed="false">
      <c r="B961" s="7"/>
      <c r="H961" s="14"/>
      <c r="I961" s="11"/>
      <c r="J961" s="14"/>
      <c r="K961" s="14"/>
      <c r="L961" s="14"/>
      <c r="M961" s="14"/>
    </row>
    <row r="962" customFormat="false" ht="15" hidden="false" customHeight="true" outlineLevel="0" collapsed="false">
      <c r="B962" s="7"/>
      <c r="H962" s="12"/>
      <c r="I962" s="11"/>
      <c r="J962" s="12"/>
      <c r="K962" s="12"/>
      <c r="L962" s="12"/>
      <c r="M962" s="12"/>
    </row>
    <row r="963" customFormat="false" ht="15" hidden="false" customHeight="true" outlineLevel="0" collapsed="false">
      <c r="B963" s="7"/>
      <c r="H963" s="14"/>
      <c r="I963" s="11"/>
      <c r="J963" s="14"/>
      <c r="K963" s="14"/>
      <c r="L963" s="14"/>
      <c r="M963" s="14"/>
    </row>
    <row r="964" customFormat="false" ht="15" hidden="false" customHeight="true" outlineLevel="0" collapsed="false">
      <c r="B964" s="7"/>
      <c r="H964" s="12"/>
      <c r="I964" s="11"/>
      <c r="J964" s="12"/>
      <c r="K964" s="12"/>
      <c r="L964" s="12"/>
      <c r="M964" s="12"/>
    </row>
    <row r="965" customFormat="false" ht="15" hidden="false" customHeight="true" outlineLevel="0" collapsed="false">
      <c r="B965" s="7"/>
      <c r="H965" s="14"/>
      <c r="I965" s="11"/>
      <c r="J965" s="14"/>
      <c r="K965" s="14"/>
      <c r="L965" s="14"/>
      <c r="M965" s="14"/>
    </row>
    <row r="966" customFormat="false" ht="15" hidden="false" customHeight="true" outlineLevel="0" collapsed="false">
      <c r="B966" s="7"/>
      <c r="H966" s="12"/>
      <c r="I966" s="11"/>
      <c r="J966" s="12"/>
      <c r="K966" s="12"/>
      <c r="L966" s="12"/>
      <c r="M966" s="12"/>
    </row>
    <row r="967" customFormat="false" ht="15" hidden="false" customHeight="true" outlineLevel="0" collapsed="false">
      <c r="B967" s="7"/>
      <c r="H967" s="14"/>
      <c r="I967" s="11"/>
      <c r="J967" s="14"/>
      <c r="K967" s="14"/>
      <c r="L967" s="14"/>
      <c r="M967" s="14"/>
    </row>
    <row r="968" customFormat="false" ht="15" hidden="false" customHeight="true" outlineLevel="0" collapsed="false">
      <c r="B968" s="7"/>
      <c r="H968" s="12"/>
      <c r="I968" s="11"/>
      <c r="J968" s="12"/>
      <c r="K968" s="12"/>
      <c r="L968" s="12"/>
      <c r="M968" s="12"/>
    </row>
    <row r="969" customFormat="false" ht="15" hidden="false" customHeight="true" outlineLevel="0" collapsed="false">
      <c r="B969" s="7"/>
      <c r="H969" s="14"/>
      <c r="I969" s="11"/>
      <c r="J969" s="14"/>
      <c r="K969" s="14"/>
      <c r="L969" s="14"/>
      <c r="M969" s="14"/>
    </row>
    <row r="970" customFormat="false" ht="15" hidden="false" customHeight="true" outlineLevel="0" collapsed="false">
      <c r="B970" s="7"/>
      <c r="H970" s="12"/>
      <c r="I970" s="11"/>
      <c r="J970" s="12"/>
      <c r="K970" s="12"/>
      <c r="L970" s="12"/>
      <c r="M970" s="12"/>
    </row>
    <row r="971" customFormat="false" ht="15" hidden="false" customHeight="true" outlineLevel="0" collapsed="false">
      <c r="B971" s="7"/>
      <c r="H971" s="14"/>
      <c r="I971" s="11"/>
      <c r="J971" s="14"/>
      <c r="K971" s="14"/>
      <c r="L971" s="14"/>
      <c r="M971" s="14"/>
    </row>
    <row r="972" customFormat="false" ht="15" hidden="false" customHeight="true" outlineLevel="0" collapsed="false">
      <c r="B972" s="7"/>
      <c r="H972" s="12"/>
      <c r="I972" s="11"/>
      <c r="J972" s="12"/>
      <c r="K972" s="12"/>
      <c r="L972" s="12"/>
      <c r="M972" s="12"/>
    </row>
    <row r="973" customFormat="false" ht="15" hidden="false" customHeight="true" outlineLevel="0" collapsed="false">
      <c r="B973" s="7"/>
      <c r="H973" s="14"/>
      <c r="I973" s="11"/>
      <c r="J973" s="14"/>
      <c r="K973" s="14"/>
      <c r="L973" s="14"/>
      <c r="M973" s="14"/>
    </row>
    <row r="974" customFormat="false" ht="15" hidden="false" customHeight="true" outlineLevel="0" collapsed="false">
      <c r="B974" s="7"/>
      <c r="H974" s="12"/>
      <c r="I974" s="11"/>
      <c r="J974" s="12"/>
      <c r="K974" s="12"/>
      <c r="L974" s="12"/>
      <c r="M974" s="12"/>
    </row>
    <row r="975" customFormat="false" ht="15" hidden="false" customHeight="true" outlineLevel="0" collapsed="false">
      <c r="B975" s="7"/>
      <c r="H975" s="14"/>
      <c r="I975" s="11"/>
      <c r="J975" s="14"/>
      <c r="K975" s="14"/>
      <c r="L975" s="14"/>
      <c r="M975" s="14"/>
    </row>
    <row r="976" customFormat="false" ht="15" hidden="false" customHeight="true" outlineLevel="0" collapsed="false">
      <c r="B976" s="7"/>
      <c r="H976" s="12"/>
      <c r="I976" s="11"/>
      <c r="J976" s="12"/>
      <c r="K976" s="12"/>
      <c r="L976" s="12"/>
      <c r="M976" s="12"/>
    </row>
    <row r="977" customFormat="false" ht="15" hidden="false" customHeight="true" outlineLevel="0" collapsed="false">
      <c r="B977" s="7"/>
      <c r="H977" s="14"/>
      <c r="I977" s="11"/>
      <c r="J977" s="14"/>
      <c r="K977" s="14"/>
      <c r="L977" s="14"/>
      <c r="M977" s="14"/>
    </row>
    <row r="978" customFormat="false" ht="15" hidden="false" customHeight="true" outlineLevel="0" collapsed="false">
      <c r="B978" s="7"/>
      <c r="H978" s="12"/>
      <c r="I978" s="11"/>
      <c r="J978" s="12"/>
      <c r="K978" s="12"/>
      <c r="L978" s="12"/>
      <c r="M978" s="12"/>
    </row>
    <row r="979" customFormat="false" ht="15" hidden="false" customHeight="true" outlineLevel="0" collapsed="false">
      <c r="B979" s="7"/>
      <c r="H979" s="14"/>
      <c r="I979" s="11"/>
      <c r="J979" s="14"/>
      <c r="K979" s="14"/>
      <c r="L979" s="14"/>
      <c r="M979" s="14"/>
    </row>
    <row r="980" customFormat="false" ht="15" hidden="false" customHeight="true" outlineLevel="0" collapsed="false">
      <c r="B980" s="7"/>
      <c r="H980" s="12"/>
      <c r="I980" s="11"/>
      <c r="J980" s="12"/>
      <c r="K980" s="12"/>
      <c r="L980" s="12"/>
      <c r="M980" s="12"/>
    </row>
    <row r="981" customFormat="false" ht="15" hidden="false" customHeight="true" outlineLevel="0" collapsed="false">
      <c r="B981" s="7"/>
      <c r="H981" s="14"/>
      <c r="I981" s="11"/>
      <c r="J981" s="14"/>
      <c r="K981" s="14"/>
      <c r="L981" s="14"/>
      <c r="M981" s="14"/>
    </row>
    <row r="982" customFormat="false" ht="15" hidden="false" customHeight="true" outlineLevel="0" collapsed="false">
      <c r="B982" s="7"/>
      <c r="H982" s="12"/>
      <c r="I982" s="11"/>
      <c r="J982" s="12"/>
      <c r="K982" s="12"/>
      <c r="L982" s="12"/>
      <c r="M982" s="12"/>
    </row>
    <row r="983" customFormat="false" ht="15" hidden="false" customHeight="true" outlineLevel="0" collapsed="false">
      <c r="B983" s="7"/>
      <c r="H983" s="14"/>
      <c r="I983" s="11"/>
      <c r="J983" s="14"/>
      <c r="K983" s="14"/>
      <c r="L983" s="14"/>
      <c r="M983" s="14"/>
    </row>
    <row r="984" customFormat="false" ht="15" hidden="false" customHeight="true" outlineLevel="0" collapsed="false">
      <c r="B984" s="7"/>
      <c r="H984" s="12"/>
      <c r="I984" s="11"/>
      <c r="J984" s="12"/>
      <c r="K984" s="12"/>
      <c r="L984" s="12"/>
      <c r="M984" s="12"/>
    </row>
    <row r="985" customFormat="false" ht="15" hidden="false" customHeight="true" outlineLevel="0" collapsed="false">
      <c r="B985" s="7"/>
      <c r="H985" s="14"/>
      <c r="I985" s="11"/>
      <c r="J985" s="14"/>
      <c r="K985" s="14"/>
      <c r="L985" s="14"/>
      <c r="M985" s="14"/>
    </row>
    <row r="986" customFormat="false" ht="15" hidden="false" customHeight="true" outlineLevel="0" collapsed="false">
      <c r="B986" s="7"/>
      <c r="H986" s="12"/>
      <c r="I986" s="11"/>
      <c r="J986" s="12"/>
      <c r="K986" s="12"/>
      <c r="L986" s="12"/>
      <c r="M986" s="12"/>
    </row>
    <row r="987" customFormat="false" ht="15" hidden="false" customHeight="true" outlineLevel="0" collapsed="false">
      <c r="B987" s="7"/>
      <c r="H987" s="14"/>
      <c r="I987" s="11"/>
      <c r="J987" s="14"/>
      <c r="K987" s="14"/>
      <c r="L987" s="14"/>
      <c r="M987" s="14"/>
    </row>
    <row r="988" customFormat="false" ht="15" hidden="false" customHeight="true" outlineLevel="0" collapsed="false">
      <c r="B988" s="7"/>
      <c r="H988" s="12"/>
      <c r="I988" s="11"/>
      <c r="J988" s="12"/>
      <c r="K988" s="12"/>
      <c r="L988" s="12"/>
      <c r="M988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6"/>
  <sheetViews>
    <sheetView showFormulas="false" showGridLines="true" showRowColHeaders="true" showZeros="true" rightToLeft="false" tabSelected="true" showOutlineSymbols="true" defaultGridColor="true" view="normal" topLeftCell="A1" colorId="64" zoomScale="94" zoomScaleNormal="94" zoomScalePageLayoutView="100" workbookViewId="0">
      <selection pane="topLeft" activeCell="E1015" activeCellId="0" sqref="E1015"/>
    </sheetView>
  </sheetViews>
  <sheetFormatPr defaultColWidth="12.57421875" defaultRowHeight="15" zeroHeight="false" outlineLevelRow="0" outlineLevelCol="0"/>
  <cols>
    <col collapsed="false" customWidth="true" hidden="false" outlineLevel="0" max="2" min="1" style="0" width="15.15"/>
    <col collapsed="false" customWidth="true" hidden="false" outlineLevel="0" max="3" min="3" style="0" width="13.86"/>
    <col collapsed="false" customWidth="true" hidden="false" outlineLevel="0" max="7" min="4" style="0" width="23.72"/>
    <col collapsed="false" customWidth="true" hidden="false" outlineLevel="0" max="11" min="8" style="0" width="29.86"/>
    <col collapsed="false" customWidth="true" hidden="false" outlineLevel="0" max="13" min="12" style="0" width="17.29"/>
    <col collapsed="false" customWidth="true" hidden="false" outlineLevel="0" max="27" min="14" style="0" width="10.86"/>
  </cols>
  <sheetData>
    <row r="1" customFormat="false" ht="31.2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</row>
    <row r="2" customFormat="false" ht="16.25" hidden="true" customHeight="false" outlineLevel="0" collapsed="false">
      <c r="A2" s="8" t="n">
        <v>2</v>
      </c>
      <c r="B2" s="8" t="n">
        <v>2</v>
      </c>
      <c r="C2" s="8" t="n">
        <v>1</v>
      </c>
      <c r="D2" s="9" t="s">
        <v>46</v>
      </c>
      <c r="E2" s="9" t="s">
        <v>51</v>
      </c>
      <c r="F2" s="9" t="s">
        <v>34</v>
      </c>
      <c r="G2" s="9" t="s">
        <v>52</v>
      </c>
      <c r="H2" s="10" t="s">
        <v>19</v>
      </c>
      <c r="I2" s="11" t="s">
        <v>20</v>
      </c>
      <c r="J2" s="10" t="s">
        <v>21</v>
      </c>
      <c r="K2" s="10" t="s">
        <v>22</v>
      </c>
      <c r="L2" s="10" t="s">
        <v>21</v>
      </c>
      <c r="M2" s="10" t="s">
        <v>22</v>
      </c>
      <c r="N2" s="7" t="n">
        <v>1</v>
      </c>
      <c r="O2" s="7" t="n">
        <v>0</v>
      </c>
    </row>
    <row r="3" customFormat="false" ht="16.25" hidden="true" customHeight="false" outlineLevel="0" collapsed="false">
      <c r="A3" s="8" t="n">
        <v>2</v>
      </c>
      <c r="B3" s="8" t="n">
        <v>2</v>
      </c>
      <c r="C3" s="8" t="n">
        <v>2</v>
      </c>
      <c r="D3" s="9" t="s">
        <v>46</v>
      </c>
      <c r="E3" s="9" t="s">
        <v>51</v>
      </c>
      <c r="F3" s="9" t="s">
        <v>34</v>
      </c>
      <c r="G3" s="9" t="s">
        <v>52</v>
      </c>
      <c r="H3" s="13" t="s">
        <v>19</v>
      </c>
      <c r="I3" s="11" t="s">
        <v>20</v>
      </c>
      <c r="J3" s="13" t="s">
        <v>21</v>
      </c>
      <c r="K3" s="13" t="s">
        <v>22</v>
      </c>
      <c r="L3" s="13" t="s">
        <v>21</v>
      </c>
      <c r="M3" s="13" t="s">
        <v>22</v>
      </c>
      <c r="N3" s="7" t="n">
        <v>1</v>
      </c>
      <c r="O3" s="7" t="n">
        <v>0</v>
      </c>
    </row>
    <row r="4" customFormat="false" ht="16.25" hidden="true" customHeight="false" outlineLevel="0" collapsed="false">
      <c r="A4" s="8" t="n">
        <v>2</v>
      </c>
      <c r="B4" s="8" t="n">
        <v>2</v>
      </c>
      <c r="C4" s="8" t="n">
        <v>3</v>
      </c>
      <c r="D4" s="9" t="s">
        <v>46</v>
      </c>
      <c r="E4" s="9" t="s">
        <v>51</v>
      </c>
      <c r="F4" s="9" t="s">
        <v>34</v>
      </c>
      <c r="G4" s="9" t="s">
        <v>52</v>
      </c>
      <c r="H4" s="10" t="s">
        <v>19</v>
      </c>
      <c r="I4" s="11" t="s">
        <v>20</v>
      </c>
      <c r="J4" s="10" t="s">
        <v>21</v>
      </c>
      <c r="K4" s="10" t="s">
        <v>22</v>
      </c>
      <c r="L4" s="10" t="s">
        <v>21</v>
      </c>
      <c r="M4" s="10" t="s">
        <v>22</v>
      </c>
      <c r="N4" s="7" t="n">
        <v>0</v>
      </c>
      <c r="O4" s="7" t="n">
        <v>1</v>
      </c>
    </row>
    <row r="5" customFormat="false" ht="16.25" hidden="true" customHeight="false" outlineLevel="0" collapsed="false">
      <c r="A5" s="8" t="n">
        <v>2</v>
      </c>
      <c r="B5" s="8" t="n">
        <v>2</v>
      </c>
      <c r="C5" s="8" t="n">
        <v>4</v>
      </c>
      <c r="D5" s="9" t="s">
        <v>46</v>
      </c>
      <c r="E5" s="9" t="s">
        <v>51</v>
      </c>
      <c r="F5" s="9" t="s">
        <v>34</v>
      </c>
      <c r="G5" s="9" t="s">
        <v>52</v>
      </c>
      <c r="H5" s="13" t="s">
        <v>19</v>
      </c>
      <c r="I5" s="11" t="s">
        <v>20</v>
      </c>
      <c r="J5" s="13" t="s">
        <v>21</v>
      </c>
      <c r="K5" s="13" t="s">
        <v>22</v>
      </c>
      <c r="L5" s="13" t="s">
        <v>21</v>
      </c>
      <c r="M5" s="13" t="s">
        <v>22</v>
      </c>
      <c r="N5" s="7" t="n">
        <v>0</v>
      </c>
      <c r="O5" s="7" t="n">
        <v>1</v>
      </c>
    </row>
    <row r="6" customFormat="false" ht="16.25" hidden="true" customHeight="false" outlineLevel="0" collapsed="false">
      <c r="A6" s="8" t="n">
        <v>2</v>
      </c>
      <c r="B6" s="8" t="n">
        <v>2</v>
      </c>
      <c r="C6" s="8" t="n">
        <v>5</v>
      </c>
      <c r="D6" s="9" t="s">
        <v>46</v>
      </c>
      <c r="E6" s="9" t="s">
        <v>51</v>
      </c>
      <c r="F6" s="9" t="s">
        <v>34</v>
      </c>
      <c r="G6" s="9" t="s">
        <v>52</v>
      </c>
      <c r="H6" s="10" t="s">
        <v>19</v>
      </c>
      <c r="I6" s="11" t="s">
        <v>20</v>
      </c>
      <c r="J6" s="10" t="s">
        <v>21</v>
      </c>
      <c r="K6" s="10" t="s">
        <v>22</v>
      </c>
      <c r="L6" s="10" t="s">
        <v>21</v>
      </c>
      <c r="M6" s="10" t="s">
        <v>22</v>
      </c>
      <c r="N6" s="7" t="n">
        <v>0</v>
      </c>
      <c r="O6" s="7" t="n">
        <v>1</v>
      </c>
    </row>
    <row r="7" customFormat="false" ht="16.25" hidden="true" customHeight="false" outlineLevel="0" collapsed="false">
      <c r="A7" s="8" t="n">
        <v>2</v>
      </c>
      <c r="B7" s="8" t="n">
        <v>2</v>
      </c>
      <c r="C7" s="8" t="n">
        <v>6</v>
      </c>
      <c r="D7" s="9" t="s">
        <v>46</v>
      </c>
      <c r="E7" s="9" t="s">
        <v>51</v>
      </c>
      <c r="F7" s="9" t="s">
        <v>34</v>
      </c>
      <c r="G7" s="9" t="s">
        <v>52</v>
      </c>
      <c r="H7" s="13" t="s">
        <v>19</v>
      </c>
      <c r="I7" s="11" t="s">
        <v>20</v>
      </c>
      <c r="J7" s="13" t="s">
        <v>21</v>
      </c>
      <c r="K7" s="13" t="s">
        <v>22</v>
      </c>
      <c r="L7" s="13" t="s">
        <v>21</v>
      </c>
      <c r="M7" s="13" t="s">
        <v>22</v>
      </c>
      <c r="N7" s="7" t="n">
        <v>1</v>
      </c>
      <c r="O7" s="7" t="n">
        <v>0</v>
      </c>
    </row>
    <row r="8" customFormat="false" ht="16.25" hidden="true" customHeight="false" outlineLevel="0" collapsed="false">
      <c r="A8" s="8" t="n">
        <v>2</v>
      </c>
      <c r="B8" s="8" t="n">
        <v>2</v>
      </c>
      <c r="C8" s="8" t="n">
        <v>7</v>
      </c>
      <c r="D8" s="9" t="s">
        <v>46</v>
      </c>
      <c r="E8" s="9" t="s">
        <v>51</v>
      </c>
      <c r="F8" s="9" t="s">
        <v>34</v>
      </c>
      <c r="G8" s="9" t="s">
        <v>52</v>
      </c>
      <c r="H8" s="10" t="s">
        <v>19</v>
      </c>
      <c r="I8" s="11" t="s">
        <v>20</v>
      </c>
      <c r="J8" s="10" t="s">
        <v>21</v>
      </c>
      <c r="K8" s="10" t="s">
        <v>22</v>
      </c>
      <c r="L8" s="10" t="s">
        <v>21</v>
      </c>
      <c r="M8" s="10" t="s">
        <v>22</v>
      </c>
      <c r="N8" s="7" t="n">
        <v>0</v>
      </c>
      <c r="O8" s="7" t="n">
        <v>1</v>
      </c>
    </row>
    <row r="9" customFormat="false" ht="16.25" hidden="true" customHeight="false" outlineLevel="0" collapsed="false">
      <c r="A9" s="8" t="n">
        <v>2</v>
      </c>
      <c r="B9" s="8" t="n">
        <v>2</v>
      </c>
      <c r="C9" s="7" t="n">
        <v>8</v>
      </c>
      <c r="D9" s="9" t="s">
        <v>46</v>
      </c>
      <c r="E9" s="9" t="s">
        <v>51</v>
      </c>
      <c r="F9" s="9" t="s">
        <v>34</v>
      </c>
      <c r="G9" s="9" t="s">
        <v>52</v>
      </c>
      <c r="H9" s="13" t="s">
        <v>19</v>
      </c>
      <c r="I9" s="11" t="s">
        <v>20</v>
      </c>
      <c r="J9" s="13" t="s">
        <v>21</v>
      </c>
      <c r="K9" s="13" t="s">
        <v>22</v>
      </c>
      <c r="L9" s="13" t="s">
        <v>21</v>
      </c>
      <c r="M9" s="13" t="s">
        <v>22</v>
      </c>
      <c r="N9" s="7" t="n">
        <v>1</v>
      </c>
      <c r="O9" s="7" t="n">
        <v>0</v>
      </c>
    </row>
    <row r="10" customFormat="false" ht="16.25" hidden="true" customHeight="false" outlineLevel="0" collapsed="false">
      <c r="A10" s="8" t="n">
        <v>2</v>
      </c>
      <c r="B10" s="8" t="n">
        <v>2</v>
      </c>
      <c r="C10" s="7" t="n">
        <v>9</v>
      </c>
      <c r="D10" s="9" t="s">
        <v>46</v>
      </c>
      <c r="E10" s="9" t="s">
        <v>51</v>
      </c>
      <c r="F10" s="9" t="s">
        <v>34</v>
      </c>
      <c r="G10" s="9" t="s">
        <v>52</v>
      </c>
      <c r="H10" s="10" t="s">
        <v>19</v>
      </c>
      <c r="I10" s="11" t="s">
        <v>20</v>
      </c>
      <c r="J10" s="10" t="s">
        <v>21</v>
      </c>
      <c r="K10" s="10" t="s">
        <v>22</v>
      </c>
      <c r="L10" s="10" t="s">
        <v>21</v>
      </c>
      <c r="M10" s="10" t="s">
        <v>22</v>
      </c>
      <c r="N10" s="7" t="n">
        <v>1</v>
      </c>
      <c r="O10" s="7" t="n">
        <v>0</v>
      </c>
    </row>
    <row r="11" customFormat="false" ht="16.25" hidden="true" customHeight="false" outlineLevel="0" collapsed="false">
      <c r="A11" s="8" t="n">
        <v>2</v>
      </c>
      <c r="B11" s="8" t="n">
        <v>2</v>
      </c>
      <c r="C11" s="7" t="n">
        <v>10</v>
      </c>
      <c r="D11" s="9" t="s">
        <v>46</v>
      </c>
      <c r="E11" s="9" t="s">
        <v>51</v>
      </c>
      <c r="F11" s="9" t="s">
        <v>34</v>
      </c>
      <c r="G11" s="9" t="s">
        <v>52</v>
      </c>
      <c r="H11" s="13" t="s">
        <v>19</v>
      </c>
      <c r="I11" s="11" t="s">
        <v>20</v>
      </c>
      <c r="J11" s="13" t="s">
        <v>21</v>
      </c>
      <c r="K11" s="13" t="s">
        <v>22</v>
      </c>
      <c r="L11" s="13" t="s">
        <v>21</v>
      </c>
      <c r="M11" s="13" t="s">
        <v>22</v>
      </c>
      <c r="N11" s="7" t="n">
        <v>0</v>
      </c>
      <c r="O11" s="7" t="n">
        <v>1</v>
      </c>
    </row>
    <row r="12" customFormat="false" ht="16.25" hidden="true" customHeight="false" outlineLevel="0" collapsed="false">
      <c r="A12" s="8" t="n">
        <v>2</v>
      </c>
      <c r="B12" s="8" t="n">
        <v>2</v>
      </c>
      <c r="C12" s="7" t="n">
        <v>11</v>
      </c>
      <c r="D12" s="9" t="s">
        <v>46</v>
      </c>
      <c r="E12" s="9" t="s">
        <v>51</v>
      </c>
      <c r="F12" s="9" t="s">
        <v>34</v>
      </c>
      <c r="G12" s="9" t="s">
        <v>52</v>
      </c>
      <c r="H12" s="10" t="s">
        <v>19</v>
      </c>
      <c r="I12" s="11" t="s">
        <v>20</v>
      </c>
      <c r="J12" s="10" t="s">
        <v>21</v>
      </c>
      <c r="K12" s="10" t="s">
        <v>22</v>
      </c>
      <c r="L12" s="10" t="s">
        <v>21</v>
      </c>
      <c r="M12" s="10" t="s">
        <v>22</v>
      </c>
      <c r="N12" s="7" t="n">
        <v>1</v>
      </c>
      <c r="O12" s="7" t="n">
        <v>0</v>
      </c>
    </row>
    <row r="13" customFormat="false" ht="16.25" hidden="true" customHeight="false" outlineLevel="0" collapsed="false">
      <c r="A13" s="8" t="n">
        <v>2</v>
      </c>
      <c r="B13" s="8" t="n">
        <v>2</v>
      </c>
      <c r="C13" s="7" t="n">
        <v>12</v>
      </c>
      <c r="D13" s="9" t="s">
        <v>46</v>
      </c>
      <c r="E13" s="9" t="s">
        <v>51</v>
      </c>
      <c r="F13" s="9" t="s">
        <v>34</v>
      </c>
      <c r="G13" s="9" t="s">
        <v>52</v>
      </c>
      <c r="H13" s="13" t="s">
        <v>19</v>
      </c>
      <c r="I13" s="11" t="s">
        <v>20</v>
      </c>
      <c r="J13" s="13" t="s">
        <v>21</v>
      </c>
      <c r="K13" s="13" t="s">
        <v>22</v>
      </c>
      <c r="L13" s="13" t="s">
        <v>21</v>
      </c>
      <c r="M13" s="13" t="s">
        <v>22</v>
      </c>
      <c r="N13" s="7" t="n">
        <v>0</v>
      </c>
      <c r="O13" s="7" t="n">
        <v>1</v>
      </c>
    </row>
    <row r="14" customFormat="false" ht="16.25" hidden="true" customHeight="false" outlineLevel="0" collapsed="false">
      <c r="A14" s="8" t="n">
        <v>2</v>
      </c>
      <c r="B14" s="8" t="n">
        <v>2</v>
      </c>
      <c r="C14" s="7" t="n">
        <v>13</v>
      </c>
      <c r="D14" s="9" t="s">
        <v>46</v>
      </c>
      <c r="E14" s="9" t="s">
        <v>51</v>
      </c>
      <c r="F14" s="9" t="s">
        <v>34</v>
      </c>
      <c r="G14" s="9" t="s">
        <v>52</v>
      </c>
      <c r="H14" s="10" t="s">
        <v>19</v>
      </c>
      <c r="I14" s="11" t="s">
        <v>20</v>
      </c>
      <c r="J14" s="10" t="s">
        <v>21</v>
      </c>
      <c r="K14" s="10" t="s">
        <v>22</v>
      </c>
      <c r="L14" s="10" t="s">
        <v>21</v>
      </c>
      <c r="M14" s="10" t="s">
        <v>22</v>
      </c>
      <c r="N14" s="7" t="n">
        <v>0</v>
      </c>
      <c r="O14" s="7" t="n">
        <v>1</v>
      </c>
    </row>
    <row r="15" customFormat="false" ht="16.25" hidden="true" customHeight="false" outlineLevel="0" collapsed="false">
      <c r="A15" s="7" t="n">
        <v>6</v>
      </c>
      <c r="B15" s="7" t="n">
        <v>2</v>
      </c>
      <c r="C15" s="7" t="n">
        <v>1</v>
      </c>
      <c r="D15" s="9" t="s">
        <v>49</v>
      </c>
      <c r="E15" s="9" t="s">
        <v>39</v>
      </c>
      <c r="F15" s="9" t="s">
        <v>41</v>
      </c>
      <c r="G15" s="9" t="s">
        <v>50</v>
      </c>
      <c r="H15" s="13" t="s">
        <v>20</v>
      </c>
      <c r="I15" s="11" t="s">
        <v>19</v>
      </c>
      <c r="J15" s="13" t="s">
        <v>22</v>
      </c>
      <c r="K15" s="13" t="s">
        <v>21</v>
      </c>
      <c r="L15" s="13" t="s">
        <v>22</v>
      </c>
      <c r="M15" s="13" t="s">
        <v>21</v>
      </c>
      <c r="N15" s="7" t="n">
        <v>0</v>
      </c>
      <c r="O15" s="7" t="n">
        <v>1</v>
      </c>
    </row>
    <row r="16" customFormat="false" ht="16.25" hidden="true" customHeight="false" outlineLevel="0" collapsed="false">
      <c r="A16" s="7" t="n">
        <v>6</v>
      </c>
      <c r="B16" s="7" t="n">
        <v>2</v>
      </c>
      <c r="C16" s="7" t="n">
        <v>2</v>
      </c>
      <c r="D16" s="9" t="s">
        <v>49</v>
      </c>
      <c r="E16" s="9" t="s">
        <v>39</v>
      </c>
      <c r="F16" s="9" t="s">
        <v>41</v>
      </c>
      <c r="G16" s="9" t="s">
        <v>50</v>
      </c>
      <c r="H16" s="10" t="s">
        <v>20</v>
      </c>
      <c r="I16" s="11" t="s">
        <v>19</v>
      </c>
      <c r="J16" s="10" t="s">
        <v>22</v>
      </c>
      <c r="K16" s="10" t="s">
        <v>21</v>
      </c>
      <c r="L16" s="10" t="s">
        <v>22</v>
      </c>
      <c r="M16" s="10" t="s">
        <v>21</v>
      </c>
      <c r="N16" s="7" t="n">
        <v>1</v>
      </c>
      <c r="O16" s="7" t="n">
        <v>0</v>
      </c>
    </row>
    <row r="17" customFormat="false" ht="16.25" hidden="true" customHeight="false" outlineLevel="0" collapsed="false">
      <c r="A17" s="7" t="n">
        <v>6</v>
      </c>
      <c r="B17" s="7" t="n">
        <v>2</v>
      </c>
      <c r="C17" s="7" t="n">
        <v>3</v>
      </c>
      <c r="D17" s="9" t="s">
        <v>49</v>
      </c>
      <c r="E17" s="9" t="s">
        <v>39</v>
      </c>
      <c r="F17" s="9" t="s">
        <v>41</v>
      </c>
      <c r="G17" s="9" t="s">
        <v>50</v>
      </c>
      <c r="H17" s="13" t="s">
        <v>20</v>
      </c>
      <c r="I17" s="11" t="s">
        <v>19</v>
      </c>
      <c r="J17" s="13" t="s">
        <v>22</v>
      </c>
      <c r="K17" s="13" t="s">
        <v>21</v>
      </c>
      <c r="L17" s="13" t="s">
        <v>22</v>
      </c>
      <c r="M17" s="13" t="s">
        <v>21</v>
      </c>
      <c r="N17" s="7" t="n">
        <v>0</v>
      </c>
      <c r="O17" s="7" t="n">
        <v>1</v>
      </c>
    </row>
    <row r="18" customFormat="false" ht="16.25" hidden="true" customHeight="false" outlineLevel="0" collapsed="false">
      <c r="A18" s="7" t="n">
        <v>6</v>
      </c>
      <c r="B18" s="7" t="n">
        <v>2</v>
      </c>
      <c r="C18" s="7" t="n">
        <v>4</v>
      </c>
      <c r="D18" s="9" t="s">
        <v>49</v>
      </c>
      <c r="E18" s="9" t="s">
        <v>39</v>
      </c>
      <c r="F18" s="9" t="s">
        <v>41</v>
      </c>
      <c r="G18" s="9" t="s">
        <v>50</v>
      </c>
      <c r="H18" s="10" t="s">
        <v>20</v>
      </c>
      <c r="I18" s="11" t="s">
        <v>19</v>
      </c>
      <c r="J18" s="10" t="s">
        <v>22</v>
      </c>
      <c r="K18" s="10" t="s">
        <v>21</v>
      </c>
      <c r="L18" s="10" t="s">
        <v>22</v>
      </c>
      <c r="M18" s="10" t="s">
        <v>21</v>
      </c>
      <c r="N18" s="7" t="n">
        <v>1</v>
      </c>
      <c r="O18" s="7" t="n">
        <v>0</v>
      </c>
    </row>
    <row r="19" customFormat="false" ht="16.25" hidden="true" customHeight="false" outlineLevel="0" collapsed="false">
      <c r="A19" s="7" t="n">
        <v>6</v>
      </c>
      <c r="B19" s="7" t="n">
        <v>2</v>
      </c>
      <c r="C19" s="7" t="n">
        <v>5</v>
      </c>
      <c r="D19" s="9" t="s">
        <v>49</v>
      </c>
      <c r="E19" s="9" t="s">
        <v>39</v>
      </c>
      <c r="F19" s="9" t="s">
        <v>41</v>
      </c>
      <c r="G19" s="9" t="s">
        <v>50</v>
      </c>
      <c r="H19" s="13" t="s">
        <v>20</v>
      </c>
      <c r="I19" s="11" t="s">
        <v>19</v>
      </c>
      <c r="J19" s="13" t="s">
        <v>22</v>
      </c>
      <c r="K19" s="13" t="s">
        <v>21</v>
      </c>
      <c r="L19" s="13" t="s">
        <v>22</v>
      </c>
      <c r="M19" s="13" t="s">
        <v>21</v>
      </c>
      <c r="N19" s="7" t="n">
        <v>0</v>
      </c>
      <c r="O19" s="7" t="n">
        <v>1</v>
      </c>
    </row>
    <row r="20" customFormat="false" ht="16.25" hidden="true" customHeight="false" outlineLevel="0" collapsed="false">
      <c r="A20" s="7" t="n">
        <v>6</v>
      </c>
      <c r="B20" s="7" t="n">
        <v>2</v>
      </c>
      <c r="C20" s="7" t="n">
        <v>6</v>
      </c>
      <c r="D20" s="9" t="s">
        <v>49</v>
      </c>
      <c r="E20" s="9" t="s">
        <v>39</v>
      </c>
      <c r="F20" s="9" t="s">
        <v>41</v>
      </c>
      <c r="G20" s="9" t="s">
        <v>50</v>
      </c>
      <c r="H20" s="10" t="s">
        <v>20</v>
      </c>
      <c r="I20" s="11" t="s">
        <v>19</v>
      </c>
      <c r="J20" s="10" t="s">
        <v>22</v>
      </c>
      <c r="K20" s="10" t="s">
        <v>21</v>
      </c>
      <c r="L20" s="10" t="s">
        <v>22</v>
      </c>
      <c r="M20" s="10" t="s">
        <v>21</v>
      </c>
      <c r="N20" s="7" t="n">
        <v>1</v>
      </c>
      <c r="O20" s="7" t="n">
        <v>0</v>
      </c>
    </row>
    <row r="21" customFormat="false" ht="15.75" hidden="true" customHeight="true" outlineLevel="0" collapsed="false">
      <c r="A21" s="7" t="n">
        <v>6</v>
      </c>
      <c r="B21" s="7" t="n">
        <v>2</v>
      </c>
      <c r="C21" s="7" t="n">
        <v>7</v>
      </c>
      <c r="D21" s="9" t="s">
        <v>49</v>
      </c>
      <c r="E21" s="9" t="s">
        <v>39</v>
      </c>
      <c r="F21" s="9" t="s">
        <v>41</v>
      </c>
      <c r="G21" s="9" t="s">
        <v>50</v>
      </c>
      <c r="H21" s="13" t="s">
        <v>20</v>
      </c>
      <c r="I21" s="11" t="s">
        <v>19</v>
      </c>
      <c r="J21" s="13" t="s">
        <v>22</v>
      </c>
      <c r="K21" s="13" t="s">
        <v>21</v>
      </c>
      <c r="L21" s="13" t="s">
        <v>22</v>
      </c>
      <c r="M21" s="13" t="s">
        <v>21</v>
      </c>
      <c r="N21" s="7" t="n">
        <v>0</v>
      </c>
      <c r="O21" s="7" t="n">
        <v>1</v>
      </c>
    </row>
    <row r="22" customFormat="false" ht="15.75" hidden="true" customHeight="true" outlineLevel="0" collapsed="false">
      <c r="A22" s="7" t="n">
        <v>6</v>
      </c>
      <c r="B22" s="7" t="n">
        <v>2</v>
      </c>
      <c r="C22" s="7" t="n">
        <v>7</v>
      </c>
      <c r="D22" s="9" t="s">
        <v>49</v>
      </c>
      <c r="E22" s="9" t="s">
        <v>39</v>
      </c>
      <c r="F22" s="9" t="s">
        <v>41</v>
      </c>
      <c r="G22" s="9" t="s">
        <v>50</v>
      </c>
      <c r="H22" s="10" t="s">
        <v>20</v>
      </c>
      <c r="I22" s="11" t="s">
        <v>19</v>
      </c>
      <c r="J22" s="10" t="s">
        <v>22</v>
      </c>
      <c r="K22" s="10" t="s">
        <v>21</v>
      </c>
      <c r="L22" s="10" t="s">
        <v>22</v>
      </c>
      <c r="M22" s="10" t="s">
        <v>21</v>
      </c>
      <c r="N22" s="7" t="n">
        <v>1</v>
      </c>
      <c r="O22" s="7" t="n">
        <v>0</v>
      </c>
    </row>
    <row r="23" customFormat="false" ht="15.75" hidden="true" customHeight="true" outlineLevel="0" collapsed="false">
      <c r="A23" s="7" t="n">
        <v>6</v>
      </c>
      <c r="B23" s="7" t="n">
        <v>2</v>
      </c>
      <c r="C23" s="7" t="n">
        <v>7</v>
      </c>
      <c r="D23" s="9" t="s">
        <v>49</v>
      </c>
      <c r="E23" s="9" t="s">
        <v>39</v>
      </c>
      <c r="F23" s="9" t="s">
        <v>41</v>
      </c>
      <c r="G23" s="9" t="s">
        <v>50</v>
      </c>
      <c r="H23" s="13" t="s">
        <v>20</v>
      </c>
      <c r="I23" s="11" t="s">
        <v>19</v>
      </c>
      <c r="J23" s="13" t="s">
        <v>22</v>
      </c>
      <c r="K23" s="13" t="s">
        <v>21</v>
      </c>
      <c r="L23" s="13" t="s">
        <v>22</v>
      </c>
      <c r="M23" s="13" t="s">
        <v>21</v>
      </c>
      <c r="N23" s="7" t="n">
        <v>1</v>
      </c>
      <c r="O23" s="7" t="n">
        <v>0</v>
      </c>
    </row>
    <row r="24" customFormat="false" ht="15.75" hidden="true" customHeight="true" outlineLevel="0" collapsed="false">
      <c r="A24" s="7" t="n">
        <v>6</v>
      </c>
      <c r="B24" s="7" t="n">
        <v>2</v>
      </c>
      <c r="C24" s="7" t="n">
        <v>7</v>
      </c>
      <c r="D24" s="9" t="s">
        <v>49</v>
      </c>
      <c r="E24" s="9" t="s">
        <v>39</v>
      </c>
      <c r="F24" s="9" t="s">
        <v>41</v>
      </c>
      <c r="G24" s="9" t="s">
        <v>50</v>
      </c>
      <c r="H24" s="10" t="s">
        <v>20</v>
      </c>
      <c r="I24" s="11" t="s">
        <v>19</v>
      </c>
      <c r="J24" s="10" t="s">
        <v>22</v>
      </c>
      <c r="K24" s="10" t="s">
        <v>21</v>
      </c>
      <c r="L24" s="10" t="s">
        <v>22</v>
      </c>
      <c r="M24" s="10" t="s">
        <v>21</v>
      </c>
      <c r="N24" s="7" t="n">
        <v>1</v>
      </c>
      <c r="O24" s="7" t="n">
        <v>0</v>
      </c>
    </row>
    <row r="25" customFormat="false" ht="15.75" hidden="true" customHeight="true" outlineLevel="0" collapsed="false">
      <c r="A25" s="7" t="n">
        <v>6</v>
      </c>
      <c r="B25" s="7" t="n">
        <v>2</v>
      </c>
      <c r="C25" s="7" t="n">
        <v>7</v>
      </c>
      <c r="D25" s="9" t="s">
        <v>49</v>
      </c>
      <c r="E25" s="9" t="s">
        <v>39</v>
      </c>
      <c r="F25" s="9" t="s">
        <v>41</v>
      </c>
      <c r="G25" s="9" t="s">
        <v>50</v>
      </c>
      <c r="H25" s="13" t="s">
        <v>20</v>
      </c>
      <c r="I25" s="11" t="s">
        <v>19</v>
      </c>
      <c r="J25" s="13" t="s">
        <v>22</v>
      </c>
      <c r="K25" s="13" t="s">
        <v>21</v>
      </c>
      <c r="L25" s="13" t="s">
        <v>22</v>
      </c>
      <c r="M25" s="13" t="s">
        <v>21</v>
      </c>
      <c r="N25" s="7" t="n">
        <v>1</v>
      </c>
      <c r="O25" s="7" t="n">
        <v>0</v>
      </c>
    </row>
    <row r="26" customFormat="false" ht="15.75" hidden="false" customHeight="true" outlineLevel="0" collapsed="false">
      <c r="A26" s="7" t="n">
        <v>8</v>
      </c>
      <c r="B26" s="7" t="n">
        <v>2</v>
      </c>
      <c r="C26" s="7" t="n">
        <v>1</v>
      </c>
      <c r="D26" s="9" t="s">
        <v>50</v>
      </c>
      <c r="E26" s="9" t="s">
        <v>26</v>
      </c>
      <c r="F26" s="9" t="s">
        <v>18</v>
      </c>
      <c r="G26" s="9" t="s">
        <v>32</v>
      </c>
      <c r="H26" s="10" t="s">
        <v>20</v>
      </c>
      <c r="I26" s="11" t="s">
        <v>19</v>
      </c>
      <c r="J26" s="10" t="s">
        <v>22</v>
      </c>
      <c r="K26" s="10" t="s">
        <v>21</v>
      </c>
      <c r="L26" s="10" t="s">
        <v>22</v>
      </c>
      <c r="M26" s="10" t="s">
        <v>21</v>
      </c>
      <c r="N26" s="7" t="n">
        <v>1</v>
      </c>
      <c r="O26" s="7" t="n">
        <v>0</v>
      </c>
    </row>
    <row r="27" customFormat="false" ht="15.75" hidden="false" customHeight="true" outlineLevel="0" collapsed="false">
      <c r="A27" s="7" t="n">
        <v>8</v>
      </c>
      <c r="B27" s="7" t="n">
        <v>2</v>
      </c>
      <c r="C27" s="7" t="n">
        <v>1</v>
      </c>
      <c r="D27" s="9" t="s">
        <v>50</v>
      </c>
      <c r="E27" s="9" t="s">
        <v>26</v>
      </c>
      <c r="F27" s="9" t="s">
        <v>18</v>
      </c>
      <c r="G27" s="9" t="s">
        <v>32</v>
      </c>
      <c r="H27" s="13" t="s">
        <v>20</v>
      </c>
      <c r="I27" s="11" t="s">
        <v>19</v>
      </c>
      <c r="J27" s="13" t="s">
        <v>22</v>
      </c>
      <c r="K27" s="13" t="s">
        <v>21</v>
      </c>
      <c r="L27" s="13" t="s">
        <v>22</v>
      </c>
      <c r="M27" s="13" t="s">
        <v>21</v>
      </c>
      <c r="N27" s="7" t="n">
        <v>1</v>
      </c>
      <c r="O27" s="7" t="n">
        <v>0</v>
      </c>
    </row>
    <row r="28" customFormat="false" ht="15.75" hidden="false" customHeight="true" outlineLevel="0" collapsed="false">
      <c r="A28" s="7" t="n">
        <v>8</v>
      </c>
      <c r="B28" s="7" t="n">
        <v>2</v>
      </c>
      <c r="C28" s="7" t="n">
        <v>1</v>
      </c>
      <c r="D28" s="9" t="s">
        <v>50</v>
      </c>
      <c r="E28" s="9" t="s">
        <v>26</v>
      </c>
      <c r="F28" s="9" t="s">
        <v>18</v>
      </c>
      <c r="G28" s="9" t="s">
        <v>32</v>
      </c>
      <c r="H28" s="10" t="s">
        <v>20</v>
      </c>
      <c r="I28" s="11" t="s">
        <v>19</v>
      </c>
      <c r="J28" s="10" t="s">
        <v>21</v>
      </c>
      <c r="K28" s="10" t="s">
        <v>22</v>
      </c>
      <c r="L28" s="10" t="s">
        <v>21</v>
      </c>
      <c r="M28" s="10" t="s">
        <v>22</v>
      </c>
      <c r="N28" s="7" t="n">
        <v>1</v>
      </c>
      <c r="O28" s="7" t="n">
        <v>0</v>
      </c>
    </row>
    <row r="29" customFormat="false" ht="15.75" hidden="false" customHeight="true" outlineLevel="0" collapsed="false">
      <c r="A29" s="7" t="n">
        <v>8</v>
      </c>
      <c r="B29" s="7" t="n">
        <v>2</v>
      </c>
      <c r="C29" s="7" t="n">
        <v>1</v>
      </c>
      <c r="D29" s="9" t="s">
        <v>50</v>
      </c>
      <c r="E29" s="9" t="s">
        <v>26</v>
      </c>
      <c r="F29" s="9" t="s">
        <v>18</v>
      </c>
      <c r="G29" s="9" t="s">
        <v>32</v>
      </c>
      <c r="H29" s="13" t="s">
        <v>20</v>
      </c>
      <c r="I29" s="11" t="s">
        <v>19</v>
      </c>
      <c r="J29" s="13" t="s">
        <v>21</v>
      </c>
      <c r="K29" s="13" t="s">
        <v>22</v>
      </c>
      <c r="L29" s="13" t="s">
        <v>21</v>
      </c>
      <c r="M29" s="13" t="s">
        <v>22</v>
      </c>
      <c r="N29" s="7" t="n">
        <v>1</v>
      </c>
      <c r="O29" s="7" t="n">
        <v>0</v>
      </c>
    </row>
    <row r="30" customFormat="false" ht="15.75" hidden="false" customHeight="true" outlineLevel="0" collapsed="false">
      <c r="A30" s="7" t="n">
        <v>8</v>
      </c>
      <c r="B30" s="7" t="n">
        <v>2</v>
      </c>
      <c r="C30" s="7" t="n">
        <v>1</v>
      </c>
      <c r="D30" s="9" t="s">
        <v>50</v>
      </c>
      <c r="E30" s="9" t="s">
        <v>26</v>
      </c>
      <c r="F30" s="9" t="s">
        <v>18</v>
      </c>
      <c r="G30" s="9" t="s">
        <v>32</v>
      </c>
      <c r="H30" s="10" t="s">
        <v>20</v>
      </c>
      <c r="I30" s="11" t="s">
        <v>19</v>
      </c>
      <c r="J30" s="10" t="s">
        <v>21</v>
      </c>
      <c r="K30" s="10" t="s">
        <v>22</v>
      </c>
      <c r="L30" s="10" t="s">
        <v>21</v>
      </c>
      <c r="M30" s="10" t="s">
        <v>22</v>
      </c>
      <c r="N30" s="7" t="n">
        <v>1</v>
      </c>
      <c r="O30" s="7" t="n">
        <v>0</v>
      </c>
    </row>
    <row r="31" customFormat="false" ht="15.75" hidden="false" customHeight="true" outlineLevel="0" collapsed="false">
      <c r="A31" s="7" t="n">
        <v>8</v>
      </c>
      <c r="B31" s="7" t="n">
        <v>2</v>
      </c>
      <c r="C31" s="7" t="n">
        <v>1</v>
      </c>
      <c r="D31" s="9" t="s">
        <v>50</v>
      </c>
      <c r="E31" s="9" t="s">
        <v>26</v>
      </c>
      <c r="F31" s="9" t="s">
        <v>18</v>
      </c>
      <c r="G31" s="9" t="s">
        <v>32</v>
      </c>
      <c r="H31" s="13" t="s">
        <v>20</v>
      </c>
      <c r="I31" s="11" t="s">
        <v>19</v>
      </c>
      <c r="J31" s="13" t="s">
        <v>21</v>
      </c>
      <c r="K31" s="13" t="s">
        <v>22</v>
      </c>
      <c r="L31" s="13" t="s">
        <v>21</v>
      </c>
      <c r="M31" s="13" t="s">
        <v>22</v>
      </c>
      <c r="N31" s="7" t="n">
        <v>0</v>
      </c>
      <c r="O31" s="7" t="n">
        <v>1</v>
      </c>
    </row>
    <row r="32" customFormat="false" ht="15.75" hidden="false" customHeight="true" outlineLevel="0" collapsed="false">
      <c r="A32" s="7" t="n">
        <v>8</v>
      </c>
      <c r="B32" s="7" t="n">
        <v>2</v>
      </c>
      <c r="C32" s="7" t="n">
        <v>1</v>
      </c>
      <c r="D32" s="9" t="s">
        <v>50</v>
      </c>
      <c r="E32" s="9" t="s">
        <v>26</v>
      </c>
      <c r="F32" s="9" t="s">
        <v>18</v>
      </c>
      <c r="G32" s="9" t="s">
        <v>32</v>
      </c>
      <c r="H32" s="10" t="s">
        <v>20</v>
      </c>
      <c r="I32" s="11" t="s">
        <v>19</v>
      </c>
      <c r="J32" s="10" t="s">
        <v>21</v>
      </c>
      <c r="K32" s="10" t="s">
        <v>22</v>
      </c>
      <c r="L32" s="10" t="s">
        <v>21</v>
      </c>
      <c r="M32" s="10" t="s">
        <v>22</v>
      </c>
      <c r="N32" s="7" t="n">
        <v>0</v>
      </c>
      <c r="O32" s="7" t="n">
        <v>1</v>
      </c>
    </row>
    <row r="33" customFormat="false" ht="15.75" hidden="false" customHeight="true" outlineLevel="0" collapsed="false">
      <c r="A33" s="7" t="n">
        <v>8</v>
      </c>
      <c r="B33" s="7" t="n">
        <v>2</v>
      </c>
      <c r="C33" s="7" t="n">
        <v>1</v>
      </c>
      <c r="D33" s="9" t="s">
        <v>50</v>
      </c>
      <c r="E33" s="9" t="s">
        <v>26</v>
      </c>
      <c r="F33" s="9" t="s">
        <v>18</v>
      </c>
      <c r="G33" s="9" t="s">
        <v>32</v>
      </c>
      <c r="H33" s="13" t="s">
        <v>20</v>
      </c>
      <c r="I33" s="11" t="s">
        <v>19</v>
      </c>
      <c r="J33" s="13" t="s">
        <v>21</v>
      </c>
      <c r="K33" s="13" t="s">
        <v>22</v>
      </c>
      <c r="L33" s="13" t="s">
        <v>21</v>
      </c>
      <c r="M33" s="13" t="s">
        <v>22</v>
      </c>
      <c r="N33" s="7" t="n">
        <v>0</v>
      </c>
      <c r="O33" s="7" t="n">
        <v>1</v>
      </c>
    </row>
    <row r="34" customFormat="false" ht="15.75" hidden="false" customHeight="true" outlineLevel="0" collapsed="false">
      <c r="A34" s="7" t="n">
        <v>8</v>
      </c>
      <c r="B34" s="7" t="n">
        <v>2</v>
      </c>
      <c r="C34" s="7" t="n">
        <v>1</v>
      </c>
      <c r="D34" s="9" t="s">
        <v>50</v>
      </c>
      <c r="E34" s="9" t="s">
        <v>26</v>
      </c>
      <c r="F34" s="9" t="s">
        <v>18</v>
      </c>
      <c r="G34" s="9" t="s">
        <v>32</v>
      </c>
      <c r="H34" s="10" t="s">
        <v>20</v>
      </c>
      <c r="I34" s="11" t="s">
        <v>19</v>
      </c>
      <c r="J34" s="10" t="s">
        <v>21</v>
      </c>
      <c r="K34" s="10" t="s">
        <v>22</v>
      </c>
      <c r="L34" s="10" t="s">
        <v>21</v>
      </c>
      <c r="M34" s="10" t="s">
        <v>22</v>
      </c>
      <c r="N34" s="7" t="n">
        <v>1</v>
      </c>
      <c r="O34" s="7" t="n">
        <v>0</v>
      </c>
    </row>
    <row r="35" customFormat="false" ht="15.75" hidden="false" customHeight="true" outlineLevel="0" collapsed="false">
      <c r="A35" s="7" t="n">
        <v>8</v>
      </c>
      <c r="B35" s="7" t="n">
        <v>2</v>
      </c>
      <c r="C35" s="7" t="n">
        <v>1</v>
      </c>
      <c r="D35" s="9" t="s">
        <v>50</v>
      </c>
      <c r="E35" s="9" t="s">
        <v>26</v>
      </c>
      <c r="F35" s="9" t="s">
        <v>18</v>
      </c>
      <c r="G35" s="9" t="s">
        <v>32</v>
      </c>
      <c r="H35" s="13" t="s">
        <v>20</v>
      </c>
      <c r="I35" s="11" t="s">
        <v>19</v>
      </c>
      <c r="J35" s="13" t="s">
        <v>21</v>
      </c>
      <c r="K35" s="13" t="s">
        <v>22</v>
      </c>
      <c r="L35" s="13" t="s">
        <v>21</v>
      </c>
      <c r="M35" s="13" t="s">
        <v>22</v>
      </c>
      <c r="N35" s="7" t="n">
        <v>0</v>
      </c>
      <c r="O35" s="7" t="n">
        <v>1</v>
      </c>
    </row>
    <row r="36" customFormat="false" ht="15.75" hidden="true" customHeight="true" outlineLevel="0" collapsed="false">
      <c r="A36" s="7" t="n">
        <v>10</v>
      </c>
      <c r="B36" s="7" t="n">
        <v>2</v>
      </c>
      <c r="C36" s="7" t="n">
        <v>1</v>
      </c>
      <c r="D36" s="9" t="s">
        <v>40</v>
      </c>
      <c r="E36" s="9" t="s">
        <v>53</v>
      </c>
      <c r="F36" s="9" t="s">
        <v>51</v>
      </c>
      <c r="G36" s="9" t="s">
        <v>50</v>
      </c>
      <c r="H36" s="10" t="s">
        <v>20</v>
      </c>
      <c r="I36" s="11" t="s">
        <v>19</v>
      </c>
      <c r="J36" s="10" t="s">
        <v>21</v>
      </c>
      <c r="K36" s="10" t="s">
        <v>22</v>
      </c>
      <c r="L36" s="10" t="s">
        <v>21</v>
      </c>
      <c r="M36" s="10" t="s">
        <v>22</v>
      </c>
      <c r="N36" s="7" t="n">
        <v>0</v>
      </c>
      <c r="O36" s="7" t="n">
        <v>1</v>
      </c>
    </row>
    <row r="37" customFormat="false" ht="15.75" hidden="true" customHeight="true" outlineLevel="0" collapsed="false">
      <c r="A37" s="7" t="n">
        <v>10</v>
      </c>
      <c r="B37" s="7" t="n">
        <v>2</v>
      </c>
      <c r="C37" s="7" t="n">
        <v>2</v>
      </c>
      <c r="D37" s="9" t="s">
        <v>40</v>
      </c>
      <c r="E37" s="9" t="s">
        <v>53</v>
      </c>
      <c r="F37" s="9" t="s">
        <v>51</v>
      </c>
      <c r="G37" s="9" t="s">
        <v>50</v>
      </c>
      <c r="H37" s="13" t="s">
        <v>20</v>
      </c>
      <c r="I37" s="11" t="s">
        <v>19</v>
      </c>
      <c r="J37" s="13" t="s">
        <v>21</v>
      </c>
      <c r="K37" s="13" t="s">
        <v>22</v>
      </c>
      <c r="L37" s="13" t="s">
        <v>21</v>
      </c>
      <c r="M37" s="13" t="s">
        <v>22</v>
      </c>
      <c r="N37" s="7" t="n">
        <v>1</v>
      </c>
      <c r="O37" s="7" t="n">
        <v>0</v>
      </c>
    </row>
    <row r="38" customFormat="false" ht="15.75" hidden="true" customHeight="true" outlineLevel="0" collapsed="false">
      <c r="A38" s="7" t="n">
        <v>10</v>
      </c>
      <c r="B38" s="7" t="n">
        <v>2</v>
      </c>
      <c r="C38" s="7" t="n">
        <v>3</v>
      </c>
      <c r="D38" s="9" t="s">
        <v>40</v>
      </c>
      <c r="E38" s="9" t="s">
        <v>53</v>
      </c>
      <c r="F38" s="9" t="s">
        <v>51</v>
      </c>
      <c r="G38" s="9" t="s">
        <v>50</v>
      </c>
      <c r="H38" s="10" t="s">
        <v>20</v>
      </c>
      <c r="I38" s="11" t="s">
        <v>19</v>
      </c>
      <c r="J38" s="10" t="s">
        <v>21</v>
      </c>
      <c r="K38" s="10" t="s">
        <v>22</v>
      </c>
      <c r="L38" s="10" t="s">
        <v>21</v>
      </c>
      <c r="M38" s="10" t="s">
        <v>22</v>
      </c>
      <c r="N38" s="7" t="n">
        <v>0</v>
      </c>
      <c r="O38" s="7" t="n">
        <v>1</v>
      </c>
    </row>
    <row r="39" customFormat="false" ht="15.75" hidden="true" customHeight="true" outlineLevel="0" collapsed="false">
      <c r="A39" s="7" t="n">
        <v>10</v>
      </c>
      <c r="B39" s="7" t="n">
        <v>2</v>
      </c>
      <c r="C39" s="7" t="n">
        <v>4</v>
      </c>
      <c r="D39" s="9" t="s">
        <v>40</v>
      </c>
      <c r="E39" s="9" t="s">
        <v>53</v>
      </c>
      <c r="F39" s="9" t="s">
        <v>51</v>
      </c>
      <c r="G39" s="9" t="s">
        <v>50</v>
      </c>
      <c r="H39" s="13" t="s">
        <v>20</v>
      </c>
      <c r="I39" s="11" t="s">
        <v>19</v>
      </c>
      <c r="J39" s="13" t="s">
        <v>21</v>
      </c>
      <c r="K39" s="13" t="s">
        <v>22</v>
      </c>
      <c r="L39" s="13" t="s">
        <v>22</v>
      </c>
      <c r="M39" s="13" t="s">
        <v>21</v>
      </c>
      <c r="N39" s="7" t="n">
        <v>1</v>
      </c>
      <c r="O39" s="7" t="n">
        <v>0</v>
      </c>
    </row>
    <row r="40" customFormat="false" ht="15.75" hidden="true" customHeight="true" outlineLevel="0" collapsed="false">
      <c r="A40" s="7" t="n">
        <v>10</v>
      </c>
      <c r="B40" s="7" t="n">
        <v>2</v>
      </c>
      <c r="C40" s="7" t="n">
        <v>5</v>
      </c>
      <c r="D40" s="9" t="s">
        <v>40</v>
      </c>
      <c r="E40" s="9" t="s">
        <v>53</v>
      </c>
      <c r="F40" s="9" t="s">
        <v>51</v>
      </c>
      <c r="G40" s="9" t="s">
        <v>50</v>
      </c>
      <c r="H40" s="10" t="s">
        <v>20</v>
      </c>
      <c r="I40" s="11" t="s">
        <v>19</v>
      </c>
      <c r="J40" s="10" t="s">
        <v>21</v>
      </c>
      <c r="K40" s="10" t="s">
        <v>22</v>
      </c>
      <c r="L40" s="10" t="s">
        <v>22</v>
      </c>
      <c r="M40" s="10" t="s">
        <v>21</v>
      </c>
      <c r="N40" s="7" t="n">
        <v>0</v>
      </c>
      <c r="O40" s="7" t="n">
        <v>1</v>
      </c>
    </row>
    <row r="41" customFormat="false" ht="15.75" hidden="true" customHeight="true" outlineLevel="0" collapsed="false">
      <c r="A41" s="7" t="n">
        <v>10</v>
      </c>
      <c r="B41" s="7" t="n">
        <v>2</v>
      </c>
      <c r="C41" s="7" t="n">
        <v>6</v>
      </c>
      <c r="D41" s="9" t="s">
        <v>40</v>
      </c>
      <c r="E41" s="9" t="s">
        <v>53</v>
      </c>
      <c r="F41" s="9" t="s">
        <v>51</v>
      </c>
      <c r="G41" s="9" t="s">
        <v>50</v>
      </c>
      <c r="H41" s="13" t="s">
        <v>20</v>
      </c>
      <c r="I41" s="11" t="s">
        <v>19</v>
      </c>
      <c r="J41" s="13" t="s">
        <v>21</v>
      </c>
      <c r="K41" s="13" t="s">
        <v>22</v>
      </c>
      <c r="L41" s="13" t="s">
        <v>22</v>
      </c>
      <c r="M41" s="13" t="s">
        <v>21</v>
      </c>
      <c r="N41" s="7" t="n">
        <v>1</v>
      </c>
      <c r="O41" s="7" t="n">
        <v>0</v>
      </c>
    </row>
    <row r="42" customFormat="false" ht="15.75" hidden="true" customHeight="true" outlineLevel="0" collapsed="false">
      <c r="A42" s="7" t="n">
        <v>10</v>
      </c>
      <c r="B42" s="7" t="n">
        <v>2</v>
      </c>
      <c r="C42" s="7" t="n">
        <v>7</v>
      </c>
      <c r="D42" s="9" t="s">
        <v>40</v>
      </c>
      <c r="E42" s="9" t="s">
        <v>53</v>
      </c>
      <c r="F42" s="9" t="s">
        <v>51</v>
      </c>
      <c r="G42" s="9" t="s">
        <v>50</v>
      </c>
      <c r="H42" s="10" t="s">
        <v>20</v>
      </c>
      <c r="I42" s="11" t="s">
        <v>19</v>
      </c>
      <c r="J42" s="10" t="s">
        <v>21</v>
      </c>
      <c r="K42" s="10" t="s">
        <v>22</v>
      </c>
      <c r="L42" s="10" t="s">
        <v>22</v>
      </c>
      <c r="M42" s="10" t="s">
        <v>21</v>
      </c>
      <c r="N42" s="7" t="n">
        <v>1</v>
      </c>
      <c r="O42" s="7" t="n">
        <v>0</v>
      </c>
    </row>
    <row r="43" customFormat="false" ht="15.75" hidden="true" customHeight="true" outlineLevel="0" collapsed="false">
      <c r="A43" s="7" t="n">
        <v>10</v>
      </c>
      <c r="B43" s="7" t="n">
        <v>2</v>
      </c>
      <c r="C43" s="7" t="n">
        <v>8</v>
      </c>
      <c r="D43" s="9" t="s">
        <v>40</v>
      </c>
      <c r="E43" s="9" t="s">
        <v>53</v>
      </c>
      <c r="F43" s="9" t="s">
        <v>51</v>
      </c>
      <c r="G43" s="9" t="s">
        <v>50</v>
      </c>
      <c r="H43" s="13" t="s">
        <v>20</v>
      </c>
      <c r="I43" s="11" t="s">
        <v>19</v>
      </c>
      <c r="J43" s="13" t="s">
        <v>21</v>
      </c>
      <c r="K43" s="13" t="s">
        <v>22</v>
      </c>
      <c r="L43" s="13" t="s">
        <v>22</v>
      </c>
      <c r="M43" s="13" t="s">
        <v>21</v>
      </c>
      <c r="N43" s="7" t="n">
        <v>1</v>
      </c>
      <c r="O43" s="7" t="n">
        <v>0</v>
      </c>
    </row>
    <row r="44" customFormat="false" ht="15.75" hidden="true" customHeight="true" outlineLevel="0" collapsed="false">
      <c r="A44" s="7" t="n">
        <v>10</v>
      </c>
      <c r="B44" s="7" t="n">
        <v>2</v>
      </c>
      <c r="C44" s="7" t="n">
        <v>9</v>
      </c>
      <c r="D44" s="9" t="s">
        <v>40</v>
      </c>
      <c r="E44" s="9" t="s">
        <v>53</v>
      </c>
      <c r="F44" s="9" t="s">
        <v>51</v>
      </c>
      <c r="G44" s="9" t="s">
        <v>50</v>
      </c>
      <c r="H44" s="10" t="s">
        <v>20</v>
      </c>
      <c r="I44" s="11" t="s">
        <v>19</v>
      </c>
      <c r="J44" s="10" t="s">
        <v>21</v>
      </c>
      <c r="K44" s="10" t="s">
        <v>22</v>
      </c>
      <c r="L44" s="10" t="s">
        <v>22</v>
      </c>
      <c r="M44" s="10" t="s">
        <v>21</v>
      </c>
      <c r="N44" s="7" t="n">
        <v>0</v>
      </c>
      <c r="O44" s="7" t="n">
        <v>1</v>
      </c>
    </row>
    <row r="45" customFormat="false" ht="15.75" hidden="true" customHeight="true" outlineLevel="0" collapsed="false">
      <c r="A45" s="7" t="n">
        <v>10</v>
      </c>
      <c r="B45" s="7" t="n">
        <v>2</v>
      </c>
      <c r="C45" s="7" t="n">
        <v>10</v>
      </c>
      <c r="D45" s="9" t="s">
        <v>40</v>
      </c>
      <c r="E45" s="9" t="s">
        <v>53</v>
      </c>
      <c r="F45" s="9" t="s">
        <v>51</v>
      </c>
      <c r="G45" s="9" t="s">
        <v>50</v>
      </c>
      <c r="H45" s="13" t="s">
        <v>20</v>
      </c>
      <c r="I45" s="11" t="s">
        <v>19</v>
      </c>
      <c r="J45" s="13" t="s">
        <v>21</v>
      </c>
      <c r="K45" s="13" t="s">
        <v>22</v>
      </c>
      <c r="L45" s="13" t="s">
        <v>22</v>
      </c>
      <c r="M45" s="13" t="s">
        <v>21</v>
      </c>
      <c r="N45" s="7" t="n">
        <v>0</v>
      </c>
      <c r="O45" s="7" t="n">
        <v>1</v>
      </c>
    </row>
    <row r="46" customFormat="false" ht="15.75" hidden="true" customHeight="true" outlineLevel="0" collapsed="false">
      <c r="A46" s="7" t="n">
        <v>10</v>
      </c>
      <c r="B46" s="7" t="n">
        <v>2</v>
      </c>
      <c r="C46" s="7" t="n">
        <v>11</v>
      </c>
      <c r="D46" s="9" t="s">
        <v>40</v>
      </c>
      <c r="E46" s="9" t="s">
        <v>53</v>
      </c>
      <c r="F46" s="9" t="s">
        <v>51</v>
      </c>
      <c r="G46" s="9" t="s">
        <v>50</v>
      </c>
      <c r="H46" s="10" t="s">
        <v>20</v>
      </c>
      <c r="I46" s="11" t="s">
        <v>19</v>
      </c>
      <c r="J46" s="10" t="s">
        <v>21</v>
      </c>
      <c r="K46" s="10" t="s">
        <v>22</v>
      </c>
      <c r="L46" s="10" t="s">
        <v>22</v>
      </c>
      <c r="M46" s="10" t="s">
        <v>21</v>
      </c>
      <c r="N46" s="7" t="n">
        <v>0</v>
      </c>
      <c r="O46" s="7" t="n">
        <v>1</v>
      </c>
    </row>
    <row r="47" customFormat="false" ht="15.75" hidden="true" customHeight="true" outlineLevel="0" collapsed="false">
      <c r="A47" s="7" t="n">
        <v>10</v>
      </c>
      <c r="B47" s="7" t="n">
        <v>2</v>
      </c>
      <c r="C47" s="7" t="n">
        <v>12</v>
      </c>
      <c r="D47" s="9" t="s">
        <v>40</v>
      </c>
      <c r="E47" s="9" t="s">
        <v>53</v>
      </c>
      <c r="F47" s="9" t="s">
        <v>51</v>
      </c>
      <c r="G47" s="9" t="s">
        <v>50</v>
      </c>
      <c r="H47" s="13" t="s">
        <v>20</v>
      </c>
      <c r="I47" s="11" t="s">
        <v>19</v>
      </c>
      <c r="J47" s="13" t="s">
        <v>21</v>
      </c>
      <c r="K47" s="13" t="s">
        <v>22</v>
      </c>
      <c r="L47" s="13" t="s">
        <v>22</v>
      </c>
      <c r="M47" s="13" t="s">
        <v>21</v>
      </c>
      <c r="N47" s="7" t="n">
        <v>1</v>
      </c>
      <c r="O47" s="7" t="n">
        <v>0</v>
      </c>
    </row>
    <row r="48" customFormat="false" ht="15.75" hidden="true" customHeight="true" outlineLevel="0" collapsed="false">
      <c r="A48" s="7" t="n">
        <v>10</v>
      </c>
      <c r="B48" s="7" t="n">
        <v>2</v>
      </c>
      <c r="C48" s="7" t="n">
        <v>13</v>
      </c>
      <c r="D48" s="9" t="s">
        <v>40</v>
      </c>
      <c r="E48" s="9" t="s">
        <v>53</v>
      </c>
      <c r="F48" s="9" t="s">
        <v>51</v>
      </c>
      <c r="G48" s="9" t="s">
        <v>50</v>
      </c>
      <c r="H48" s="10" t="s">
        <v>20</v>
      </c>
      <c r="I48" s="11" t="s">
        <v>19</v>
      </c>
      <c r="J48" s="10" t="s">
        <v>21</v>
      </c>
      <c r="K48" s="10" t="s">
        <v>22</v>
      </c>
      <c r="L48" s="10" t="s">
        <v>22</v>
      </c>
      <c r="M48" s="10" t="s">
        <v>21</v>
      </c>
      <c r="N48" s="7" t="n">
        <v>1</v>
      </c>
      <c r="O48" s="7" t="n">
        <v>0</v>
      </c>
    </row>
    <row r="49" customFormat="false" ht="15.75" hidden="true" customHeight="true" outlineLevel="0" collapsed="false">
      <c r="A49" s="7" t="n">
        <v>14</v>
      </c>
      <c r="B49" s="7" t="n">
        <v>2</v>
      </c>
      <c r="C49" s="7" t="n">
        <v>1</v>
      </c>
      <c r="D49" s="9" t="s">
        <v>42</v>
      </c>
      <c r="E49" s="9" t="s">
        <v>47</v>
      </c>
      <c r="F49" s="9" t="s">
        <v>17</v>
      </c>
      <c r="G49" s="9" t="s">
        <v>39</v>
      </c>
      <c r="H49" s="13" t="s">
        <v>20</v>
      </c>
      <c r="I49" s="11" t="s">
        <v>19</v>
      </c>
      <c r="J49" s="13" t="s">
        <v>21</v>
      </c>
      <c r="K49" s="13" t="s">
        <v>22</v>
      </c>
      <c r="L49" s="13" t="s">
        <v>22</v>
      </c>
      <c r="M49" s="13" t="s">
        <v>21</v>
      </c>
      <c r="N49" s="7" t="n">
        <v>1</v>
      </c>
      <c r="O49" s="7" t="n">
        <v>0</v>
      </c>
    </row>
    <row r="50" customFormat="false" ht="15.75" hidden="true" customHeight="true" outlineLevel="0" collapsed="false">
      <c r="A50" s="7" t="n">
        <v>14</v>
      </c>
      <c r="B50" s="7" t="n">
        <v>2</v>
      </c>
      <c r="C50" s="7" t="n">
        <v>2</v>
      </c>
      <c r="D50" s="9" t="s">
        <v>42</v>
      </c>
      <c r="E50" s="9" t="s">
        <v>47</v>
      </c>
      <c r="F50" s="9" t="s">
        <v>17</v>
      </c>
      <c r="G50" s="9" t="s">
        <v>39</v>
      </c>
      <c r="H50" s="10" t="s">
        <v>20</v>
      </c>
      <c r="I50" s="11" t="s">
        <v>19</v>
      </c>
      <c r="J50" s="10" t="s">
        <v>21</v>
      </c>
      <c r="K50" s="10" t="s">
        <v>22</v>
      </c>
      <c r="L50" s="10" t="s">
        <v>22</v>
      </c>
      <c r="M50" s="10" t="s">
        <v>21</v>
      </c>
      <c r="N50" s="7" t="n">
        <v>1</v>
      </c>
      <c r="O50" s="7" t="n">
        <v>0</v>
      </c>
    </row>
    <row r="51" customFormat="false" ht="15.75" hidden="true" customHeight="true" outlineLevel="0" collapsed="false">
      <c r="A51" s="7" t="n">
        <v>14</v>
      </c>
      <c r="B51" s="7" t="n">
        <v>2</v>
      </c>
      <c r="C51" s="7" t="n">
        <v>3</v>
      </c>
      <c r="D51" s="9" t="s">
        <v>42</v>
      </c>
      <c r="E51" s="9" t="s">
        <v>47</v>
      </c>
      <c r="F51" s="9" t="s">
        <v>17</v>
      </c>
      <c r="G51" s="9" t="s">
        <v>39</v>
      </c>
      <c r="H51" s="13" t="s">
        <v>20</v>
      </c>
      <c r="I51" s="11" t="s">
        <v>19</v>
      </c>
      <c r="J51" s="13" t="s">
        <v>21</v>
      </c>
      <c r="K51" s="13" t="s">
        <v>22</v>
      </c>
      <c r="L51" s="13" t="s">
        <v>22</v>
      </c>
      <c r="M51" s="13" t="s">
        <v>21</v>
      </c>
      <c r="N51" s="7" t="n">
        <v>1</v>
      </c>
      <c r="O51" s="7" t="n">
        <v>0</v>
      </c>
    </row>
    <row r="52" customFormat="false" ht="15.75" hidden="true" customHeight="true" outlineLevel="0" collapsed="false">
      <c r="A52" s="7" t="n">
        <v>14</v>
      </c>
      <c r="B52" s="7" t="n">
        <v>2</v>
      </c>
      <c r="C52" s="7" t="n">
        <v>4</v>
      </c>
      <c r="D52" s="9" t="s">
        <v>42</v>
      </c>
      <c r="E52" s="9" t="s">
        <v>47</v>
      </c>
      <c r="F52" s="9" t="s">
        <v>17</v>
      </c>
      <c r="G52" s="9" t="s">
        <v>39</v>
      </c>
      <c r="H52" s="10" t="s">
        <v>20</v>
      </c>
      <c r="I52" s="11" t="s">
        <v>19</v>
      </c>
      <c r="J52" s="10" t="s">
        <v>21</v>
      </c>
      <c r="K52" s="10" t="s">
        <v>22</v>
      </c>
      <c r="L52" s="10" t="s">
        <v>22</v>
      </c>
      <c r="M52" s="10" t="s">
        <v>21</v>
      </c>
      <c r="N52" s="7" t="n">
        <v>1</v>
      </c>
      <c r="O52" s="7" t="n">
        <v>0</v>
      </c>
    </row>
    <row r="53" customFormat="false" ht="15.75" hidden="true" customHeight="true" outlineLevel="0" collapsed="false">
      <c r="A53" s="7" t="n">
        <v>14</v>
      </c>
      <c r="B53" s="7" t="n">
        <v>2</v>
      </c>
      <c r="C53" s="7" t="n">
        <v>5</v>
      </c>
      <c r="D53" s="9" t="s">
        <v>42</v>
      </c>
      <c r="E53" s="9" t="s">
        <v>47</v>
      </c>
      <c r="F53" s="9" t="s">
        <v>17</v>
      </c>
      <c r="G53" s="9" t="s">
        <v>39</v>
      </c>
      <c r="H53" s="13" t="s">
        <v>20</v>
      </c>
      <c r="I53" s="11" t="s">
        <v>19</v>
      </c>
      <c r="J53" s="13" t="s">
        <v>21</v>
      </c>
      <c r="K53" s="13" t="s">
        <v>22</v>
      </c>
      <c r="L53" s="13" t="s">
        <v>22</v>
      </c>
      <c r="M53" s="13" t="s">
        <v>21</v>
      </c>
      <c r="N53" s="7" t="n">
        <v>1</v>
      </c>
      <c r="O53" s="7" t="n">
        <v>0</v>
      </c>
    </row>
    <row r="54" customFormat="false" ht="15.75" hidden="true" customHeight="true" outlineLevel="0" collapsed="false">
      <c r="A54" s="7" t="n">
        <v>14</v>
      </c>
      <c r="B54" s="7" t="n">
        <v>2</v>
      </c>
      <c r="C54" s="7" t="n">
        <v>6</v>
      </c>
      <c r="D54" s="9" t="s">
        <v>42</v>
      </c>
      <c r="E54" s="9" t="s">
        <v>47</v>
      </c>
      <c r="F54" s="9" t="s">
        <v>17</v>
      </c>
      <c r="G54" s="9" t="s">
        <v>39</v>
      </c>
      <c r="H54" s="10" t="s">
        <v>20</v>
      </c>
      <c r="I54" s="11" t="s">
        <v>19</v>
      </c>
      <c r="J54" s="10" t="s">
        <v>21</v>
      </c>
      <c r="K54" s="10" t="s">
        <v>22</v>
      </c>
      <c r="L54" s="10" t="s">
        <v>22</v>
      </c>
      <c r="M54" s="10" t="s">
        <v>21</v>
      </c>
      <c r="N54" s="7" t="n">
        <v>0</v>
      </c>
      <c r="O54" s="7" t="n">
        <v>1</v>
      </c>
    </row>
    <row r="55" customFormat="false" ht="15.75" hidden="true" customHeight="true" outlineLevel="0" collapsed="false">
      <c r="A55" s="7" t="n">
        <v>14</v>
      </c>
      <c r="B55" s="7" t="n">
        <v>2</v>
      </c>
      <c r="C55" s="7" t="n">
        <v>7</v>
      </c>
      <c r="D55" s="9" t="s">
        <v>42</v>
      </c>
      <c r="E55" s="9" t="s">
        <v>47</v>
      </c>
      <c r="F55" s="9" t="s">
        <v>17</v>
      </c>
      <c r="G55" s="9" t="s">
        <v>39</v>
      </c>
      <c r="H55" s="13" t="s">
        <v>20</v>
      </c>
      <c r="I55" s="11" t="s">
        <v>19</v>
      </c>
      <c r="J55" s="13" t="s">
        <v>21</v>
      </c>
      <c r="K55" s="13" t="s">
        <v>22</v>
      </c>
      <c r="L55" s="13" t="s">
        <v>22</v>
      </c>
      <c r="M55" s="13" t="s">
        <v>21</v>
      </c>
      <c r="N55" s="7" t="n">
        <v>0</v>
      </c>
      <c r="O55" s="7" t="n">
        <v>1</v>
      </c>
    </row>
    <row r="56" customFormat="false" ht="15.75" hidden="true" customHeight="true" outlineLevel="0" collapsed="false">
      <c r="A56" s="7" t="n">
        <v>14</v>
      </c>
      <c r="B56" s="7" t="n">
        <v>2</v>
      </c>
      <c r="C56" s="7" t="n">
        <v>8</v>
      </c>
      <c r="D56" s="9" t="s">
        <v>42</v>
      </c>
      <c r="E56" s="9" t="s">
        <v>47</v>
      </c>
      <c r="F56" s="9" t="s">
        <v>17</v>
      </c>
      <c r="G56" s="9" t="s">
        <v>39</v>
      </c>
      <c r="H56" s="10" t="s">
        <v>20</v>
      </c>
      <c r="I56" s="11" t="s">
        <v>19</v>
      </c>
      <c r="J56" s="10" t="s">
        <v>21</v>
      </c>
      <c r="K56" s="10" t="s">
        <v>22</v>
      </c>
      <c r="L56" s="10" t="s">
        <v>22</v>
      </c>
      <c r="M56" s="10" t="s">
        <v>21</v>
      </c>
      <c r="N56" s="7" t="n">
        <v>0</v>
      </c>
      <c r="O56" s="7" t="n">
        <v>1</v>
      </c>
    </row>
    <row r="57" customFormat="false" ht="15.75" hidden="true" customHeight="true" outlineLevel="0" collapsed="false">
      <c r="A57" s="7" t="n">
        <v>14</v>
      </c>
      <c r="B57" s="7" t="n">
        <v>2</v>
      </c>
      <c r="C57" s="7" t="n">
        <v>9</v>
      </c>
      <c r="D57" s="9" t="s">
        <v>42</v>
      </c>
      <c r="E57" s="9" t="s">
        <v>47</v>
      </c>
      <c r="F57" s="9" t="s">
        <v>17</v>
      </c>
      <c r="G57" s="9" t="s">
        <v>39</v>
      </c>
      <c r="H57" s="13" t="s">
        <v>20</v>
      </c>
      <c r="I57" s="11" t="s">
        <v>19</v>
      </c>
      <c r="J57" s="13" t="s">
        <v>21</v>
      </c>
      <c r="K57" s="13" t="s">
        <v>22</v>
      </c>
      <c r="L57" s="13" t="s">
        <v>22</v>
      </c>
      <c r="M57" s="13" t="s">
        <v>21</v>
      </c>
      <c r="N57" s="7" t="n">
        <v>1</v>
      </c>
      <c r="O57" s="7" t="n">
        <v>0</v>
      </c>
    </row>
    <row r="58" customFormat="false" ht="15.75" hidden="true" customHeight="true" outlineLevel="0" collapsed="false">
      <c r="A58" s="7" t="n">
        <v>14</v>
      </c>
      <c r="B58" s="7" t="n">
        <v>2</v>
      </c>
      <c r="C58" s="7" t="n">
        <v>10</v>
      </c>
      <c r="D58" s="9" t="s">
        <v>42</v>
      </c>
      <c r="E58" s="9" t="s">
        <v>47</v>
      </c>
      <c r="F58" s="9" t="s">
        <v>17</v>
      </c>
      <c r="G58" s="9" t="s">
        <v>39</v>
      </c>
      <c r="H58" s="10" t="s">
        <v>20</v>
      </c>
      <c r="I58" s="11" t="s">
        <v>19</v>
      </c>
      <c r="J58" s="10" t="s">
        <v>21</v>
      </c>
      <c r="K58" s="10" t="s">
        <v>22</v>
      </c>
      <c r="L58" s="10" t="s">
        <v>22</v>
      </c>
      <c r="M58" s="10" t="s">
        <v>21</v>
      </c>
      <c r="N58" s="7" t="n">
        <v>1</v>
      </c>
      <c r="O58" s="7" t="n">
        <v>0</v>
      </c>
    </row>
    <row r="59" customFormat="false" ht="15.75" hidden="true" customHeight="true" outlineLevel="0" collapsed="false">
      <c r="A59" s="7" t="n">
        <v>4</v>
      </c>
      <c r="B59" s="7" t="n">
        <v>2</v>
      </c>
      <c r="C59" s="7" t="n">
        <v>1</v>
      </c>
      <c r="D59" s="9" t="s">
        <v>37</v>
      </c>
      <c r="E59" s="9" t="s">
        <v>30</v>
      </c>
      <c r="F59" s="9" t="s">
        <v>24</v>
      </c>
      <c r="G59" s="9" t="s">
        <v>23</v>
      </c>
      <c r="H59" s="13" t="s">
        <v>20</v>
      </c>
      <c r="I59" s="11" t="s">
        <v>19</v>
      </c>
      <c r="J59" s="13" t="s">
        <v>21</v>
      </c>
      <c r="K59" s="13" t="s">
        <v>22</v>
      </c>
      <c r="L59" s="13" t="s">
        <v>22</v>
      </c>
      <c r="M59" s="13" t="s">
        <v>21</v>
      </c>
      <c r="N59" s="7" t="n">
        <v>0</v>
      </c>
      <c r="O59" s="7" t="n">
        <v>1</v>
      </c>
    </row>
    <row r="60" customFormat="false" ht="15.75" hidden="true" customHeight="true" outlineLevel="0" collapsed="false">
      <c r="A60" s="7" t="n">
        <v>4</v>
      </c>
      <c r="B60" s="7" t="n">
        <v>2</v>
      </c>
      <c r="C60" s="7" t="n">
        <v>2</v>
      </c>
      <c r="D60" s="9" t="s">
        <v>37</v>
      </c>
      <c r="E60" s="9" t="s">
        <v>30</v>
      </c>
      <c r="F60" s="9" t="s">
        <v>24</v>
      </c>
      <c r="G60" s="9" t="s">
        <v>23</v>
      </c>
      <c r="H60" s="10" t="s">
        <v>20</v>
      </c>
      <c r="I60" s="11" t="s">
        <v>19</v>
      </c>
      <c r="J60" s="10" t="s">
        <v>21</v>
      </c>
      <c r="K60" s="10" t="s">
        <v>22</v>
      </c>
      <c r="L60" s="10" t="s">
        <v>22</v>
      </c>
      <c r="M60" s="10" t="s">
        <v>21</v>
      </c>
      <c r="N60" s="7" t="n">
        <v>1</v>
      </c>
      <c r="O60" s="7" t="n">
        <v>0</v>
      </c>
    </row>
    <row r="61" customFormat="false" ht="15.75" hidden="true" customHeight="true" outlineLevel="0" collapsed="false">
      <c r="A61" s="7" t="n">
        <v>4</v>
      </c>
      <c r="B61" s="7" t="n">
        <v>2</v>
      </c>
      <c r="C61" s="7" t="n">
        <v>3</v>
      </c>
      <c r="D61" s="9" t="s">
        <v>37</v>
      </c>
      <c r="E61" s="9" t="s">
        <v>30</v>
      </c>
      <c r="F61" s="9" t="s">
        <v>24</v>
      </c>
      <c r="G61" s="9" t="s">
        <v>23</v>
      </c>
      <c r="H61" s="13" t="s">
        <v>20</v>
      </c>
      <c r="I61" s="11" t="s">
        <v>19</v>
      </c>
      <c r="J61" s="13" t="s">
        <v>21</v>
      </c>
      <c r="K61" s="13" t="s">
        <v>22</v>
      </c>
      <c r="L61" s="13" t="s">
        <v>22</v>
      </c>
      <c r="M61" s="13" t="s">
        <v>21</v>
      </c>
      <c r="N61" s="7" t="n">
        <v>0</v>
      </c>
      <c r="O61" s="7" t="n">
        <v>1</v>
      </c>
    </row>
    <row r="62" customFormat="false" ht="15.75" hidden="true" customHeight="true" outlineLevel="0" collapsed="false">
      <c r="A62" s="7" t="n">
        <v>4</v>
      </c>
      <c r="B62" s="7" t="n">
        <v>2</v>
      </c>
      <c r="C62" s="7" t="n">
        <v>4</v>
      </c>
      <c r="D62" s="9" t="s">
        <v>37</v>
      </c>
      <c r="E62" s="9" t="s">
        <v>30</v>
      </c>
      <c r="F62" s="9" t="s">
        <v>24</v>
      </c>
      <c r="G62" s="9" t="s">
        <v>23</v>
      </c>
      <c r="H62" s="10" t="s">
        <v>20</v>
      </c>
      <c r="I62" s="11" t="s">
        <v>19</v>
      </c>
      <c r="J62" s="10" t="s">
        <v>22</v>
      </c>
      <c r="K62" s="10" t="s">
        <v>21</v>
      </c>
      <c r="L62" s="10" t="s">
        <v>22</v>
      </c>
      <c r="M62" s="10" t="s">
        <v>21</v>
      </c>
      <c r="N62" s="7" t="n">
        <v>1</v>
      </c>
      <c r="O62" s="7" t="n">
        <v>0</v>
      </c>
    </row>
    <row r="63" customFormat="false" ht="15.75" hidden="true" customHeight="true" outlineLevel="0" collapsed="false">
      <c r="A63" s="7" t="n">
        <v>4</v>
      </c>
      <c r="B63" s="7" t="n">
        <v>2</v>
      </c>
      <c r="C63" s="7" t="n">
        <v>5</v>
      </c>
      <c r="D63" s="9" t="s">
        <v>37</v>
      </c>
      <c r="E63" s="9" t="s">
        <v>30</v>
      </c>
      <c r="F63" s="9" t="s">
        <v>24</v>
      </c>
      <c r="G63" s="9" t="s">
        <v>23</v>
      </c>
      <c r="H63" s="13" t="s">
        <v>20</v>
      </c>
      <c r="I63" s="11" t="s">
        <v>19</v>
      </c>
      <c r="J63" s="13" t="s">
        <v>22</v>
      </c>
      <c r="K63" s="13" t="s">
        <v>21</v>
      </c>
      <c r="L63" s="13" t="s">
        <v>22</v>
      </c>
      <c r="M63" s="13" t="s">
        <v>21</v>
      </c>
      <c r="N63" s="7" t="n">
        <v>0</v>
      </c>
      <c r="O63" s="7" t="n">
        <v>1</v>
      </c>
    </row>
    <row r="64" customFormat="false" ht="15.75" hidden="true" customHeight="true" outlineLevel="0" collapsed="false">
      <c r="A64" s="7" t="n">
        <v>4</v>
      </c>
      <c r="B64" s="7" t="n">
        <v>2</v>
      </c>
      <c r="C64" s="7" t="n">
        <v>6</v>
      </c>
      <c r="D64" s="9" t="s">
        <v>37</v>
      </c>
      <c r="E64" s="9" t="s">
        <v>30</v>
      </c>
      <c r="F64" s="9" t="s">
        <v>24</v>
      </c>
      <c r="G64" s="9" t="s">
        <v>23</v>
      </c>
      <c r="H64" s="10" t="s">
        <v>20</v>
      </c>
      <c r="I64" s="11" t="s">
        <v>19</v>
      </c>
      <c r="J64" s="10" t="s">
        <v>22</v>
      </c>
      <c r="K64" s="10" t="s">
        <v>21</v>
      </c>
      <c r="L64" s="10" t="s">
        <v>22</v>
      </c>
      <c r="M64" s="10" t="s">
        <v>21</v>
      </c>
      <c r="N64" s="7" t="n">
        <v>0</v>
      </c>
      <c r="O64" s="7" t="n">
        <v>1</v>
      </c>
    </row>
    <row r="65" customFormat="false" ht="15.75" hidden="true" customHeight="true" outlineLevel="0" collapsed="false">
      <c r="A65" s="7" t="n">
        <v>4</v>
      </c>
      <c r="B65" s="7" t="n">
        <v>2</v>
      </c>
      <c r="C65" s="7" t="n">
        <v>7</v>
      </c>
      <c r="D65" s="9" t="s">
        <v>37</v>
      </c>
      <c r="E65" s="9" t="s">
        <v>30</v>
      </c>
      <c r="F65" s="9" t="s">
        <v>24</v>
      </c>
      <c r="G65" s="9" t="s">
        <v>23</v>
      </c>
      <c r="H65" s="13" t="s">
        <v>20</v>
      </c>
      <c r="I65" s="11" t="s">
        <v>19</v>
      </c>
      <c r="J65" s="13" t="s">
        <v>22</v>
      </c>
      <c r="K65" s="13" t="s">
        <v>21</v>
      </c>
      <c r="L65" s="13" t="s">
        <v>22</v>
      </c>
      <c r="M65" s="13" t="s">
        <v>21</v>
      </c>
      <c r="N65" s="7" t="n">
        <v>1</v>
      </c>
      <c r="O65" s="7" t="n">
        <v>0</v>
      </c>
    </row>
    <row r="66" customFormat="false" ht="15.75" hidden="true" customHeight="true" outlineLevel="0" collapsed="false">
      <c r="A66" s="7" t="n">
        <v>4</v>
      </c>
      <c r="B66" s="7" t="n">
        <v>2</v>
      </c>
      <c r="C66" s="7" t="n">
        <v>8</v>
      </c>
      <c r="D66" s="9" t="s">
        <v>37</v>
      </c>
      <c r="E66" s="9" t="s">
        <v>30</v>
      </c>
      <c r="F66" s="9" t="s">
        <v>24</v>
      </c>
      <c r="G66" s="9" t="s">
        <v>23</v>
      </c>
      <c r="H66" s="10" t="s">
        <v>20</v>
      </c>
      <c r="I66" s="11" t="s">
        <v>19</v>
      </c>
      <c r="J66" s="10" t="s">
        <v>22</v>
      </c>
      <c r="K66" s="10" t="s">
        <v>21</v>
      </c>
      <c r="L66" s="10" t="s">
        <v>22</v>
      </c>
      <c r="M66" s="10" t="s">
        <v>21</v>
      </c>
      <c r="N66" s="7" t="n">
        <v>1</v>
      </c>
      <c r="O66" s="7" t="n">
        <v>0</v>
      </c>
    </row>
    <row r="67" customFormat="false" ht="15.75" hidden="true" customHeight="true" outlineLevel="0" collapsed="false">
      <c r="A67" s="7" t="n">
        <v>4</v>
      </c>
      <c r="B67" s="7" t="n">
        <v>2</v>
      </c>
      <c r="C67" s="7" t="n">
        <v>9</v>
      </c>
      <c r="D67" s="9" t="s">
        <v>37</v>
      </c>
      <c r="E67" s="9" t="s">
        <v>30</v>
      </c>
      <c r="F67" s="9" t="s">
        <v>24</v>
      </c>
      <c r="G67" s="9" t="s">
        <v>23</v>
      </c>
      <c r="H67" s="13" t="s">
        <v>20</v>
      </c>
      <c r="I67" s="11" t="s">
        <v>19</v>
      </c>
      <c r="J67" s="13" t="s">
        <v>22</v>
      </c>
      <c r="K67" s="13" t="s">
        <v>21</v>
      </c>
      <c r="L67" s="13" t="s">
        <v>22</v>
      </c>
      <c r="M67" s="13" t="s">
        <v>21</v>
      </c>
      <c r="N67" s="7" t="n">
        <v>0</v>
      </c>
      <c r="O67" s="7" t="n">
        <v>1</v>
      </c>
    </row>
    <row r="68" customFormat="false" ht="15.75" hidden="true" customHeight="true" outlineLevel="0" collapsed="false">
      <c r="A68" s="7" t="n">
        <v>4</v>
      </c>
      <c r="B68" s="7" t="n">
        <v>2</v>
      </c>
      <c r="C68" s="7" t="n">
        <v>10</v>
      </c>
      <c r="D68" s="9" t="s">
        <v>37</v>
      </c>
      <c r="E68" s="9" t="s">
        <v>30</v>
      </c>
      <c r="F68" s="9" t="s">
        <v>24</v>
      </c>
      <c r="G68" s="9" t="s">
        <v>23</v>
      </c>
      <c r="H68" s="10" t="s">
        <v>20</v>
      </c>
      <c r="I68" s="11" t="s">
        <v>19</v>
      </c>
      <c r="J68" s="10" t="s">
        <v>22</v>
      </c>
      <c r="K68" s="10" t="s">
        <v>21</v>
      </c>
      <c r="L68" s="10" t="s">
        <v>22</v>
      </c>
      <c r="M68" s="10" t="s">
        <v>21</v>
      </c>
      <c r="N68" s="7" t="n">
        <v>0</v>
      </c>
      <c r="O68" s="7" t="n">
        <v>1</v>
      </c>
    </row>
    <row r="69" customFormat="false" ht="15.75" hidden="true" customHeight="true" outlineLevel="0" collapsed="false">
      <c r="A69" s="7" t="n">
        <v>4</v>
      </c>
      <c r="B69" s="7" t="n">
        <v>2</v>
      </c>
      <c r="C69" s="7" t="n">
        <v>11</v>
      </c>
      <c r="D69" s="9" t="s">
        <v>37</v>
      </c>
      <c r="E69" s="9" t="s">
        <v>30</v>
      </c>
      <c r="F69" s="9" t="s">
        <v>24</v>
      </c>
      <c r="G69" s="9" t="s">
        <v>23</v>
      </c>
      <c r="H69" s="13" t="s">
        <v>20</v>
      </c>
      <c r="I69" s="11" t="s">
        <v>19</v>
      </c>
      <c r="J69" s="13" t="s">
        <v>22</v>
      </c>
      <c r="K69" s="13" t="s">
        <v>21</v>
      </c>
      <c r="L69" s="13" t="s">
        <v>22</v>
      </c>
      <c r="M69" s="13" t="s">
        <v>21</v>
      </c>
      <c r="N69" s="7" t="n">
        <v>1</v>
      </c>
      <c r="O69" s="7" t="n">
        <v>0</v>
      </c>
    </row>
    <row r="70" customFormat="false" ht="15.75" hidden="true" customHeight="true" outlineLevel="0" collapsed="false">
      <c r="A70" s="7" t="n">
        <v>4</v>
      </c>
      <c r="B70" s="7" t="n">
        <v>2</v>
      </c>
      <c r="C70" s="7" t="n">
        <v>12</v>
      </c>
      <c r="D70" s="9" t="s">
        <v>37</v>
      </c>
      <c r="E70" s="9" t="s">
        <v>30</v>
      </c>
      <c r="F70" s="9" t="s">
        <v>24</v>
      </c>
      <c r="G70" s="9" t="s">
        <v>23</v>
      </c>
      <c r="H70" s="10" t="s">
        <v>20</v>
      </c>
      <c r="I70" s="11" t="s">
        <v>19</v>
      </c>
      <c r="J70" s="10" t="s">
        <v>22</v>
      </c>
      <c r="K70" s="10" t="s">
        <v>21</v>
      </c>
      <c r="L70" s="10" t="s">
        <v>22</v>
      </c>
      <c r="M70" s="10" t="s">
        <v>21</v>
      </c>
      <c r="N70" s="7" t="n">
        <v>1</v>
      </c>
      <c r="O70" s="7" t="n">
        <v>0</v>
      </c>
    </row>
    <row r="71" customFormat="false" ht="15.75" hidden="true" customHeight="true" outlineLevel="0" collapsed="false">
      <c r="A71" s="7" t="n">
        <v>4</v>
      </c>
      <c r="B71" s="7" t="n">
        <v>2</v>
      </c>
      <c r="C71" s="7" t="n">
        <v>13</v>
      </c>
      <c r="D71" s="9" t="s">
        <v>37</v>
      </c>
      <c r="E71" s="9" t="s">
        <v>30</v>
      </c>
      <c r="F71" s="9" t="s">
        <v>24</v>
      </c>
      <c r="G71" s="9" t="s">
        <v>23</v>
      </c>
      <c r="H71" s="13" t="s">
        <v>20</v>
      </c>
      <c r="I71" s="11" t="s">
        <v>19</v>
      </c>
      <c r="J71" s="13" t="s">
        <v>22</v>
      </c>
      <c r="K71" s="13" t="s">
        <v>21</v>
      </c>
      <c r="L71" s="13" t="s">
        <v>22</v>
      </c>
      <c r="M71" s="13" t="s">
        <v>21</v>
      </c>
      <c r="N71" s="7" t="n">
        <v>0</v>
      </c>
      <c r="O71" s="7" t="n">
        <v>1</v>
      </c>
    </row>
    <row r="72" customFormat="false" ht="15.75" hidden="true" customHeight="true" outlineLevel="0" collapsed="false">
      <c r="A72" s="7" t="n">
        <v>12</v>
      </c>
      <c r="B72" s="7" t="n">
        <v>2</v>
      </c>
      <c r="C72" s="7" t="n">
        <v>1</v>
      </c>
      <c r="D72" s="9" t="s">
        <v>48</v>
      </c>
      <c r="E72" s="9" t="s">
        <v>33</v>
      </c>
      <c r="F72" s="9" t="s">
        <v>52</v>
      </c>
      <c r="G72" s="9" t="s">
        <v>32</v>
      </c>
      <c r="H72" s="10" t="s">
        <v>20</v>
      </c>
      <c r="I72" s="11" t="s">
        <v>19</v>
      </c>
      <c r="J72" s="10" t="s">
        <v>22</v>
      </c>
      <c r="K72" s="10" t="s">
        <v>21</v>
      </c>
      <c r="L72" s="10" t="s">
        <v>21</v>
      </c>
      <c r="M72" s="10" t="s">
        <v>22</v>
      </c>
      <c r="N72" s="7" t="n">
        <v>1</v>
      </c>
      <c r="O72" s="7" t="n">
        <v>0</v>
      </c>
    </row>
    <row r="73" customFormat="false" ht="15.75" hidden="true" customHeight="true" outlineLevel="0" collapsed="false">
      <c r="A73" s="7" t="n">
        <v>12</v>
      </c>
      <c r="B73" s="7" t="n">
        <v>2</v>
      </c>
      <c r="C73" s="7" t="n">
        <v>2</v>
      </c>
      <c r="D73" s="9" t="s">
        <v>48</v>
      </c>
      <c r="E73" s="9" t="s">
        <v>33</v>
      </c>
      <c r="F73" s="9" t="s">
        <v>52</v>
      </c>
      <c r="G73" s="9" t="s">
        <v>32</v>
      </c>
      <c r="H73" s="13" t="s">
        <v>20</v>
      </c>
      <c r="I73" s="11" t="s">
        <v>19</v>
      </c>
      <c r="J73" s="13" t="s">
        <v>22</v>
      </c>
      <c r="K73" s="13" t="s">
        <v>21</v>
      </c>
      <c r="L73" s="13" t="s">
        <v>21</v>
      </c>
      <c r="M73" s="13" t="s">
        <v>22</v>
      </c>
      <c r="N73" s="7" t="n">
        <v>1</v>
      </c>
      <c r="O73" s="7" t="n">
        <v>0</v>
      </c>
    </row>
    <row r="74" customFormat="false" ht="15.75" hidden="true" customHeight="true" outlineLevel="0" collapsed="false">
      <c r="A74" s="7" t="n">
        <v>12</v>
      </c>
      <c r="B74" s="7" t="n">
        <v>2</v>
      </c>
      <c r="C74" s="7" t="n">
        <v>3</v>
      </c>
      <c r="D74" s="9" t="s">
        <v>48</v>
      </c>
      <c r="E74" s="9" t="s">
        <v>33</v>
      </c>
      <c r="F74" s="9" t="s">
        <v>52</v>
      </c>
      <c r="G74" s="9" t="s">
        <v>32</v>
      </c>
      <c r="H74" s="10" t="s">
        <v>20</v>
      </c>
      <c r="I74" s="11" t="s">
        <v>19</v>
      </c>
      <c r="J74" s="10" t="s">
        <v>22</v>
      </c>
      <c r="K74" s="10" t="s">
        <v>21</v>
      </c>
      <c r="L74" s="10" t="s">
        <v>21</v>
      </c>
      <c r="M74" s="10" t="s">
        <v>22</v>
      </c>
      <c r="N74" s="7" t="n">
        <v>0</v>
      </c>
      <c r="O74" s="7" t="n">
        <v>1</v>
      </c>
    </row>
    <row r="75" customFormat="false" ht="15.75" hidden="true" customHeight="true" outlineLevel="0" collapsed="false">
      <c r="A75" s="7" t="n">
        <v>12</v>
      </c>
      <c r="B75" s="7" t="n">
        <v>2</v>
      </c>
      <c r="C75" s="7" t="n">
        <v>4</v>
      </c>
      <c r="D75" s="9" t="s">
        <v>48</v>
      </c>
      <c r="E75" s="9" t="s">
        <v>33</v>
      </c>
      <c r="F75" s="9" t="s">
        <v>52</v>
      </c>
      <c r="G75" s="9" t="s">
        <v>32</v>
      </c>
      <c r="H75" s="13" t="s">
        <v>20</v>
      </c>
      <c r="I75" s="11" t="s">
        <v>19</v>
      </c>
      <c r="J75" s="13" t="s">
        <v>22</v>
      </c>
      <c r="K75" s="13" t="s">
        <v>21</v>
      </c>
      <c r="L75" s="13" t="s">
        <v>21</v>
      </c>
      <c r="M75" s="13" t="s">
        <v>22</v>
      </c>
      <c r="N75" s="7" t="n">
        <v>1</v>
      </c>
      <c r="O75" s="7" t="n">
        <v>0</v>
      </c>
    </row>
    <row r="76" customFormat="false" ht="15.75" hidden="true" customHeight="true" outlineLevel="0" collapsed="false">
      <c r="A76" s="7" t="n">
        <v>12</v>
      </c>
      <c r="B76" s="7" t="n">
        <v>2</v>
      </c>
      <c r="C76" s="7" t="n">
        <v>5</v>
      </c>
      <c r="D76" s="9" t="s">
        <v>48</v>
      </c>
      <c r="E76" s="9" t="s">
        <v>33</v>
      </c>
      <c r="F76" s="9" t="s">
        <v>52</v>
      </c>
      <c r="G76" s="9" t="s">
        <v>32</v>
      </c>
      <c r="H76" s="10" t="s">
        <v>20</v>
      </c>
      <c r="I76" s="11" t="s">
        <v>19</v>
      </c>
      <c r="J76" s="10" t="s">
        <v>22</v>
      </c>
      <c r="K76" s="10" t="s">
        <v>21</v>
      </c>
      <c r="L76" s="10" t="s">
        <v>21</v>
      </c>
      <c r="M76" s="10" t="s">
        <v>22</v>
      </c>
      <c r="N76" s="7" t="n">
        <v>1</v>
      </c>
      <c r="O76" s="7" t="n">
        <v>0</v>
      </c>
    </row>
    <row r="77" customFormat="false" ht="15.75" hidden="true" customHeight="true" outlineLevel="0" collapsed="false">
      <c r="A77" s="7" t="n">
        <v>12</v>
      </c>
      <c r="B77" s="7" t="n">
        <v>2</v>
      </c>
      <c r="C77" s="7" t="n">
        <v>6</v>
      </c>
      <c r="D77" s="9" t="s">
        <v>48</v>
      </c>
      <c r="E77" s="9" t="s">
        <v>33</v>
      </c>
      <c r="F77" s="9" t="s">
        <v>52</v>
      </c>
      <c r="G77" s="9" t="s">
        <v>32</v>
      </c>
      <c r="H77" s="13" t="s">
        <v>20</v>
      </c>
      <c r="I77" s="11" t="s">
        <v>19</v>
      </c>
      <c r="J77" s="13" t="s">
        <v>22</v>
      </c>
      <c r="K77" s="13" t="s">
        <v>21</v>
      </c>
      <c r="L77" s="13" t="s">
        <v>21</v>
      </c>
      <c r="M77" s="13" t="s">
        <v>22</v>
      </c>
      <c r="N77" s="7" t="n">
        <v>1</v>
      </c>
      <c r="O77" s="7" t="n">
        <v>0</v>
      </c>
    </row>
    <row r="78" customFormat="false" ht="15.75" hidden="true" customHeight="true" outlineLevel="0" collapsed="false">
      <c r="A78" s="7" t="n">
        <v>12</v>
      </c>
      <c r="B78" s="7" t="n">
        <v>2</v>
      </c>
      <c r="C78" s="7" t="n">
        <v>7</v>
      </c>
      <c r="D78" s="9" t="s">
        <v>48</v>
      </c>
      <c r="E78" s="9" t="s">
        <v>33</v>
      </c>
      <c r="F78" s="9" t="s">
        <v>52</v>
      </c>
      <c r="G78" s="9" t="s">
        <v>32</v>
      </c>
      <c r="H78" s="10" t="s">
        <v>20</v>
      </c>
      <c r="I78" s="11" t="s">
        <v>19</v>
      </c>
      <c r="J78" s="10" t="s">
        <v>22</v>
      </c>
      <c r="K78" s="10" t="s">
        <v>21</v>
      </c>
      <c r="L78" s="10" t="s">
        <v>21</v>
      </c>
      <c r="M78" s="10" t="s">
        <v>22</v>
      </c>
      <c r="N78" s="7" t="n">
        <v>0</v>
      </c>
      <c r="O78" s="7" t="n">
        <v>1</v>
      </c>
    </row>
    <row r="79" customFormat="false" ht="15.75" hidden="true" customHeight="true" outlineLevel="0" collapsed="false">
      <c r="A79" s="7" t="n">
        <v>12</v>
      </c>
      <c r="B79" s="7" t="n">
        <v>2</v>
      </c>
      <c r="C79" s="7" t="n">
        <v>7</v>
      </c>
      <c r="D79" s="9" t="s">
        <v>48</v>
      </c>
      <c r="E79" s="9" t="s">
        <v>33</v>
      </c>
      <c r="F79" s="9" t="s">
        <v>52</v>
      </c>
      <c r="G79" s="9" t="s">
        <v>32</v>
      </c>
      <c r="H79" s="13" t="s">
        <v>20</v>
      </c>
      <c r="I79" s="11" t="s">
        <v>19</v>
      </c>
      <c r="J79" s="13" t="s">
        <v>22</v>
      </c>
      <c r="K79" s="13" t="s">
        <v>21</v>
      </c>
      <c r="L79" s="13" t="s">
        <v>21</v>
      </c>
      <c r="M79" s="13" t="s">
        <v>22</v>
      </c>
      <c r="N79" s="7" t="n">
        <v>0</v>
      </c>
      <c r="O79" s="7" t="n">
        <v>1</v>
      </c>
    </row>
    <row r="80" customFormat="false" ht="15.75" hidden="true" customHeight="true" outlineLevel="0" collapsed="false">
      <c r="A80" s="7" t="n">
        <v>12</v>
      </c>
      <c r="B80" s="7" t="n">
        <v>2</v>
      </c>
      <c r="C80" s="7" t="n">
        <v>7</v>
      </c>
      <c r="D80" s="9" t="s">
        <v>48</v>
      </c>
      <c r="E80" s="9" t="s">
        <v>33</v>
      </c>
      <c r="F80" s="9" t="s">
        <v>52</v>
      </c>
      <c r="G80" s="9" t="s">
        <v>32</v>
      </c>
      <c r="H80" s="10" t="s">
        <v>20</v>
      </c>
      <c r="I80" s="11" t="s">
        <v>19</v>
      </c>
      <c r="J80" s="10" t="s">
        <v>22</v>
      </c>
      <c r="K80" s="10" t="s">
        <v>21</v>
      </c>
      <c r="L80" s="10" t="s">
        <v>21</v>
      </c>
      <c r="M80" s="10" t="s">
        <v>22</v>
      </c>
      <c r="N80" s="7" t="n">
        <v>1</v>
      </c>
      <c r="O80" s="7" t="n">
        <v>0</v>
      </c>
    </row>
    <row r="81" customFormat="false" ht="15.75" hidden="true" customHeight="true" outlineLevel="0" collapsed="false">
      <c r="A81" s="7" t="n">
        <v>12</v>
      </c>
      <c r="B81" s="7" t="n">
        <v>2</v>
      </c>
      <c r="C81" s="7" t="n">
        <v>7</v>
      </c>
      <c r="D81" s="9" t="s">
        <v>48</v>
      </c>
      <c r="E81" s="9" t="s">
        <v>33</v>
      </c>
      <c r="F81" s="9" t="s">
        <v>52</v>
      </c>
      <c r="G81" s="9" t="s">
        <v>32</v>
      </c>
      <c r="H81" s="13" t="s">
        <v>20</v>
      </c>
      <c r="I81" s="11" t="s">
        <v>19</v>
      </c>
      <c r="J81" s="13" t="s">
        <v>22</v>
      </c>
      <c r="K81" s="13" t="s">
        <v>21</v>
      </c>
      <c r="L81" s="13" t="s">
        <v>21</v>
      </c>
      <c r="M81" s="13" t="s">
        <v>22</v>
      </c>
      <c r="N81" s="7" t="n">
        <v>1</v>
      </c>
      <c r="O81" s="7" t="n">
        <v>0</v>
      </c>
    </row>
    <row r="82" customFormat="false" ht="15.75" hidden="true" customHeight="true" outlineLevel="0" collapsed="false">
      <c r="A82" s="7" t="n">
        <v>16</v>
      </c>
      <c r="B82" s="7" t="n">
        <v>2</v>
      </c>
      <c r="C82" s="7" t="n">
        <v>1</v>
      </c>
      <c r="D82" s="9" t="s">
        <v>48</v>
      </c>
      <c r="E82" s="9" t="s">
        <v>40</v>
      </c>
      <c r="F82" s="9" t="s">
        <v>34</v>
      </c>
      <c r="G82" s="9" t="s">
        <v>25</v>
      </c>
      <c r="H82" s="10" t="s">
        <v>20</v>
      </c>
      <c r="I82" s="11" t="s">
        <v>19</v>
      </c>
      <c r="J82" s="10" t="s">
        <v>21</v>
      </c>
      <c r="K82" s="10" t="s">
        <v>22</v>
      </c>
      <c r="L82" s="10" t="s">
        <v>21</v>
      </c>
      <c r="M82" s="10" t="s">
        <v>22</v>
      </c>
      <c r="N82" s="7" t="n">
        <v>1</v>
      </c>
      <c r="O82" s="7" t="n">
        <v>0</v>
      </c>
    </row>
    <row r="83" customFormat="false" ht="15.75" hidden="true" customHeight="true" outlineLevel="0" collapsed="false">
      <c r="A83" s="7" t="n">
        <v>16</v>
      </c>
      <c r="B83" s="7" t="n">
        <v>2</v>
      </c>
      <c r="C83" s="7" t="n">
        <v>2</v>
      </c>
      <c r="D83" s="9" t="s">
        <v>48</v>
      </c>
      <c r="E83" s="9" t="s">
        <v>40</v>
      </c>
      <c r="F83" s="9" t="s">
        <v>34</v>
      </c>
      <c r="G83" s="9" t="s">
        <v>25</v>
      </c>
      <c r="H83" s="13" t="s">
        <v>20</v>
      </c>
      <c r="I83" s="11" t="s">
        <v>19</v>
      </c>
      <c r="J83" s="13" t="s">
        <v>21</v>
      </c>
      <c r="K83" s="13" t="s">
        <v>22</v>
      </c>
      <c r="L83" s="13" t="s">
        <v>21</v>
      </c>
      <c r="M83" s="13" t="s">
        <v>22</v>
      </c>
      <c r="N83" s="7" t="n">
        <v>1</v>
      </c>
      <c r="O83" s="7" t="n">
        <v>0</v>
      </c>
    </row>
    <row r="84" customFormat="false" ht="15.75" hidden="true" customHeight="true" outlineLevel="0" collapsed="false">
      <c r="A84" s="7" t="n">
        <v>16</v>
      </c>
      <c r="B84" s="7" t="n">
        <v>2</v>
      </c>
      <c r="C84" s="7" t="n">
        <v>3</v>
      </c>
      <c r="D84" s="9" t="s">
        <v>48</v>
      </c>
      <c r="E84" s="9" t="s">
        <v>40</v>
      </c>
      <c r="F84" s="9" t="s">
        <v>34</v>
      </c>
      <c r="G84" s="9" t="s">
        <v>25</v>
      </c>
      <c r="H84" s="10" t="s">
        <v>20</v>
      </c>
      <c r="I84" s="11" t="s">
        <v>19</v>
      </c>
      <c r="J84" s="10" t="s">
        <v>21</v>
      </c>
      <c r="K84" s="10" t="s">
        <v>22</v>
      </c>
      <c r="L84" s="10" t="s">
        <v>21</v>
      </c>
      <c r="M84" s="10" t="s">
        <v>22</v>
      </c>
      <c r="N84" s="7" t="n">
        <v>0</v>
      </c>
      <c r="O84" s="7" t="n">
        <v>1</v>
      </c>
    </row>
    <row r="85" customFormat="false" ht="15.75" hidden="true" customHeight="true" outlineLevel="0" collapsed="false">
      <c r="A85" s="7" t="n">
        <v>16</v>
      </c>
      <c r="B85" s="7" t="n">
        <v>2</v>
      </c>
      <c r="C85" s="7" t="n">
        <v>4</v>
      </c>
      <c r="D85" s="9" t="s">
        <v>48</v>
      </c>
      <c r="E85" s="9" t="s">
        <v>40</v>
      </c>
      <c r="F85" s="9" t="s">
        <v>34</v>
      </c>
      <c r="G85" s="9" t="s">
        <v>25</v>
      </c>
      <c r="H85" s="13" t="s">
        <v>20</v>
      </c>
      <c r="I85" s="11" t="s">
        <v>19</v>
      </c>
      <c r="J85" s="13" t="s">
        <v>21</v>
      </c>
      <c r="K85" s="13" t="s">
        <v>22</v>
      </c>
      <c r="L85" s="13" t="s">
        <v>21</v>
      </c>
      <c r="M85" s="13" t="s">
        <v>22</v>
      </c>
      <c r="N85" s="7" t="n">
        <v>0</v>
      </c>
      <c r="O85" s="7" t="n">
        <v>1</v>
      </c>
    </row>
    <row r="86" customFormat="false" ht="15.75" hidden="true" customHeight="true" outlineLevel="0" collapsed="false">
      <c r="A86" s="7" t="n">
        <v>16</v>
      </c>
      <c r="B86" s="7" t="n">
        <v>2</v>
      </c>
      <c r="C86" s="7" t="n">
        <v>5</v>
      </c>
      <c r="D86" s="9" t="s">
        <v>48</v>
      </c>
      <c r="E86" s="9" t="s">
        <v>40</v>
      </c>
      <c r="F86" s="9" t="s">
        <v>34</v>
      </c>
      <c r="G86" s="9" t="s">
        <v>25</v>
      </c>
      <c r="H86" s="10" t="s">
        <v>20</v>
      </c>
      <c r="I86" s="11" t="s">
        <v>19</v>
      </c>
      <c r="J86" s="10" t="s">
        <v>21</v>
      </c>
      <c r="K86" s="10" t="s">
        <v>22</v>
      </c>
      <c r="L86" s="10" t="s">
        <v>21</v>
      </c>
      <c r="M86" s="10" t="s">
        <v>22</v>
      </c>
      <c r="N86" s="7" t="n">
        <v>1</v>
      </c>
      <c r="O86" s="7" t="n">
        <v>0</v>
      </c>
    </row>
    <row r="87" customFormat="false" ht="15.75" hidden="true" customHeight="true" outlineLevel="0" collapsed="false">
      <c r="A87" s="7" t="n">
        <v>16</v>
      </c>
      <c r="B87" s="7" t="n">
        <v>2</v>
      </c>
      <c r="C87" s="7" t="n">
        <v>6</v>
      </c>
      <c r="D87" s="9" t="s">
        <v>48</v>
      </c>
      <c r="E87" s="9" t="s">
        <v>40</v>
      </c>
      <c r="F87" s="9" t="s">
        <v>34</v>
      </c>
      <c r="G87" s="9" t="s">
        <v>25</v>
      </c>
      <c r="H87" s="13" t="s">
        <v>20</v>
      </c>
      <c r="I87" s="11" t="s">
        <v>19</v>
      </c>
      <c r="J87" s="13" t="s">
        <v>21</v>
      </c>
      <c r="K87" s="13" t="s">
        <v>22</v>
      </c>
      <c r="L87" s="13" t="s">
        <v>21</v>
      </c>
      <c r="M87" s="13" t="s">
        <v>22</v>
      </c>
      <c r="N87" s="7" t="n">
        <v>0</v>
      </c>
      <c r="O87" s="7" t="n">
        <v>1</v>
      </c>
    </row>
    <row r="88" customFormat="false" ht="15.75" hidden="true" customHeight="true" outlineLevel="0" collapsed="false">
      <c r="A88" s="7" t="n">
        <v>16</v>
      </c>
      <c r="B88" s="7" t="n">
        <v>2</v>
      </c>
      <c r="C88" s="7" t="n">
        <v>7</v>
      </c>
      <c r="D88" s="9" t="s">
        <v>48</v>
      </c>
      <c r="E88" s="9" t="s">
        <v>40</v>
      </c>
      <c r="F88" s="9" t="s">
        <v>34</v>
      </c>
      <c r="G88" s="9" t="s">
        <v>25</v>
      </c>
      <c r="H88" s="10" t="s">
        <v>20</v>
      </c>
      <c r="I88" s="11" t="s">
        <v>19</v>
      </c>
      <c r="J88" s="10" t="s">
        <v>21</v>
      </c>
      <c r="K88" s="10" t="s">
        <v>22</v>
      </c>
      <c r="L88" s="10" t="s">
        <v>21</v>
      </c>
      <c r="M88" s="10" t="s">
        <v>22</v>
      </c>
      <c r="N88" s="7" t="n">
        <v>0</v>
      </c>
      <c r="O88" s="7" t="n">
        <v>1</v>
      </c>
    </row>
    <row r="89" customFormat="false" ht="15.75" hidden="true" customHeight="true" outlineLevel="0" collapsed="false">
      <c r="A89" s="7" t="n">
        <v>16</v>
      </c>
      <c r="B89" s="7" t="n">
        <v>2</v>
      </c>
      <c r="C89" s="7" t="n">
        <v>8</v>
      </c>
      <c r="D89" s="9" t="s">
        <v>48</v>
      </c>
      <c r="E89" s="9" t="s">
        <v>40</v>
      </c>
      <c r="F89" s="9" t="s">
        <v>34</v>
      </c>
      <c r="G89" s="9" t="s">
        <v>25</v>
      </c>
      <c r="H89" s="13" t="s">
        <v>20</v>
      </c>
      <c r="I89" s="11" t="s">
        <v>19</v>
      </c>
      <c r="J89" s="13" t="s">
        <v>21</v>
      </c>
      <c r="K89" s="13" t="s">
        <v>22</v>
      </c>
      <c r="L89" s="13" t="s">
        <v>21</v>
      </c>
      <c r="M89" s="13" t="s">
        <v>22</v>
      </c>
      <c r="N89" s="7" t="n">
        <v>1</v>
      </c>
      <c r="O89" s="7" t="n">
        <v>0</v>
      </c>
    </row>
    <row r="90" customFormat="false" ht="15.75" hidden="true" customHeight="true" outlineLevel="0" collapsed="false">
      <c r="A90" s="7" t="n">
        <v>16</v>
      </c>
      <c r="B90" s="7" t="n">
        <v>2</v>
      </c>
      <c r="C90" s="7" t="n">
        <v>9</v>
      </c>
      <c r="D90" s="9" t="s">
        <v>48</v>
      </c>
      <c r="E90" s="9" t="s">
        <v>40</v>
      </c>
      <c r="F90" s="9" t="s">
        <v>34</v>
      </c>
      <c r="G90" s="9" t="s">
        <v>25</v>
      </c>
      <c r="H90" s="10" t="s">
        <v>20</v>
      </c>
      <c r="I90" s="11" t="s">
        <v>19</v>
      </c>
      <c r="J90" s="10" t="s">
        <v>21</v>
      </c>
      <c r="K90" s="10" t="s">
        <v>22</v>
      </c>
      <c r="L90" s="10" t="s">
        <v>21</v>
      </c>
      <c r="M90" s="10" t="s">
        <v>22</v>
      </c>
      <c r="N90" s="7" t="n">
        <v>1</v>
      </c>
      <c r="O90" s="7" t="n">
        <v>0</v>
      </c>
    </row>
    <row r="91" customFormat="false" ht="15.75" hidden="true" customHeight="true" outlineLevel="0" collapsed="false">
      <c r="A91" s="7" t="n">
        <v>16</v>
      </c>
      <c r="B91" s="7" t="n">
        <v>2</v>
      </c>
      <c r="C91" s="7" t="n">
        <v>10</v>
      </c>
      <c r="D91" s="9" t="s">
        <v>48</v>
      </c>
      <c r="E91" s="9" t="s">
        <v>40</v>
      </c>
      <c r="F91" s="9" t="s">
        <v>34</v>
      </c>
      <c r="G91" s="9" t="s">
        <v>25</v>
      </c>
      <c r="H91" s="13" t="s">
        <v>20</v>
      </c>
      <c r="I91" s="11" t="s">
        <v>19</v>
      </c>
      <c r="J91" s="13" t="s">
        <v>21</v>
      </c>
      <c r="K91" s="13" t="s">
        <v>22</v>
      </c>
      <c r="L91" s="13" t="s">
        <v>21</v>
      </c>
      <c r="M91" s="13" t="s">
        <v>22</v>
      </c>
      <c r="N91" s="7" t="n">
        <v>0</v>
      </c>
      <c r="O91" s="7" t="n">
        <v>1</v>
      </c>
    </row>
    <row r="92" customFormat="false" ht="15.75" hidden="true" customHeight="true" outlineLevel="0" collapsed="false">
      <c r="A92" s="7" t="n">
        <v>16</v>
      </c>
      <c r="B92" s="7" t="n">
        <v>2</v>
      </c>
      <c r="C92" s="7" t="n">
        <v>11</v>
      </c>
      <c r="D92" s="9" t="s">
        <v>48</v>
      </c>
      <c r="E92" s="9" t="s">
        <v>40</v>
      </c>
      <c r="F92" s="9" t="s">
        <v>34</v>
      </c>
      <c r="G92" s="9" t="s">
        <v>25</v>
      </c>
      <c r="H92" s="10" t="s">
        <v>20</v>
      </c>
      <c r="I92" s="11" t="s">
        <v>19</v>
      </c>
      <c r="J92" s="10" t="s">
        <v>21</v>
      </c>
      <c r="K92" s="10" t="s">
        <v>22</v>
      </c>
      <c r="L92" s="10" t="s">
        <v>21</v>
      </c>
      <c r="M92" s="10" t="s">
        <v>22</v>
      </c>
      <c r="N92" s="7" t="n">
        <v>1</v>
      </c>
      <c r="O92" s="7" t="n">
        <v>0</v>
      </c>
    </row>
    <row r="93" customFormat="false" ht="15.75" hidden="true" customHeight="true" outlineLevel="0" collapsed="false">
      <c r="A93" s="7" t="n">
        <v>16</v>
      </c>
      <c r="B93" s="7" t="n">
        <v>2</v>
      </c>
      <c r="C93" s="7" t="n">
        <v>12</v>
      </c>
      <c r="D93" s="9" t="s">
        <v>48</v>
      </c>
      <c r="E93" s="9" t="s">
        <v>40</v>
      </c>
      <c r="F93" s="9" t="s">
        <v>34</v>
      </c>
      <c r="G93" s="9" t="s">
        <v>25</v>
      </c>
      <c r="H93" s="13" t="s">
        <v>20</v>
      </c>
      <c r="I93" s="11" t="s">
        <v>19</v>
      </c>
      <c r="J93" s="13" t="s">
        <v>21</v>
      </c>
      <c r="K93" s="13" t="s">
        <v>22</v>
      </c>
      <c r="L93" s="13" t="s">
        <v>21</v>
      </c>
      <c r="M93" s="13" t="s">
        <v>22</v>
      </c>
      <c r="N93" s="7" t="n">
        <v>1</v>
      </c>
      <c r="O93" s="7" t="n">
        <v>0</v>
      </c>
    </row>
    <row r="94" customFormat="false" ht="15.75" hidden="true" customHeight="true" outlineLevel="0" collapsed="false">
      <c r="A94" s="7" t="n">
        <v>18</v>
      </c>
      <c r="B94" s="7" t="n">
        <v>2</v>
      </c>
      <c r="C94" s="7" t="n">
        <v>1</v>
      </c>
      <c r="D94" s="9" t="s">
        <v>50</v>
      </c>
      <c r="E94" s="9" t="s">
        <v>51</v>
      </c>
      <c r="F94" s="23" t="s">
        <v>42</v>
      </c>
      <c r="G94" s="9" t="s">
        <v>48</v>
      </c>
      <c r="H94" s="10" t="s">
        <v>20</v>
      </c>
      <c r="I94" s="11" t="s">
        <v>19</v>
      </c>
      <c r="J94" s="10" t="s">
        <v>21</v>
      </c>
      <c r="K94" s="10" t="s">
        <v>22</v>
      </c>
      <c r="L94" s="10" t="s">
        <v>22</v>
      </c>
      <c r="M94" s="10" t="s">
        <v>21</v>
      </c>
      <c r="N94" s="7" t="n">
        <v>1</v>
      </c>
      <c r="O94" s="7" t="n">
        <v>0</v>
      </c>
    </row>
    <row r="95" customFormat="false" ht="15.75" hidden="true" customHeight="true" outlineLevel="0" collapsed="false">
      <c r="A95" s="7" t="n">
        <v>18</v>
      </c>
      <c r="B95" s="7" t="n">
        <v>2</v>
      </c>
      <c r="C95" s="7" t="n">
        <v>2</v>
      </c>
      <c r="D95" s="9" t="s">
        <v>50</v>
      </c>
      <c r="E95" s="9" t="s">
        <v>51</v>
      </c>
      <c r="F95" s="23" t="s">
        <v>42</v>
      </c>
      <c r="G95" s="9" t="s">
        <v>48</v>
      </c>
      <c r="H95" s="13" t="s">
        <v>20</v>
      </c>
      <c r="I95" s="11" t="s">
        <v>19</v>
      </c>
      <c r="J95" s="13" t="s">
        <v>21</v>
      </c>
      <c r="K95" s="13" t="s">
        <v>22</v>
      </c>
      <c r="L95" s="13" t="s">
        <v>22</v>
      </c>
      <c r="M95" s="13" t="s">
        <v>21</v>
      </c>
      <c r="N95" s="7" t="n">
        <v>0</v>
      </c>
      <c r="O95" s="7" t="n">
        <v>1</v>
      </c>
    </row>
    <row r="96" customFormat="false" ht="15.75" hidden="true" customHeight="true" outlineLevel="0" collapsed="false">
      <c r="A96" s="7" t="n">
        <v>18</v>
      </c>
      <c r="B96" s="7" t="n">
        <v>2</v>
      </c>
      <c r="C96" s="7" t="n">
        <v>3</v>
      </c>
      <c r="D96" s="9" t="s">
        <v>50</v>
      </c>
      <c r="E96" s="9" t="s">
        <v>51</v>
      </c>
      <c r="F96" s="23" t="s">
        <v>42</v>
      </c>
      <c r="G96" s="9" t="s">
        <v>48</v>
      </c>
      <c r="H96" s="10" t="s">
        <v>20</v>
      </c>
      <c r="I96" s="11" t="s">
        <v>19</v>
      </c>
      <c r="J96" s="10" t="s">
        <v>21</v>
      </c>
      <c r="K96" s="10" t="s">
        <v>22</v>
      </c>
      <c r="L96" s="10" t="s">
        <v>22</v>
      </c>
      <c r="M96" s="10" t="s">
        <v>21</v>
      </c>
      <c r="N96" s="7" t="n">
        <v>0</v>
      </c>
      <c r="O96" s="7" t="n">
        <v>1</v>
      </c>
    </row>
    <row r="97" customFormat="false" ht="15.75" hidden="true" customHeight="true" outlineLevel="0" collapsed="false">
      <c r="A97" s="7" t="n">
        <v>18</v>
      </c>
      <c r="B97" s="7" t="n">
        <v>2</v>
      </c>
      <c r="C97" s="7" t="n">
        <v>4</v>
      </c>
      <c r="D97" s="9" t="s">
        <v>50</v>
      </c>
      <c r="E97" s="9" t="s">
        <v>51</v>
      </c>
      <c r="F97" s="23" t="s">
        <v>42</v>
      </c>
      <c r="G97" s="9" t="s">
        <v>48</v>
      </c>
      <c r="H97" s="13" t="s">
        <v>20</v>
      </c>
      <c r="I97" s="11" t="s">
        <v>19</v>
      </c>
      <c r="J97" s="13" t="s">
        <v>21</v>
      </c>
      <c r="K97" s="13" t="s">
        <v>22</v>
      </c>
      <c r="L97" s="13" t="s">
        <v>22</v>
      </c>
      <c r="M97" s="13" t="s">
        <v>21</v>
      </c>
      <c r="N97" s="7" t="n">
        <v>1</v>
      </c>
      <c r="O97" s="7" t="n">
        <v>0</v>
      </c>
    </row>
    <row r="98" customFormat="false" ht="15.75" hidden="true" customHeight="true" outlineLevel="0" collapsed="false">
      <c r="A98" s="7" t="n">
        <v>18</v>
      </c>
      <c r="B98" s="7" t="n">
        <v>2</v>
      </c>
      <c r="C98" s="7" t="n">
        <v>5</v>
      </c>
      <c r="D98" s="9" t="s">
        <v>50</v>
      </c>
      <c r="E98" s="9" t="s">
        <v>51</v>
      </c>
      <c r="F98" s="23" t="s">
        <v>42</v>
      </c>
      <c r="G98" s="9" t="s">
        <v>48</v>
      </c>
      <c r="H98" s="10" t="s">
        <v>20</v>
      </c>
      <c r="I98" s="11" t="s">
        <v>19</v>
      </c>
      <c r="J98" s="10" t="s">
        <v>21</v>
      </c>
      <c r="K98" s="10" t="s">
        <v>22</v>
      </c>
      <c r="L98" s="10" t="s">
        <v>22</v>
      </c>
      <c r="M98" s="10" t="s">
        <v>21</v>
      </c>
      <c r="N98" s="7" t="n">
        <v>1</v>
      </c>
      <c r="O98" s="7" t="n">
        <v>0</v>
      </c>
    </row>
    <row r="99" customFormat="false" ht="15.75" hidden="true" customHeight="true" outlineLevel="0" collapsed="false">
      <c r="A99" s="7" t="n">
        <v>18</v>
      </c>
      <c r="B99" s="7" t="n">
        <v>2</v>
      </c>
      <c r="C99" s="7" t="n">
        <v>6</v>
      </c>
      <c r="D99" s="9" t="s">
        <v>50</v>
      </c>
      <c r="E99" s="9" t="s">
        <v>51</v>
      </c>
      <c r="F99" s="23" t="s">
        <v>42</v>
      </c>
      <c r="G99" s="9" t="s">
        <v>48</v>
      </c>
      <c r="H99" s="13" t="s">
        <v>20</v>
      </c>
      <c r="I99" s="11" t="s">
        <v>19</v>
      </c>
      <c r="J99" s="13" t="s">
        <v>21</v>
      </c>
      <c r="K99" s="13" t="s">
        <v>22</v>
      </c>
      <c r="L99" s="13" t="s">
        <v>22</v>
      </c>
      <c r="M99" s="13" t="s">
        <v>21</v>
      </c>
      <c r="N99" s="7" t="n">
        <v>1</v>
      </c>
      <c r="O99" s="7" t="n">
        <v>0</v>
      </c>
    </row>
    <row r="100" customFormat="false" ht="15.75" hidden="true" customHeight="true" outlineLevel="0" collapsed="false">
      <c r="A100" s="7" t="n">
        <v>18</v>
      </c>
      <c r="B100" s="7" t="n">
        <v>2</v>
      </c>
      <c r="C100" s="7" t="n">
        <v>7</v>
      </c>
      <c r="D100" s="9" t="s">
        <v>50</v>
      </c>
      <c r="E100" s="9" t="s">
        <v>51</v>
      </c>
      <c r="F100" s="23" t="s">
        <v>42</v>
      </c>
      <c r="G100" s="9" t="s">
        <v>48</v>
      </c>
      <c r="H100" s="10" t="s">
        <v>20</v>
      </c>
      <c r="I100" s="11" t="s">
        <v>19</v>
      </c>
      <c r="J100" s="10" t="s">
        <v>21</v>
      </c>
      <c r="K100" s="10" t="s">
        <v>22</v>
      </c>
      <c r="L100" s="10" t="s">
        <v>22</v>
      </c>
      <c r="M100" s="10" t="s">
        <v>21</v>
      </c>
      <c r="N100" s="7" t="n">
        <v>0</v>
      </c>
      <c r="O100" s="7" t="n">
        <v>1</v>
      </c>
    </row>
    <row r="101" customFormat="false" ht="15.75" hidden="true" customHeight="true" outlineLevel="0" collapsed="false">
      <c r="A101" s="7" t="n">
        <v>18</v>
      </c>
      <c r="B101" s="7" t="n">
        <v>2</v>
      </c>
      <c r="C101" s="7" t="n">
        <v>8</v>
      </c>
      <c r="D101" s="9" t="s">
        <v>50</v>
      </c>
      <c r="E101" s="9" t="s">
        <v>51</v>
      </c>
      <c r="F101" s="23" t="s">
        <v>42</v>
      </c>
      <c r="G101" s="9" t="s">
        <v>48</v>
      </c>
      <c r="H101" s="13" t="s">
        <v>20</v>
      </c>
      <c r="I101" s="11" t="s">
        <v>19</v>
      </c>
      <c r="J101" s="13" t="s">
        <v>21</v>
      </c>
      <c r="K101" s="13" t="s">
        <v>22</v>
      </c>
      <c r="L101" s="13" t="s">
        <v>22</v>
      </c>
      <c r="M101" s="13" t="s">
        <v>21</v>
      </c>
      <c r="N101" s="7" t="n">
        <v>1</v>
      </c>
      <c r="O101" s="7" t="n">
        <v>0</v>
      </c>
    </row>
    <row r="102" customFormat="false" ht="15.75" hidden="true" customHeight="true" outlineLevel="0" collapsed="false">
      <c r="A102" s="7" t="n">
        <v>18</v>
      </c>
      <c r="B102" s="7" t="n">
        <v>2</v>
      </c>
      <c r="C102" s="7" t="n">
        <v>9</v>
      </c>
      <c r="D102" s="9" t="s">
        <v>50</v>
      </c>
      <c r="E102" s="9" t="s">
        <v>51</v>
      </c>
      <c r="F102" s="23" t="s">
        <v>42</v>
      </c>
      <c r="G102" s="9" t="s">
        <v>48</v>
      </c>
      <c r="H102" s="10" t="s">
        <v>20</v>
      </c>
      <c r="I102" s="11" t="s">
        <v>19</v>
      </c>
      <c r="J102" s="10" t="s">
        <v>21</v>
      </c>
      <c r="K102" s="10" t="s">
        <v>22</v>
      </c>
      <c r="L102" s="10" t="s">
        <v>22</v>
      </c>
      <c r="M102" s="10" t="s">
        <v>21</v>
      </c>
      <c r="N102" s="7" t="n">
        <v>1</v>
      </c>
      <c r="O102" s="7" t="n">
        <v>0</v>
      </c>
    </row>
    <row r="103" customFormat="false" ht="15.75" hidden="true" customHeight="true" outlineLevel="0" collapsed="false">
      <c r="A103" s="7" t="n">
        <v>18</v>
      </c>
      <c r="B103" s="7" t="n">
        <v>2</v>
      </c>
      <c r="C103" s="7" t="n">
        <v>10</v>
      </c>
      <c r="D103" s="9" t="s">
        <v>50</v>
      </c>
      <c r="E103" s="9" t="s">
        <v>51</v>
      </c>
      <c r="F103" s="23" t="s">
        <v>42</v>
      </c>
      <c r="G103" s="9" t="s">
        <v>48</v>
      </c>
      <c r="H103" s="13" t="s">
        <v>20</v>
      </c>
      <c r="I103" s="11" t="s">
        <v>19</v>
      </c>
      <c r="J103" s="13" t="s">
        <v>21</v>
      </c>
      <c r="K103" s="13" t="s">
        <v>22</v>
      </c>
      <c r="L103" s="13" t="s">
        <v>22</v>
      </c>
      <c r="M103" s="13" t="s">
        <v>21</v>
      </c>
      <c r="N103" s="7" t="n">
        <v>1</v>
      </c>
      <c r="O103" s="7" t="n">
        <v>0</v>
      </c>
    </row>
    <row r="104" customFormat="false" ht="15.75" hidden="true" customHeight="true" outlineLevel="0" collapsed="false">
      <c r="A104" s="7" t="n">
        <v>20</v>
      </c>
      <c r="B104" s="7" t="n">
        <v>2</v>
      </c>
      <c r="C104" s="7" t="n">
        <v>1</v>
      </c>
      <c r="D104" s="9" t="s">
        <v>49</v>
      </c>
      <c r="E104" s="9" t="s">
        <v>30</v>
      </c>
      <c r="F104" s="9" t="s">
        <v>35</v>
      </c>
      <c r="G104" s="9" t="s">
        <v>24</v>
      </c>
      <c r="H104" s="10" t="s">
        <v>20</v>
      </c>
      <c r="I104" s="11" t="s">
        <v>19</v>
      </c>
      <c r="J104" s="10" t="s">
        <v>21</v>
      </c>
      <c r="K104" s="10" t="s">
        <v>22</v>
      </c>
      <c r="L104" s="10" t="s">
        <v>21</v>
      </c>
      <c r="M104" s="10" t="s">
        <v>22</v>
      </c>
      <c r="N104" s="7" t="n">
        <v>1</v>
      </c>
      <c r="O104" s="7" t="n">
        <v>0</v>
      </c>
    </row>
    <row r="105" customFormat="false" ht="15.75" hidden="true" customHeight="true" outlineLevel="0" collapsed="false">
      <c r="A105" s="7" t="n">
        <v>20</v>
      </c>
      <c r="B105" s="7" t="n">
        <v>2</v>
      </c>
      <c r="C105" s="7" t="n">
        <v>2</v>
      </c>
      <c r="D105" s="9" t="s">
        <v>49</v>
      </c>
      <c r="E105" s="9" t="s">
        <v>30</v>
      </c>
      <c r="F105" s="9" t="s">
        <v>35</v>
      </c>
      <c r="G105" s="9" t="s">
        <v>24</v>
      </c>
      <c r="H105" s="13" t="s">
        <v>20</v>
      </c>
      <c r="I105" s="11" t="s">
        <v>19</v>
      </c>
      <c r="J105" s="13" t="s">
        <v>21</v>
      </c>
      <c r="K105" s="13" t="s">
        <v>22</v>
      </c>
      <c r="L105" s="13" t="s">
        <v>21</v>
      </c>
      <c r="M105" s="13" t="s">
        <v>22</v>
      </c>
      <c r="N105" s="7" t="n">
        <v>1</v>
      </c>
      <c r="O105" s="7" t="n">
        <v>0</v>
      </c>
    </row>
    <row r="106" customFormat="false" ht="15.75" hidden="true" customHeight="true" outlineLevel="0" collapsed="false">
      <c r="A106" s="7" t="n">
        <v>20</v>
      </c>
      <c r="B106" s="7" t="n">
        <v>2</v>
      </c>
      <c r="C106" s="7" t="n">
        <v>3</v>
      </c>
      <c r="D106" s="9" t="s">
        <v>49</v>
      </c>
      <c r="E106" s="9" t="s">
        <v>30</v>
      </c>
      <c r="F106" s="9" t="s">
        <v>35</v>
      </c>
      <c r="G106" s="9" t="s">
        <v>24</v>
      </c>
      <c r="H106" s="10" t="s">
        <v>20</v>
      </c>
      <c r="I106" s="11" t="s">
        <v>19</v>
      </c>
      <c r="J106" s="10" t="s">
        <v>21</v>
      </c>
      <c r="K106" s="10" t="s">
        <v>22</v>
      </c>
      <c r="L106" s="10" t="s">
        <v>21</v>
      </c>
      <c r="M106" s="10" t="s">
        <v>22</v>
      </c>
      <c r="N106" s="7" t="n">
        <v>1</v>
      </c>
      <c r="O106" s="7" t="n">
        <v>0</v>
      </c>
    </row>
    <row r="107" customFormat="false" ht="15.75" hidden="true" customHeight="true" outlineLevel="0" collapsed="false">
      <c r="A107" s="7" t="n">
        <v>20</v>
      </c>
      <c r="B107" s="7" t="n">
        <v>2</v>
      </c>
      <c r="C107" s="7" t="n">
        <v>4</v>
      </c>
      <c r="D107" s="9" t="s">
        <v>49</v>
      </c>
      <c r="E107" s="9" t="s">
        <v>30</v>
      </c>
      <c r="F107" s="9" t="s">
        <v>35</v>
      </c>
      <c r="G107" s="9" t="s">
        <v>24</v>
      </c>
      <c r="H107" s="13" t="s">
        <v>20</v>
      </c>
      <c r="I107" s="11" t="s">
        <v>19</v>
      </c>
      <c r="J107" s="13" t="s">
        <v>21</v>
      </c>
      <c r="K107" s="13" t="s">
        <v>22</v>
      </c>
      <c r="L107" s="13" t="s">
        <v>21</v>
      </c>
      <c r="M107" s="13" t="s">
        <v>22</v>
      </c>
      <c r="N107" s="7" t="n">
        <v>1</v>
      </c>
      <c r="O107" s="7" t="n">
        <v>0</v>
      </c>
    </row>
    <row r="108" customFormat="false" ht="15.75" hidden="true" customHeight="true" outlineLevel="0" collapsed="false">
      <c r="A108" s="7" t="n">
        <v>20</v>
      </c>
      <c r="B108" s="7" t="n">
        <v>2</v>
      </c>
      <c r="C108" s="7" t="n">
        <v>5</v>
      </c>
      <c r="D108" s="9" t="s">
        <v>49</v>
      </c>
      <c r="E108" s="9" t="s">
        <v>30</v>
      </c>
      <c r="F108" s="9" t="s">
        <v>35</v>
      </c>
      <c r="G108" s="9" t="s">
        <v>24</v>
      </c>
      <c r="H108" s="10" t="s">
        <v>20</v>
      </c>
      <c r="I108" s="11" t="s">
        <v>19</v>
      </c>
      <c r="J108" s="10" t="s">
        <v>21</v>
      </c>
      <c r="K108" s="10" t="s">
        <v>22</v>
      </c>
      <c r="L108" s="10" t="s">
        <v>21</v>
      </c>
      <c r="M108" s="10" t="s">
        <v>22</v>
      </c>
      <c r="N108" s="7" t="n">
        <v>1</v>
      </c>
      <c r="O108" s="7" t="n">
        <v>0</v>
      </c>
    </row>
    <row r="109" customFormat="false" ht="15.75" hidden="true" customHeight="true" outlineLevel="0" collapsed="false">
      <c r="A109" s="7" t="n">
        <v>20</v>
      </c>
      <c r="B109" s="7" t="n">
        <v>2</v>
      </c>
      <c r="C109" s="7" t="n">
        <v>6</v>
      </c>
      <c r="D109" s="9" t="s">
        <v>49</v>
      </c>
      <c r="E109" s="9" t="s">
        <v>30</v>
      </c>
      <c r="F109" s="9" t="s">
        <v>35</v>
      </c>
      <c r="G109" s="9" t="s">
        <v>24</v>
      </c>
      <c r="H109" s="13" t="s">
        <v>20</v>
      </c>
      <c r="I109" s="11" t="s">
        <v>19</v>
      </c>
      <c r="J109" s="13" t="s">
        <v>21</v>
      </c>
      <c r="K109" s="13" t="s">
        <v>22</v>
      </c>
      <c r="L109" s="13" t="s">
        <v>21</v>
      </c>
      <c r="M109" s="13" t="s">
        <v>22</v>
      </c>
      <c r="N109" s="7" t="n">
        <v>1</v>
      </c>
      <c r="O109" s="7" t="n">
        <v>0</v>
      </c>
    </row>
    <row r="110" customFormat="false" ht="15.75" hidden="true" customHeight="true" outlineLevel="0" collapsed="false">
      <c r="A110" s="7" t="n">
        <v>20</v>
      </c>
      <c r="B110" s="7" t="n">
        <v>2</v>
      </c>
      <c r="C110" s="7" t="n">
        <v>7</v>
      </c>
      <c r="D110" s="9" t="s">
        <v>49</v>
      </c>
      <c r="E110" s="9" t="s">
        <v>30</v>
      </c>
      <c r="F110" s="9" t="s">
        <v>35</v>
      </c>
      <c r="G110" s="9" t="s">
        <v>24</v>
      </c>
      <c r="H110" s="10" t="s">
        <v>20</v>
      </c>
      <c r="I110" s="11" t="s">
        <v>19</v>
      </c>
      <c r="J110" s="10" t="s">
        <v>21</v>
      </c>
      <c r="K110" s="10" t="s">
        <v>22</v>
      </c>
      <c r="L110" s="10" t="s">
        <v>21</v>
      </c>
      <c r="M110" s="10" t="s">
        <v>22</v>
      </c>
      <c r="N110" s="7" t="n">
        <v>1</v>
      </c>
      <c r="O110" s="7" t="n">
        <v>0</v>
      </c>
    </row>
    <row r="111" customFormat="false" ht="15.75" hidden="true" customHeight="true" outlineLevel="0" collapsed="false">
      <c r="A111" s="7" t="n">
        <v>24</v>
      </c>
      <c r="B111" s="7" t="n">
        <v>2</v>
      </c>
      <c r="C111" s="7" t="n">
        <v>1</v>
      </c>
      <c r="D111" s="9" t="s">
        <v>43</v>
      </c>
      <c r="E111" s="9" t="s">
        <v>29</v>
      </c>
      <c r="F111" s="9" t="s">
        <v>34</v>
      </c>
      <c r="G111" s="9" t="s">
        <v>49</v>
      </c>
      <c r="H111" s="13" t="s">
        <v>20</v>
      </c>
      <c r="I111" s="11" t="s">
        <v>19</v>
      </c>
      <c r="J111" s="13" t="s">
        <v>21</v>
      </c>
      <c r="K111" s="13" t="s">
        <v>22</v>
      </c>
      <c r="L111" s="13" t="s">
        <v>22</v>
      </c>
      <c r="M111" s="13" t="s">
        <v>21</v>
      </c>
      <c r="N111" s="7" t="n">
        <v>0</v>
      </c>
      <c r="O111" s="7" t="n">
        <v>1</v>
      </c>
    </row>
    <row r="112" customFormat="false" ht="15.75" hidden="true" customHeight="true" outlineLevel="0" collapsed="false">
      <c r="A112" s="7" t="n">
        <v>24</v>
      </c>
      <c r="B112" s="7" t="n">
        <v>2</v>
      </c>
      <c r="C112" s="7" t="n">
        <v>2</v>
      </c>
      <c r="D112" s="9" t="s">
        <v>43</v>
      </c>
      <c r="E112" s="9" t="s">
        <v>29</v>
      </c>
      <c r="F112" s="9" t="s">
        <v>34</v>
      </c>
      <c r="G112" s="9" t="s">
        <v>49</v>
      </c>
      <c r="H112" s="10" t="s">
        <v>20</v>
      </c>
      <c r="I112" s="11" t="s">
        <v>19</v>
      </c>
      <c r="J112" s="10" t="s">
        <v>21</v>
      </c>
      <c r="K112" s="10" t="s">
        <v>22</v>
      </c>
      <c r="L112" s="10" t="s">
        <v>22</v>
      </c>
      <c r="M112" s="10" t="s">
        <v>21</v>
      </c>
      <c r="N112" s="7" t="n">
        <v>0</v>
      </c>
      <c r="O112" s="7" t="n">
        <v>1</v>
      </c>
    </row>
    <row r="113" customFormat="false" ht="15.75" hidden="true" customHeight="true" outlineLevel="0" collapsed="false">
      <c r="A113" s="7" t="n">
        <v>24</v>
      </c>
      <c r="B113" s="7" t="n">
        <v>2</v>
      </c>
      <c r="C113" s="7" t="n">
        <v>3</v>
      </c>
      <c r="D113" s="9" t="s">
        <v>43</v>
      </c>
      <c r="E113" s="9" t="s">
        <v>29</v>
      </c>
      <c r="F113" s="9" t="s">
        <v>34</v>
      </c>
      <c r="G113" s="9" t="s">
        <v>49</v>
      </c>
      <c r="H113" s="13" t="s">
        <v>20</v>
      </c>
      <c r="I113" s="11" t="s">
        <v>19</v>
      </c>
      <c r="J113" s="13" t="s">
        <v>21</v>
      </c>
      <c r="K113" s="13" t="s">
        <v>22</v>
      </c>
      <c r="L113" s="13" t="s">
        <v>22</v>
      </c>
      <c r="M113" s="13" t="s">
        <v>21</v>
      </c>
      <c r="N113" s="7" t="n">
        <v>1</v>
      </c>
      <c r="O113" s="7" t="n">
        <v>0</v>
      </c>
    </row>
    <row r="114" customFormat="false" ht="15.75" hidden="true" customHeight="true" outlineLevel="0" collapsed="false">
      <c r="A114" s="7" t="n">
        <v>24</v>
      </c>
      <c r="B114" s="7" t="n">
        <v>2</v>
      </c>
      <c r="C114" s="7" t="n">
        <v>4</v>
      </c>
      <c r="D114" s="9" t="s">
        <v>43</v>
      </c>
      <c r="E114" s="9" t="s">
        <v>29</v>
      </c>
      <c r="F114" s="9" t="s">
        <v>34</v>
      </c>
      <c r="G114" s="9" t="s">
        <v>49</v>
      </c>
      <c r="H114" s="10" t="s">
        <v>20</v>
      </c>
      <c r="I114" s="11" t="s">
        <v>19</v>
      </c>
      <c r="J114" s="10" t="s">
        <v>21</v>
      </c>
      <c r="K114" s="10" t="s">
        <v>22</v>
      </c>
      <c r="L114" s="10" t="s">
        <v>22</v>
      </c>
      <c r="M114" s="10" t="s">
        <v>21</v>
      </c>
      <c r="N114" s="7" t="n">
        <v>0</v>
      </c>
      <c r="O114" s="7" t="n">
        <v>1</v>
      </c>
    </row>
    <row r="115" customFormat="false" ht="15.75" hidden="true" customHeight="true" outlineLevel="0" collapsed="false">
      <c r="A115" s="7" t="n">
        <v>24</v>
      </c>
      <c r="B115" s="7" t="n">
        <v>2</v>
      </c>
      <c r="C115" s="7" t="n">
        <v>5</v>
      </c>
      <c r="D115" s="9" t="s">
        <v>43</v>
      </c>
      <c r="E115" s="9" t="s">
        <v>29</v>
      </c>
      <c r="F115" s="9" t="s">
        <v>34</v>
      </c>
      <c r="G115" s="9" t="s">
        <v>49</v>
      </c>
      <c r="H115" s="13" t="s">
        <v>20</v>
      </c>
      <c r="I115" s="11" t="s">
        <v>19</v>
      </c>
      <c r="J115" s="13" t="s">
        <v>21</v>
      </c>
      <c r="K115" s="13" t="s">
        <v>22</v>
      </c>
      <c r="L115" s="13" t="s">
        <v>22</v>
      </c>
      <c r="M115" s="13" t="s">
        <v>21</v>
      </c>
      <c r="N115" s="7" t="n">
        <v>0</v>
      </c>
      <c r="O115" s="7" t="n">
        <v>1</v>
      </c>
    </row>
    <row r="116" customFormat="false" ht="15.75" hidden="true" customHeight="true" outlineLevel="0" collapsed="false">
      <c r="A116" s="7" t="n">
        <v>24</v>
      </c>
      <c r="B116" s="7" t="n">
        <v>2</v>
      </c>
      <c r="C116" s="7" t="n">
        <v>6</v>
      </c>
      <c r="D116" s="9" t="s">
        <v>43</v>
      </c>
      <c r="E116" s="9" t="s">
        <v>29</v>
      </c>
      <c r="F116" s="9" t="s">
        <v>34</v>
      </c>
      <c r="G116" s="9" t="s">
        <v>49</v>
      </c>
      <c r="H116" s="10" t="s">
        <v>20</v>
      </c>
      <c r="I116" s="11" t="s">
        <v>19</v>
      </c>
      <c r="J116" s="10" t="s">
        <v>21</v>
      </c>
      <c r="K116" s="10" t="s">
        <v>22</v>
      </c>
      <c r="L116" s="10" t="s">
        <v>22</v>
      </c>
      <c r="M116" s="10" t="s">
        <v>21</v>
      </c>
      <c r="N116" s="7" t="n">
        <v>0</v>
      </c>
      <c r="O116" s="7" t="n">
        <v>1</v>
      </c>
    </row>
    <row r="117" customFormat="false" ht="15.75" hidden="true" customHeight="true" outlineLevel="0" collapsed="false">
      <c r="A117" s="7" t="n">
        <v>24</v>
      </c>
      <c r="B117" s="7" t="n">
        <v>2</v>
      </c>
      <c r="C117" s="7" t="n">
        <v>7</v>
      </c>
      <c r="D117" s="9" t="s">
        <v>43</v>
      </c>
      <c r="E117" s="9" t="s">
        <v>29</v>
      </c>
      <c r="F117" s="9" t="s">
        <v>34</v>
      </c>
      <c r="G117" s="9" t="s">
        <v>49</v>
      </c>
      <c r="H117" s="13" t="s">
        <v>20</v>
      </c>
      <c r="I117" s="11" t="s">
        <v>19</v>
      </c>
      <c r="J117" s="13" t="s">
        <v>21</v>
      </c>
      <c r="K117" s="13" t="s">
        <v>22</v>
      </c>
      <c r="L117" s="13" t="s">
        <v>22</v>
      </c>
      <c r="M117" s="13" t="s">
        <v>21</v>
      </c>
      <c r="N117" s="7" t="n">
        <v>1</v>
      </c>
      <c r="O117" s="7" t="n">
        <v>0</v>
      </c>
    </row>
    <row r="118" customFormat="false" ht="15.75" hidden="true" customHeight="true" outlineLevel="0" collapsed="false">
      <c r="A118" s="7" t="n">
        <v>24</v>
      </c>
      <c r="B118" s="7" t="n">
        <v>2</v>
      </c>
      <c r="C118" s="7" t="n">
        <v>8</v>
      </c>
      <c r="D118" s="9" t="s">
        <v>43</v>
      </c>
      <c r="E118" s="9" t="s">
        <v>29</v>
      </c>
      <c r="F118" s="9" t="s">
        <v>34</v>
      </c>
      <c r="G118" s="9" t="s">
        <v>49</v>
      </c>
      <c r="H118" s="10" t="s">
        <v>20</v>
      </c>
      <c r="I118" s="11" t="s">
        <v>19</v>
      </c>
      <c r="J118" s="10" t="s">
        <v>21</v>
      </c>
      <c r="K118" s="10" t="s">
        <v>22</v>
      </c>
      <c r="L118" s="10" t="s">
        <v>22</v>
      </c>
      <c r="M118" s="10" t="s">
        <v>21</v>
      </c>
      <c r="N118" s="7" t="n">
        <v>1</v>
      </c>
      <c r="O118" s="7" t="n">
        <v>0</v>
      </c>
    </row>
    <row r="119" customFormat="false" ht="15.75" hidden="true" customHeight="true" outlineLevel="0" collapsed="false">
      <c r="A119" s="7" t="n">
        <v>24</v>
      </c>
      <c r="B119" s="7" t="n">
        <v>2</v>
      </c>
      <c r="C119" s="7" t="n">
        <v>9</v>
      </c>
      <c r="D119" s="9" t="s">
        <v>43</v>
      </c>
      <c r="E119" s="9" t="s">
        <v>29</v>
      </c>
      <c r="F119" s="9" t="s">
        <v>34</v>
      </c>
      <c r="G119" s="9" t="s">
        <v>49</v>
      </c>
      <c r="H119" s="13" t="s">
        <v>20</v>
      </c>
      <c r="I119" s="11" t="s">
        <v>19</v>
      </c>
      <c r="J119" s="13" t="s">
        <v>21</v>
      </c>
      <c r="K119" s="13" t="s">
        <v>22</v>
      </c>
      <c r="L119" s="13" t="s">
        <v>22</v>
      </c>
      <c r="M119" s="13" t="s">
        <v>21</v>
      </c>
      <c r="N119" s="7" t="n">
        <v>0</v>
      </c>
      <c r="O119" s="7" t="n">
        <v>1</v>
      </c>
    </row>
    <row r="120" customFormat="false" ht="15.75" hidden="true" customHeight="true" outlineLevel="0" collapsed="false">
      <c r="A120" s="7" t="n">
        <v>24</v>
      </c>
      <c r="B120" s="7" t="n">
        <v>2</v>
      </c>
      <c r="C120" s="7" t="n">
        <v>10</v>
      </c>
      <c r="D120" s="9" t="s">
        <v>43</v>
      </c>
      <c r="E120" s="9" t="s">
        <v>29</v>
      </c>
      <c r="F120" s="9" t="s">
        <v>34</v>
      </c>
      <c r="G120" s="9" t="s">
        <v>49</v>
      </c>
      <c r="H120" s="10" t="s">
        <v>20</v>
      </c>
      <c r="I120" s="11" t="s">
        <v>19</v>
      </c>
      <c r="J120" s="10" t="s">
        <v>21</v>
      </c>
      <c r="K120" s="10" t="s">
        <v>22</v>
      </c>
      <c r="L120" s="10" t="s">
        <v>22</v>
      </c>
      <c r="M120" s="10" t="s">
        <v>21</v>
      </c>
      <c r="N120" s="7" t="n">
        <v>0</v>
      </c>
      <c r="O120" s="7" t="n">
        <v>1</v>
      </c>
    </row>
    <row r="121" customFormat="false" ht="15.75" hidden="true" customHeight="true" outlineLevel="0" collapsed="false">
      <c r="A121" s="7" t="n">
        <v>26</v>
      </c>
      <c r="B121" s="7" t="n">
        <v>2</v>
      </c>
      <c r="C121" s="7" t="n">
        <v>1</v>
      </c>
      <c r="D121" s="9" t="s">
        <v>29</v>
      </c>
      <c r="E121" s="9" t="s">
        <v>51</v>
      </c>
      <c r="F121" s="9" t="s">
        <v>54</v>
      </c>
      <c r="G121" s="9" t="s">
        <v>48</v>
      </c>
      <c r="H121" s="13" t="s">
        <v>20</v>
      </c>
      <c r="I121" s="11" t="s">
        <v>19</v>
      </c>
      <c r="J121" s="13" t="s">
        <v>22</v>
      </c>
      <c r="K121" s="13" t="s">
        <v>21</v>
      </c>
      <c r="L121" s="13" t="s">
        <v>21</v>
      </c>
      <c r="M121" s="13" t="s">
        <v>22</v>
      </c>
      <c r="N121" s="7" t="n">
        <v>0</v>
      </c>
      <c r="O121" s="7" t="n">
        <v>1</v>
      </c>
    </row>
    <row r="122" customFormat="false" ht="15.75" hidden="true" customHeight="true" outlineLevel="0" collapsed="false">
      <c r="A122" s="7" t="n">
        <v>26</v>
      </c>
      <c r="B122" s="7" t="n">
        <v>2</v>
      </c>
      <c r="C122" s="7" t="n">
        <v>2</v>
      </c>
      <c r="D122" s="9" t="s">
        <v>29</v>
      </c>
      <c r="E122" s="9" t="s">
        <v>51</v>
      </c>
      <c r="F122" s="9" t="s">
        <v>54</v>
      </c>
      <c r="G122" s="9" t="s">
        <v>48</v>
      </c>
      <c r="H122" s="10" t="s">
        <v>20</v>
      </c>
      <c r="I122" s="11" t="s">
        <v>19</v>
      </c>
      <c r="J122" s="10" t="s">
        <v>22</v>
      </c>
      <c r="K122" s="10" t="s">
        <v>21</v>
      </c>
      <c r="L122" s="10" t="s">
        <v>21</v>
      </c>
      <c r="M122" s="10" t="s">
        <v>22</v>
      </c>
      <c r="N122" s="7" t="n">
        <v>1</v>
      </c>
      <c r="O122" s="7" t="n">
        <v>0</v>
      </c>
    </row>
    <row r="123" customFormat="false" ht="15.75" hidden="true" customHeight="true" outlineLevel="0" collapsed="false">
      <c r="A123" s="7" t="n">
        <v>26</v>
      </c>
      <c r="B123" s="7" t="n">
        <v>2</v>
      </c>
      <c r="C123" s="7" t="n">
        <v>3</v>
      </c>
      <c r="D123" s="9" t="s">
        <v>29</v>
      </c>
      <c r="E123" s="9" t="s">
        <v>51</v>
      </c>
      <c r="F123" s="9" t="s">
        <v>54</v>
      </c>
      <c r="G123" s="9" t="s">
        <v>48</v>
      </c>
      <c r="H123" s="13" t="s">
        <v>20</v>
      </c>
      <c r="I123" s="11" t="s">
        <v>19</v>
      </c>
      <c r="J123" s="13" t="s">
        <v>22</v>
      </c>
      <c r="K123" s="13" t="s">
        <v>21</v>
      </c>
      <c r="L123" s="13" t="s">
        <v>21</v>
      </c>
      <c r="M123" s="13" t="s">
        <v>22</v>
      </c>
      <c r="N123" s="7" t="n">
        <v>1</v>
      </c>
      <c r="O123" s="7" t="n">
        <v>0</v>
      </c>
    </row>
    <row r="124" customFormat="false" ht="15.75" hidden="true" customHeight="true" outlineLevel="0" collapsed="false">
      <c r="A124" s="7" t="n">
        <v>26</v>
      </c>
      <c r="B124" s="7" t="n">
        <v>2</v>
      </c>
      <c r="C124" s="7" t="n">
        <v>4</v>
      </c>
      <c r="D124" s="9" t="s">
        <v>29</v>
      </c>
      <c r="E124" s="9" t="s">
        <v>51</v>
      </c>
      <c r="F124" s="9" t="s">
        <v>54</v>
      </c>
      <c r="G124" s="9" t="s">
        <v>48</v>
      </c>
      <c r="H124" s="10" t="s">
        <v>20</v>
      </c>
      <c r="I124" s="11" t="s">
        <v>19</v>
      </c>
      <c r="J124" s="10" t="s">
        <v>22</v>
      </c>
      <c r="K124" s="10" t="s">
        <v>21</v>
      </c>
      <c r="L124" s="10" t="s">
        <v>21</v>
      </c>
      <c r="M124" s="10" t="s">
        <v>22</v>
      </c>
      <c r="N124" s="7" t="n">
        <v>0</v>
      </c>
      <c r="O124" s="7" t="n">
        <v>1</v>
      </c>
    </row>
    <row r="125" customFormat="false" ht="15.75" hidden="true" customHeight="true" outlineLevel="0" collapsed="false">
      <c r="A125" s="7" t="n">
        <v>26</v>
      </c>
      <c r="B125" s="7" t="n">
        <v>2</v>
      </c>
      <c r="C125" s="7" t="n">
        <v>5</v>
      </c>
      <c r="D125" s="9" t="s">
        <v>29</v>
      </c>
      <c r="E125" s="9" t="s">
        <v>51</v>
      </c>
      <c r="F125" s="9" t="s">
        <v>54</v>
      </c>
      <c r="G125" s="9" t="s">
        <v>48</v>
      </c>
      <c r="H125" s="13" t="s">
        <v>20</v>
      </c>
      <c r="I125" s="11" t="s">
        <v>19</v>
      </c>
      <c r="J125" s="13" t="s">
        <v>22</v>
      </c>
      <c r="K125" s="13" t="s">
        <v>21</v>
      </c>
      <c r="L125" s="13" t="s">
        <v>21</v>
      </c>
      <c r="M125" s="13" t="s">
        <v>22</v>
      </c>
      <c r="N125" s="7" t="n">
        <v>1</v>
      </c>
      <c r="O125" s="7" t="n">
        <v>0</v>
      </c>
    </row>
    <row r="126" customFormat="false" ht="15.75" hidden="true" customHeight="true" outlineLevel="0" collapsed="false">
      <c r="A126" s="7" t="n">
        <v>26</v>
      </c>
      <c r="B126" s="7" t="n">
        <v>2</v>
      </c>
      <c r="C126" s="7" t="n">
        <v>6</v>
      </c>
      <c r="D126" s="9" t="s">
        <v>29</v>
      </c>
      <c r="E126" s="9" t="s">
        <v>51</v>
      </c>
      <c r="F126" s="9" t="s">
        <v>54</v>
      </c>
      <c r="G126" s="9" t="s">
        <v>48</v>
      </c>
      <c r="H126" s="10" t="s">
        <v>20</v>
      </c>
      <c r="I126" s="11" t="s">
        <v>19</v>
      </c>
      <c r="J126" s="10" t="s">
        <v>22</v>
      </c>
      <c r="K126" s="10" t="s">
        <v>21</v>
      </c>
      <c r="L126" s="10" t="s">
        <v>21</v>
      </c>
      <c r="M126" s="10" t="s">
        <v>22</v>
      </c>
      <c r="N126" s="7" t="n">
        <v>1</v>
      </c>
      <c r="O126" s="7" t="n">
        <v>0</v>
      </c>
    </row>
    <row r="127" customFormat="false" ht="15.75" hidden="true" customHeight="true" outlineLevel="0" collapsed="false">
      <c r="A127" s="7" t="n">
        <v>26</v>
      </c>
      <c r="B127" s="7" t="n">
        <v>2</v>
      </c>
      <c r="C127" s="7" t="n">
        <v>7</v>
      </c>
      <c r="D127" s="9" t="s">
        <v>29</v>
      </c>
      <c r="E127" s="9" t="s">
        <v>51</v>
      </c>
      <c r="F127" s="9" t="s">
        <v>54</v>
      </c>
      <c r="G127" s="9" t="s">
        <v>48</v>
      </c>
      <c r="H127" s="13" t="s">
        <v>20</v>
      </c>
      <c r="I127" s="11" t="s">
        <v>19</v>
      </c>
      <c r="J127" s="13" t="s">
        <v>22</v>
      </c>
      <c r="K127" s="13" t="s">
        <v>21</v>
      </c>
      <c r="L127" s="13" t="s">
        <v>21</v>
      </c>
      <c r="M127" s="13" t="s">
        <v>22</v>
      </c>
      <c r="N127" s="7" t="n">
        <v>0</v>
      </c>
      <c r="O127" s="7" t="n">
        <v>1</v>
      </c>
    </row>
    <row r="128" customFormat="false" ht="15.75" hidden="true" customHeight="true" outlineLevel="0" collapsed="false">
      <c r="A128" s="7" t="n">
        <v>26</v>
      </c>
      <c r="B128" s="7" t="n">
        <v>2</v>
      </c>
      <c r="C128" s="7" t="n">
        <v>8</v>
      </c>
      <c r="D128" s="9" t="s">
        <v>29</v>
      </c>
      <c r="E128" s="9" t="s">
        <v>51</v>
      </c>
      <c r="F128" s="9" t="s">
        <v>54</v>
      </c>
      <c r="G128" s="9" t="s">
        <v>48</v>
      </c>
      <c r="H128" s="10" t="s">
        <v>20</v>
      </c>
      <c r="I128" s="11" t="s">
        <v>19</v>
      </c>
      <c r="J128" s="10" t="s">
        <v>22</v>
      </c>
      <c r="K128" s="10" t="s">
        <v>21</v>
      </c>
      <c r="L128" s="10" t="s">
        <v>21</v>
      </c>
      <c r="M128" s="10" t="s">
        <v>22</v>
      </c>
      <c r="N128" s="7" t="n">
        <v>1</v>
      </c>
      <c r="O128" s="7" t="n">
        <v>0</v>
      </c>
    </row>
    <row r="129" customFormat="false" ht="15.75" hidden="true" customHeight="true" outlineLevel="0" collapsed="false">
      <c r="A129" s="7" t="n">
        <v>26</v>
      </c>
      <c r="B129" s="7" t="n">
        <v>2</v>
      </c>
      <c r="C129" s="7" t="n">
        <v>9</v>
      </c>
      <c r="D129" s="9" t="s">
        <v>29</v>
      </c>
      <c r="E129" s="9" t="s">
        <v>51</v>
      </c>
      <c r="F129" s="9" t="s">
        <v>54</v>
      </c>
      <c r="G129" s="9" t="s">
        <v>48</v>
      </c>
      <c r="H129" s="13" t="s">
        <v>20</v>
      </c>
      <c r="I129" s="11" t="s">
        <v>19</v>
      </c>
      <c r="J129" s="13" t="s">
        <v>22</v>
      </c>
      <c r="K129" s="13" t="s">
        <v>21</v>
      </c>
      <c r="L129" s="13" t="s">
        <v>21</v>
      </c>
      <c r="M129" s="13" t="s">
        <v>22</v>
      </c>
      <c r="N129" s="7" t="n">
        <v>1</v>
      </c>
      <c r="O129" s="7" t="n">
        <v>0</v>
      </c>
    </row>
    <row r="130" customFormat="false" ht="15.75" hidden="true" customHeight="true" outlineLevel="0" collapsed="false">
      <c r="A130" s="7" t="n">
        <v>26</v>
      </c>
      <c r="B130" s="7" t="n">
        <v>2</v>
      </c>
      <c r="C130" s="7" t="n">
        <v>10</v>
      </c>
      <c r="D130" s="9" t="s">
        <v>29</v>
      </c>
      <c r="E130" s="9" t="s">
        <v>51</v>
      </c>
      <c r="F130" s="9" t="s">
        <v>54</v>
      </c>
      <c r="G130" s="9" t="s">
        <v>48</v>
      </c>
      <c r="H130" s="10" t="s">
        <v>20</v>
      </c>
      <c r="I130" s="11" t="s">
        <v>19</v>
      </c>
      <c r="J130" s="10" t="s">
        <v>22</v>
      </c>
      <c r="K130" s="10" t="s">
        <v>21</v>
      </c>
      <c r="L130" s="10" t="s">
        <v>21</v>
      </c>
      <c r="M130" s="10" t="s">
        <v>22</v>
      </c>
      <c r="N130" s="7" t="n">
        <v>0</v>
      </c>
      <c r="O130" s="7" t="n">
        <v>1</v>
      </c>
    </row>
    <row r="131" customFormat="false" ht="15.75" hidden="true" customHeight="true" outlineLevel="0" collapsed="false">
      <c r="A131" s="7" t="n">
        <v>26</v>
      </c>
      <c r="B131" s="7" t="n">
        <v>2</v>
      </c>
      <c r="C131" s="7" t="n">
        <v>11</v>
      </c>
      <c r="D131" s="9" t="s">
        <v>29</v>
      </c>
      <c r="E131" s="9" t="s">
        <v>51</v>
      </c>
      <c r="F131" s="9" t="s">
        <v>54</v>
      </c>
      <c r="G131" s="9" t="s">
        <v>48</v>
      </c>
      <c r="H131" s="13" t="s">
        <v>20</v>
      </c>
      <c r="I131" s="11" t="s">
        <v>19</v>
      </c>
      <c r="J131" s="13" t="s">
        <v>22</v>
      </c>
      <c r="K131" s="13" t="s">
        <v>21</v>
      </c>
      <c r="L131" s="13" t="s">
        <v>21</v>
      </c>
      <c r="M131" s="13" t="s">
        <v>22</v>
      </c>
      <c r="N131" s="7" t="n">
        <v>0</v>
      </c>
      <c r="O131" s="7" t="n">
        <v>1</v>
      </c>
    </row>
    <row r="132" customFormat="false" ht="15.75" hidden="true" customHeight="true" outlineLevel="0" collapsed="false">
      <c r="A132" s="7" t="n">
        <v>26</v>
      </c>
      <c r="B132" s="7" t="n">
        <v>2</v>
      </c>
      <c r="C132" s="7" t="n">
        <v>12</v>
      </c>
      <c r="D132" s="9" t="s">
        <v>29</v>
      </c>
      <c r="E132" s="9" t="s">
        <v>51</v>
      </c>
      <c r="F132" s="9" t="s">
        <v>54</v>
      </c>
      <c r="G132" s="9" t="s">
        <v>48</v>
      </c>
      <c r="H132" s="10" t="s">
        <v>20</v>
      </c>
      <c r="I132" s="11" t="s">
        <v>19</v>
      </c>
      <c r="J132" s="10" t="s">
        <v>22</v>
      </c>
      <c r="K132" s="10" t="s">
        <v>21</v>
      </c>
      <c r="L132" s="10" t="s">
        <v>21</v>
      </c>
      <c r="M132" s="10" t="s">
        <v>22</v>
      </c>
      <c r="N132" s="7" t="n">
        <v>1</v>
      </c>
      <c r="O132" s="7" t="n">
        <v>0</v>
      </c>
    </row>
    <row r="133" customFormat="false" ht="15.75" hidden="true" customHeight="true" outlineLevel="0" collapsed="false">
      <c r="A133" s="7" t="n">
        <v>22</v>
      </c>
      <c r="B133" s="7" t="n">
        <v>2</v>
      </c>
      <c r="C133" s="7" t="n">
        <v>1</v>
      </c>
      <c r="D133" s="9" t="s">
        <v>41</v>
      </c>
      <c r="E133" s="9" t="s">
        <v>46</v>
      </c>
      <c r="F133" s="9" t="s">
        <v>27</v>
      </c>
      <c r="G133" s="9" t="s">
        <v>32</v>
      </c>
      <c r="H133" s="13" t="s">
        <v>20</v>
      </c>
      <c r="I133" s="11" t="s">
        <v>19</v>
      </c>
      <c r="J133" s="13" t="s">
        <v>21</v>
      </c>
      <c r="K133" s="13" t="s">
        <v>22</v>
      </c>
      <c r="L133" s="13" t="s">
        <v>22</v>
      </c>
      <c r="M133" s="13" t="s">
        <v>21</v>
      </c>
      <c r="N133" s="7" t="n">
        <v>1</v>
      </c>
      <c r="O133" s="7" t="n">
        <v>0</v>
      </c>
    </row>
    <row r="134" customFormat="false" ht="15.75" hidden="true" customHeight="true" outlineLevel="0" collapsed="false">
      <c r="A134" s="7" t="n">
        <v>22</v>
      </c>
      <c r="B134" s="7" t="n">
        <v>2</v>
      </c>
      <c r="C134" s="7" t="n">
        <v>2</v>
      </c>
      <c r="D134" s="9" t="s">
        <v>41</v>
      </c>
      <c r="E134" s="9" t="s">
        <v>46</v>
      </c>
      <c r="F134" s="9" t="s">
        <v>27</v>
      </c>
      <c r="G134" s="9" t="s">
        <v>32</v>
      </c>
      <c r="H134" s="10" t="s">
        <v>20</v>
      </c>
      <c r="I134" s="11" t="s">
        <v>19</v>
      </c>
      <c r="J134" s="10" t="s">
        <v>21</v>
      </c>
      <c r="K134" s="10" t="s">
        <v>22</v>
      </c>
      <c r="L134" s="10" t="s">
        <v>22</v>
      </c>
      <c r="M134" s="10" t="s">
        <v>21</v>
      </c>
      <c r="N134" s="7" t="n">
        <v>1</v>
      </c>
      <c r="O134" s="7" t="n">
        <v>0</v>
      </c>
    </row>
    <row r="135" customFormat="false" ht="15.75" hidden="true" customHeight="true" outlineLevel="0" collapsed="false">
      <c r="A135" s="7" t="n">
        <v>22</v>
      </c>
      <c r="B135" s="7" t="n">
        <v>2</v>
      </c>
      <c r="C135" s="7" t="n">
        <v>3</v>
      </c>
      <c r="D135" s="9" t="s">
        <v>41</v>
      </c>
      <c r="E135" s="9" t="s">
        <v>46</v>
      </c>
      <c r="F135" s="9" t="s">
        <v>27</v>
      </c>
      <c r="G135" s="9" t="s">
        <v>32</v>
      </c>
      <c r="H135" s="13" t="s">
        <v>20</v>
      </c>
      <c r="I135" s="11" t="s">
        <v>19</v>
      </c>
      <c r="J135" s="13" t="s">
        <v>21</v>
      </c>
      <c r="K135" s="13" t="s">
        <v>22</v>
      </c>
      <c r="L135" s="13" t="s">
        <v>22</v>
      </c>
      <c r="M135" s="13" t="s">
        <v>21</v>
      </c>
      <c r="N135" s="7" t="n">
        <v>1</v>
      </c>
      <c r="O135" s="7" t="n">
        <v>0</v>
      </c>
    </row>
    <row r="136" customFormat="false" ht="15.75" hidden="true" customHeight="true" outlineLevel="0" collapsed="false">
      <c r="A136" s="7" t="n">
        <v>22</v>
      </c>
      <c r="B136" s="7" t="n">
        <v>2</v>
      </c>
      <c r="C136" s="7" t="n">
        <v>4</v>
      </c>
      <c r="D136" s="9" t="s">
        <v>41</v>
      </c>
      <c r="E136" s="9" t="s">
        <v>46</v>
      </c>
      <c r="F136" s="9" t="s">
        <v>27</v>
      </c>
      <c r="G136" s="9" t="s">
        <v>32</v>
      </c>
      <c r="H136" s="10" t="s">
        <v>20</v>
      </c>
      <c r="I136" s="11" t="s">
        <v>19</v>
      </c>
      <c r="J136" s="10" t="s">
        <v>21</v>
      </c>
      <c r="K136" s="10" t="s">
        <v>22</v>
      </c>
      <c r="L136" s="10" t="s">
        <v>22</v>
      </c>
      <c r="M136" s="10" t="s">
        <v>21</v>
      </c>
      <c r="N136" s="7" t="n">
        <v>0</v>
      </c>
      <c r="O136" s="7" t="n">
        <v>1</v>
      </c>
    </row>
    <row r="137" customFormat="false" ht="15.75" hidden="true" customHeight="true" outlineLevel="0" collapsed="false">
      <c r="A137" s="7" t="n">
        <v>22</v>
      </c>
      <c r="B137" s="7" t="n">
        <v>2</v>
      </c>
      <c r="C137" s="7" t="n">
        <v>5</v>
      </c>
      <c r="D137" s="9" t="s">
        <v>41</v>
      </c>
      <c r="E137" s="9" t="s">
        <v>46</v>
      </c>
      <c r="F137" s="9" t="s">
        <v>27</v>
      </c>
      <c r="G137" s="9" t="s">
        <v>32</v>
      </c>
      <c r="H137" s="13" t="s">
        <v>20</v>
      </c>
      <c r="I137" s="11" t="s">
        <v>19</v>
      </c>
      <c r="J137" s="13" t="s">
        <v>21</v>
      </c>
      <c r="K137" s="13" t="s">
        <v>22</v>
      </c>
      <c r="L137" s="13" t="s">
        <v>22</v>
      </c>
      <c r="M137" s="13" t="s">
        <v>21</v>
      </c>
      <c r="N137" s="7" t="n">
        <v>1</v>
      </c>
      <c r="O137" s="7" t="n">
        <v>0</v>
      </c>
    </row>
    <row r="138" customFormat="false" ht="15.75" hidden="true" customHeight="true" outlineLevel="0" collapsed="false">
      <c r="A138" s="7" t="n">
        <v>22</v>
      </c>
      <c r="B138" s="7" t="n">
        <v>2</v>
      </c>
      <c r="C138" s="7" t="n">
        <v>6</v>
      </c>
      <c r="D138" s="9" t="s">
        <v>41</v>
      </c>
      <c r="E138" s="9" t="s">
        <v>46</v>
      </c>
      <c r="F138" s="9" t="s">
        <v>27</v>
      </c>
      <c r="G138" s="9" t="s">
        <v>32</v>
      </c>
      <c r="H138" s="10" t="s">
        <v>20</v>
      </c>
      <c r="I138" s="11" t="s">
        <v>19</v>
      </c>
      <c r="J138" s="10" t="s">
        <v>21</v>
      </c>
      <c r="K138" s="10" t="s">
        <v>22</v>
      </c>
      <c r="L138" s="10" t="s">
        <v>22</v>
      </c>
      <c r="M138" s="10" t="s">
        <v>21</v>
      </c>
      <c r="N138" s="7" t="n">
        <v>0</v>
      </c>
      <c r="O138" s="7" t="n">
        <v>1</v>
      </c>
    </row>
    <row r="139" customFormat="false" ht="15.75" hidden="true" customHeight="true" outlineLevel="0" collapsed="false">
      <c r="A139" s="7" t="n">
        <v>22</v>
      </c>
      <c r="B139" s="7" t="n">
        <v>2</v>
      </c>
      <c r="C139" s="7" t="n">
        <v>7</v>
      </c>
      <c r="D139" s="9" t="s">
        <v>41</v>
      </c>
      <c r="E139" s="9" t="s">
        <v>46</v>
      </c>
      <c r="F139" s="9" t="s">
        <v>27</v>
      </c>
      <c r="G139" s="9" t="s">
        <v>32</v>
      </c>
      <c r="H139" s="13" t="s">
        <v>20</v>
      </c>
      <c r="I139" s="11" t="s">
        <v>19</v>
      </c>
      <c r="J139" s="13" t="s">
        <v>21</v>
      </c>
      <c r="K139" s="13" t="s">
        <v>22</v>
      </c>
      <c r="L139" s="13" t="s">
        <v>22</v>
      </c>
      <c r="M139" s="13" t="s">
        <v>21</v>
      </c>
      <c r="N139" s="7" t="n">
        <v>0</v>
      </c>
      <c r="O139" s="7" t="n">
        <v>1</v>
      </c>
    </row>
    <row r="140" customFormat="false" ht="15.75" hidden="true" customHeight="true" outlineLevel="0" collapsed="false">
      <c r="A140" s="7" t="n">
        <v>22</v>
      </c>
      <c r="B140" s="7" t="n">
        <v>2</v>
      </c>
      <c r="C140" s="7" t="n">
        <v>8</v>
      </c>
      <c r="D140" s="9" t="s">
        <v>41</v>
      </c>
      <c r="E140" s="9" t="s">
        <v>46</v>
      </c>
      <c r="F140" s="9" t="s">
        <v>27</v>
      </c>
      <c r="G140" s="9" t="s">
        <v>32</v>
      </c>
      <c r="H140" s="10" t="s">
        <v>20</v>
      </c>
      <c r="I140" s="11" t="s">
        <v>19</v>
      </c>
      <c r="J140" s="10" t="s">
        <v>21</v>
      </c>
      <c r="K140" s="10" t="s">
        <v>22</v>
      </c>
      <c r="L140" s="10" t="s">
        <v>22</v>
      </c>
      <c r="M140" s="10" t="s">
        <v>21</v>
      </c>
      <c r="N140" s="7" t="n">
        <v>1</v>
      </c>
      <c r="O140" s="7" t="n">
        <v>0</v>
      </c>
    </row>
    <row r="141" customFormat="false" ht="15.75" hidden="true" customHeight="true" outlineLevel="0" collapsed="false">
      <c r="A141" s="7" t="n">
        <v>22</v>
      </c>
      <c r="B141" s="7" t="n">
        <v>2</v>
      </c>
      <c r="C141" s="7" t="n">
        <v>9</v>
      </c>
      <c r="D141" s="9" t="s">
        <v>41</v>
      </c>
      <c r="E141" s="9" t="s">
        <v>46</v>
      </c>
      <c r="F141" s="9" t="s">
        <v>27</v>
      </c>
      <c r="G141" s="9" t="s">
        <v>32</v>
      </c>
      <c r="H141" s="13" t="s">
        <v>20</v>
      </c>
      <c r="I141" s="11" t="s">
        <v>19</v>
      </c>
      <c r="J141" s="13" t="s">
        <v>21</v>
      </c>
      <c r="K141" s="13" t="s">
        <v>22</v>
      </c>
      <c r="L141" s="13" t="s">
        <v>22</v>
      </c>
      <c r="M141" s="13" t="s">
        <v>21</v>
      </c>
      <c r="N141" s="7" t="n">
        <v>1</v>
      </c>
      <c r="O141" s="7" t="n">
        <v>0</v>
      </c>
    </row>
    <row r="142" customFormat="false" ht="15.75" hidden="true" customHeight="true" outlineLevel="0" collapsed="false">
      <c r="A142" s="7" t="n">
        <v>22</v>
      </c>
      <c r="B142" s="7" t="n">
        <v>2</v>
      </c>
      <c r="C142" s="7" t="n">
        <v>10</v>
      </c>
      <c r="D142" s="9" t="s">
        <v>41</v>
      </c>
      <c r="E142" s="9" t="s">
        <v>46</v>
      </c>
      <c r="F142" s="9" t="s">
        <v>27</v>
      </c>
      <c r="G142" s="9" t="s">
        <v>32</v>
      </c>
      <c r="H142" s="10" t="s">
        <v>20</v>
      </c>
      <c r="I142" s="11" t="s">
        <v>19</v>
      </c>
      <c r="J142" s="10" t="s">
        <v>21</v>
      </c>
      <c r="K142" s="10" t="s">
        <v>22</v>
      </c>
      <c r="L142" s="10" t="s">
        <v>22</v>
      </c>
      <c r="M142" s="10" t="s">
        <v>21</v>
      </c>
      <c r="N142" s="7" t="n">
        <v>1</v>
      </c>
      <c r="O142" s="7" t="n">
        <v>0</v>
      </c>
    </row>
    <row r="143" customFormat="false" ht="15.75" hidden="true" customHeight="true" outlineLevel="0" collapsed="false">
      <c r="A143" s="7" t="n">
        <v>28</v>
      </c>
      <c r="B143" s="7" t="n">
        <v>2</v>
      </c>
      <c r="C143" s="7" t="n">
        <v>1</v>
      </c>
      <c r="D143" s="9" t="s">
        <v>47</v>
      </c>
      <c r="E143" s="9" t="s">
        <v>46</v>
      </c>
      <c r="F143" s="9" t="s">
        <v>42</v>
      </c>
      <c r="G143" s="9" t="s">
        <v>31</v>
      </c>
      <c r="H143" s="13" t="s">
        <v>20</v>
      </c>
      <c r="I143" s="11" t="s">
        <v>19</v>
      </c>
      <c r="J143" s="13" t="s">
        <v>21</v>
      </c>
      <c r="K143" s="13" t="s">
        <v>22</v>
      </c>
      <c r="L143" s="13" t="s">
        <v>21</v>
      </c>
      <c r="M143" s="13" t="s">
        <v>22</v>
      </c>
      <c r="N143" s="7" t="n">
        <v>1</v>
      </c>
      <c r="O143" s="7" t="n">
        <v>0</v>
      </c>
    </row>
    <row r="144" customFormat="false" ht="15.75" hidden="true" customHeight="true" outlineLevel="0" collapsed="false">
      <c r="A144" s="7" t="n">
        <v>28</v>
      </c>
      <c r="B144" s="7" t="n">
        <v>2</v>
      </c>
      <c r="C144" s="7" t="n">
        <v>2</v>
      </c>
      <c r="D144" s="9" t="s">
        <v>47</v>
      </c>
      <c r="E144" s="9" t="s">
        <v>46</v>
      </c>
      <c r="F144" s="9" t="s">
        <v>42</v>
      </c>
      <c r="G144" s="9" t="s">
        <v>31</v>
      </c>
      <c r="H144" s="10" t="s">
        <v>20</v>
      </c>
      <c r="I144" s="11" t="s">
        <v>19</v>
      </c>
      <c r="J144" s="10" t="s">
        <v>21</v>
      </c>
      <c r="K144" s="10" t="s">
        <v>22</v>
      </c>
      <c r="L144" s="10" t="s">
        <v>21</v>
      </c>
      <c r="M144" s="10" t="s">
        <v>22</v>
      </c>
      <c r="N144" s="7" t="n">
        <v>1</v>
      </c>
      <c r="O144" s="7" t="n">
        <v>0</v>
      </c>
    </row>
    <row r="145" customFormat="false" ht="15.75" hidden="true" customHeight="true" outlineLevel="0" collapsed="false">
      <c r="A145" s="7" t="n">
        <v>28</v>
      </c>
      <c r="B145" s="7" t="n">
        <v>2</v>
      </c>
      <c r="C145" s="7" t="n">
        <v>3</v>
      </c>
      <c r="D145" s="9" t="s">
        <v>47</v>
      </c>
      <c r="E145" s="9" t="s">
        <v>46</v>
      </c>
      <c r="F145" s="9" t="s">
        <v>42</v>
      </c>
      <c r="G145" s="9" t="s">
        <v>31</v>
      </c>
      <c r="H145" s="13" t="s">
        <v>20</v>
      </c>
      <c r="I145" s="11" t="s">
        <v>19</v>
      </c>
      <c r="J145" s="13" t="s">
        <v>21</v>
      </c>
      <c r="K145" s="13" t="s">
        <v>22</v>
      </c>
      <c r="L145" s="13" t="s">
        <v>21</v>
      </c>
      <c r="M145" s="13" t="s">
        <v>22</v>
      </c>
      <c r="N145" s="7" t="n">
        <v>1</v>
      </c>
      <c r="O145" s="7" t="n">
        <v>0</v>
      </c>
    </row>
    <row r="146" customFormat="false" ht="15.75" hidden="true" customHeight="true" outlineLevel="0" collapsed="false">
      <c r="A146" s="7" t="n">
        <v>28</v>
      </c>
      <c r="B146" s="7" t="n">
        <v>2</v>
      </c>
      <c r="C146" s="7" t="n">
        <v>4</v>
      </c>
      <c r="D146" s="9" t="s">
        <v>47</v>
      </c>
      <c r="E146" s="9" t="s">
        <v>46</v>
      </c>
      <c r="F146" s="9" t="s">
        <v>42</v>
      </c>
      <c r="G146" s="9" t="s">
        <v>31</v>
      </c>
      <c r="H146" s="10" t="s">
        <v>20</v>
      </c>
      <c r="I146" s="11" t="s">
        <v>19</v>
      </c>
      <c r="J146" s="10" t="s">
        <v>21</v>
      </c>
      <c r="K146" s="10" t="s">
        <v>22</v>
      </c>
      <c r="L146" s="10" t="s">
        <v>21</v>
      </c>
      <c r="M146" s="10" t="s">
        <v>22</v>
      </c>
      <c r="N146" s="7" t="n">
        <v>1</v>
      </c>
      <c r="O146" s="7" t="n">
        <v>0</v>
      </c>
    </row>
    <row r="147" customFormat="false" ht="15.75" hidden="true" customHeight="true" outlineLevel="0" collapsed="false">
      <c r="A147" s="7" t="n">
        <v>28</v>
      </c>
      <c r="B147" s="7" t="n">
        <v>2</v>
      </c>
      <c r="C147" s="7" t="n">
        <v>5</v>
      </c>
      <c r="D147" s="9" t="s">
        <v>47</v>
      </c>
      <c r="E147" s="9" t="s">
        <v>46</v>
      </c>
      <c r="F147" s="9" t="s">
        <v>42</v>
      </c>
      <c r="G147" s="9" t="s">
        <v>31</v>
      </c>
      <c r="H147" s="13" t="s">
        <v>20</v>
      </c>
      <c r="I147" s="11" t="s">
        <v>19</v>
      </c>
      <c r="J147" s="13" t="s">
        <v>21</v>
      </c>
      <c r="K147" s="13" t="s">
        <v>22</v>
      </c>
      <c r="L147" s="13" t="s">
        <v>21</v>
      </c>
      <c r="M147" s="13" t="s">
        <v>22</v>
      </c>
      <c r="N147" s="7" t="n">
        <v>1</v>
      </c>
      <c r="O147" s="7" t="n">
        <v>0</v>
      </c>
    </row>
    <row r="148" customFormat="false" ht="15.75" hidden="true" customHeight="true" outlineLevel="0" collapsed="false">
      <c r="A148" s="7" t="n">
        <v>28</v>
      </c>
      <c r="B148" s="7" t="n">
        <v>2</v>
      </c>
      <c r="C148" s="7" t="n">
        <v>6</v>
      </c>
      <c r="D148" s="9" t="s">
        <v>47</v>
      </c>
      <c r="E148" s="9" t="s">
        <v>46</v>
      </c>
      <c r="F148" s="9" t="s">
        <v>42</v>
      </c>
      <c r="G148" s="9" t="s">
        <v>31</v>
      </c>
      <c r="H148" s="10" t="s">
        <v>20</v>
      </c>
      <c r="I148" s="11" t="s">
        <v>19</v>
      </c>
      <c r="J148" s="10" t="s">
        <v>21</v>
      </c>
      <c r="K148" s="10" t="s">
        <v>22</v>
      </c>
      <c r="L148" s="10" t="s">
        <v>21</v>
      </c>
      <c r="M148" s="10" t="s">
        <v>22</v>
      </c>
      <c r="N148" s="7" t="n">
        <v>0</v>
      </c>
      <c r="O148" s="7" t="n">
        <v>1</v>
      </c>
    </row>
    <row r="149" customFormat="false" ht="15.75" hidden="true" customHeight="true" outlineLevel="0" collapsed="false">
      <c r="A149" s="7" t="n">
        <v>28</v>
      </c>
      <c r="B149" s="7" t="n">
        <v>2</v>
      </c>
      <c r="C149" s="7" t="n">
        <v>7</v>
      </c>
      <c r="D149" s="9" t="s">
        <v>47</v>
      </c>
      <c r="E149" s="9" t="s">
        <v>46</v>
      </c>
      <c r="F149" s="9" t="s">
        <v>42</v>
      </c>
      <c r="G149" s="9" t="s">
        <v>31</v>
      </c>
      <c r="H149" s="13" t="s">
        <v>20</v>
      </c>
      <c r="I149" s="11" t="s">
        <v>19</v>
      </c>
      <c r="J149" s="13" t="s">
        <v>21</v>
      </c>
      <c r="K149" s="13" t="s">
        <v>22</v>
      </c>
      <c r="L149" s="13" t="s">
        <v>21</v>
      </c>
      <c r="M149" s="13" t="s">
        <v>22</v>
      </c>
      <c r="N149" s="7" t="n">
        <v>1</v>
      </c>
      <c r="O149" s="7" t="n">
        <v>0</v>
      </c>
    </row>
    <row r="150" customFormat="false" ht="15.75" hidden="true" customHeight="true" outlineLevel="0" collapsed="false">
      <c r="A150" s="7" t="n">
        <v>28</v>
      </c>
      <c r="B150" s="7" t="n">
        <v>2</v>
      </c>
      <c r="C150" s="7" t="n">
        <v>8</v>
      </c>
      <c r="D150" s="9" t="s">
        <v>47</v>
      </c>
      <c r="E150" s="9" t="s">
        <v>46</v>
      </c>
      <c r="F150" s="9" t="s">
        <v>42</v>
      </c>
      <c r="G150" s="9" t="s">
        <v>31</v>
      </c>
      <c r="H150" s="10" t="s">
        <v>20</v>
      </c>
      <c r="I150" s="11" t="s">
        <v>19</v>
      </c>
      <c r="J150" s="10" t="s">
        <v>21</v>
      </c>
      <c r="K150" s="10" t="s">
        <v>22</v>
      </c>
      <c r="L150" s="10" t="s">
        <v>21</v>
      </c>
      <c r="M150" s="10" t="s">
        <v>22</v>
      </c>
      <c r="N150" s="7" t="n">
        <v>1</v>
      </c>
      <c r="O150" s="7" t="n">
        <v>0</v>
      </c>
    </row>
    <row r="151" customFormat="false" ht="15.75" hidden="true" customHeight="true" outlineLevel="0" collapsed="false">
      <c r="A151" s="7" t="n">
        <v>30</v>
      </c>
      <c r="B151" s="7" t="n">
        <v>2</v>
      </c>
      <c r="C151" s="7" t="n">
        <v>1</v>
      </c>
      <c r="D151" s="9" t="s">
        <v>47</v>
      </c>
      <c r="E151" s="9" t="s">
        <v>39</v>
      </c>
      <c r="F151" s="9" t="s">
        <v>40</v>
      </c>
      <c r="G151" s="9" t="s">
        <v>42</v>
      </c>
      <c r="H151" s="13" t="s">
        <v>20</v>
      </c>
      <c r="I151" s="11" t="s">
        <v>19</v>
      </c>
      <c r="J151" s="13" t="s">
        <v>21</v>
      </c>
      <c r="K151" s="13" t="s">
        <v>22</v>
      </c>
      <c r="L151" s="13" t="s">
        <v>21</v>
      </c>
      <c r="M151" s="13" t="s">
        <v>22</v>
      </c>
      <c r="N151" s="7" t="n">
        <v>1</v>
      </c>
      <c r="O151" s="7" t="n">
        <v>0</v>
      </c>
    </row>
    <row r="152" customFormat="false" ht="15.75" hidden="true" customHeight="true" outlineLevel="0" collapsed="false">
      <c r="A152" s="7" t="n">
        <v>30</v>
      </c>
      <c r="B152" s="7" t="n">
        <v>2</v>
      </c>
      <c r="C152" s="7" t="n">
        <v>2</v>
      </c>
      <c r="D152" s="9" t="s">
        <v>47</v>
      </c>
      <c r="E152" s="9" t="s">
        <v>39</v>
      </c>
      <c r="F152" s="9" t="s">
        <v>40</v>
      </c>
      <c r="G152" s="9" t="s">
        <v>42</v>
      </c>
      <c r="H152" s="10" t="s">
        <v>20</v>
      </c>
      <c r="I152" s="11" t="s">
        <v>19</v>
      </c>
      <c r="J152" s="10" t="s">
        <v>21</v>
      </c>
      <c r="K152" s="10" t="s">
        <v>22</v>
      </c>
      <c r="L152" s="10" t="s">
        <v>21</v>
      </c>
      <c r="M152" s="10" t="s">
        <v>22</v>
      </c>
      <c r="N152" s="7" t="n">
        <v>1</v>
      </c>
      <c r="O152" s="7" t="n">
        <v>0</v>
      </c>
    </row>
    <row r="153" customFormat="false" ht="15.75" hidden="true" customHeight="true" outlineLevel="0" collapsed="false">
      <c r="A153" s="7" t="n">
        <v>30</v>
      </c>
      <c r="B153" s="7" t="n">
        <v>2</v>
      </c>
      <c r="C153" s="7" t="n">
        <v>3</v>
      </c>
      <c r="D153" s="9" t="s">
        <v>47</v>
      </c>
      <c r="E153" s="9" t="s">
        <v>39</v>
      </c>
      <c r="F153" s="9" t="s">
        <v>40</v>
      </c>
      <c r="G153" s="9" t="s">
        <v>42</v>
      </c>
      <c r="H153" s="13" t="s">
        <v>20</v>
      </c>
      <c r="I153" s="11" t="s">
        <v>19</v>
      </c>
      <c r="J153" s="13" t="s">
        <v>21</v>
      </c>
      <c r="K153" s="13" t="s">
        <v>22</v>
      </c>
      <c r="L153" s="13" t="s">
        <v>21</v>
      </c>
      <c r="M153" s="13" t="s">
        <v>22</v>
      </c>
      <c r="N153" s="7" t="n">
        <v>0</v>
      </c>
      <c r="O153" s="7" t="n">
        <v>1</v>
      </c>
    </row>
    <row r="154" customFormat="false" ht="15.75" hidden="true" customHeight="true" outlineLevel="0" collapsed="false">
      <c r="A154" s="7" t="n">
        <v>30</v>
      </c>
      <c r="B154" s="7" t="n">
        <v>2</v>
      </c>
      <c r="C154" s="7" t="n">
        <v>4</v>
      </c>
      <c r="D154" s="9" t="s">
        <v>47</v>
      </c>
      <c r="E154" s="9" t="s">
        <v>39</v>
      </c>
      <c r="F154" s="9" t="s">
        <v>40</v>
      </c>
      <c r="G154" s="9" t="s">
        <v>42</v>
      </c>
      <c r="H154" s="10" t="s">
        <v>20</v>
      </c>
      <c r="I154" s="11" t="s">
        <v>19</v>
      </c>
      <c r="J154" s="10" t="s">
        <v>21</v>
      </c>
      <c r="K154" s="10" t="s">
        <v>22</v>
      </c>
      <c r="L154" s="10" t="s">
        <v>21</v>
      </c>
      <c r="M154" s="10" t="s">
        <v>22</v>
      </c>
      <c r="N154" s="7" t="n">
        <v>0</v>
      </c>
      <c r="O154" s="7" t="n">
        <v>1</v>
      </c>
    </row>
    <row r="155" customFormat="false" ht="15.75" hidden="true" customHeight="true" outlineLevel="0" collapsed="false">
      <c r="A155" s="7" t="n">
        <v>30</v>
      </c>
      <c r="B155" s="7" t="n">
        <v>2</v>
      </c>
      <c r="C155" s="7" t="n">
        <v>5</v>
      </c>
      <c r="D155" s="9" t="s">
        <v>47</v>
      </c>
      <c r="E155" s="9" t="s">
        <v>39</v>
      </c>
      <c r="F155" s="9" t="s">
        <v>40</v>
      </c>
      <c r="G155" s="9" t="s">
        <v>42</v>
      </c>
      <c r="H155" s="13" t="s">
        <v>20</v>
      </c>
      <c r="I155" s="11" t="s">
        <v>19</v>
      </c>
      <c r="J155" s="13" t="s">
        <v>21</v>
      </c>
      <c r="K155" s="13" t="s">
        <v>22</v>
      </c>
      <c r="L155" s="13" t="s">
        <v>21</v>
      </c>
      <c r="M155" s="13" t="s">
        <v>22</v>
      </c>
      <c r="N155" s="7" t="n">
        <v>0</v>
      </c>
      <c r="O155" s="7" t="n">
        <v>1</v>
      </c>
    </row>
    <row r="156" customFormat="false" ht="15.75" hidden="true" customHeight="true" outlineLevel="0" collapsed="false">
      <c r="A156" s="7" t="n">
        <v>30</v>
      </c>
      <c r="B156" s="7" t="n">
        <v>2</v>
      </c>
      <c r="C156" s="7" t="n">
        <v>6</v>
      </c>
      <c r="D156" s="9" t="s">
        <v>47</v>
      </c>
      <c r="E156" s="9" t="s">
        <v>39</v>
      </c>
      <c r="F156" s="9" t="s">
        <v>40</v>
      </c>
      <c r="G156" s="9" t="s">
        <v>42</v>
      </c>
      <c r="H156" s="10" t="s">
        <v>20</v>
      </c>
      <c r="I156" s="11" t="s">
        <v>19</v>
      </c>
      <c r="J156" s="10" t="s">
        <v>21</v>
      </c>
      <c r="K156" s="10" t="s">
        <v>22</v>
      </c>
      <c r="L156" s="10" t="s">
        <v>21</v>
      </c>
      <c r="M156" s="10" t="s">
        <v>22</v>
      </c>
      <c r="N156" s="7" t="n">
        <v>1</v>
      </c>
      <c r="O156" s="7" t="n">
        <v>0</v>
      </c>
    </row>
    <row r="157" customFormat="false" ht="15.75" hidden="true" customHeight="true" outlineLevel="0" collapsed="false">
      <c r="A157" s="7" t="n">
        <v>30</v>
      </c>
      <c r="B157" s="7" t="n">
        <v>2</v>
      </c>
      <c r="C157" s="7" t="n">
        <v>7</v>
      </c>
      <c r="D157" s="9" t="s">
        <v>47</v>
      </c>
      <c r="E157" s="9" t="s">
        <v>39</v>
      </c>
      <c r="F157" s="9" t="s">
        <v>40</v>
      </c>
      <c r="G157" s="9" t="s">
        <v>42</v>
      </c>
      <c r="H157" s="13" t="s">
        <v>20</v>
      </c>
      <c r="I157" s="11" t="s">
        <v>19</v>
      </c>
      <c r="J157" s="13" t="s">
        <v>21</v>
      </c>
      <c r="K157" s="13" t="s">
        <v>22</v>
      </c>
      <c r="L157" s="13" t="s">
        <v>21</v>
      </c>
      <c r="M157" s="13" t="s">
        <v>22</v>
      </c>
      <c r="N157" s="7" t="n">
        <v>1</v>
      </c>
      <c r="O157" s="7" t="n">
        <v>0</v>
      </c>
    </row>
    <row r="158" customFormat="false" ht="15.75" hidden="true" customHeight="true" outlineLevel="0" collapsed="false">
      <c r="A158" s="7" t="n">
        <v>30</v>
      </c>
      <c r="B158" s="7" t="n">
        <v>2</v>
      </c>
      <c r="C158" s="7" t="n">
        <v>8</v>
      </c>
      <c r="D158" s="9" t="s">
        <v>47</v>
      </c>
      <c r="E158" s="9" t="s">
        <v>39</v>
      </c>
      <c r="F158" s="9" t="s">
        <v>40</v>
      </c>
      <c r="G158" s="9" t="s">
        <v>42</v>
      </c>
      <c r="H158" s="10" t="s">
        <v>20</v>
      </c>
      <c r="I158" s="11" t="s">
        <v>19</v>
      </c>
      <c r="J158" s="10" t="s">
        <v>21</v>
      </c>
      <c r="K158" s="10" t="s">
        <v>22</v>
      </c>
      <c r="L158" s="10" t="s">
        <v>21</v>
      </c>
      <c r="M158" s="10" t="s">
        <v>22</v>
      </c>
      <c r="N158" s="7" t="n">
        <v>0</v>
      </c>
      <c r="O158" s="7" t="n">
        <v>1</v>
      </c>
    </row>
    <row r="159" customFormat="false" ht="15.75" hidden="true" customHeight="true" outlineLevel="0" collapsed="false">
      <c r="A159" s="7" t="n">
        <v>30</v>
      </c>
      <c r="B159" s="7" t="n">
        <v>2</v>
      </c>
      <c r="C159" s="7" t="n">
        <v>9</v>
      </c>
      <c r="D159" s="9" t="s">
        <v>47</v>
      </c>
      <c r="E159" s="9" t="s">
        <v>39</v>
      </c>
      <c r="F159" s="9" t="s">
        <v>40</v>
      </c>
      <c r="G159" s="9" t="s">
        <v>42</v>
      </c>
      <c r="H159" s="13" t="s">
        <v>20</v>
      </c>
      <c r="I159" s="11" t="s">
        <v>19</v>
      </c>
      <c r="J159" s="13" t="s">
        <v>21</v>
      </c>
      <c r="K159" s="13" t="s">
        <v>22</v>
      </c>
      <c r="L159" s="13" t="s">
        <v>21</v>
      </c>
      <c r="M159" s="13" t="s">
        <v>22</v>
      </c>
      <c r="N159" s="7" t="n">
        <v>0</v>
      </c>
      <c r="O159" s="7" t="n">
        <v>1</v>
      </c>
    </row>
    <row r="160" customFormat="false" ht="15.75" hidden="true" customHeight="true" outlineLevel="0" collapsed="false">
      <c r="A160" s="7" t="n">
        <v>30</v>
      </c>
      <c r="B160" s="7" t="n">
        <v>2</v>
      </c>
      <c r="C160" s="7" t="n">
        <v>10</v>
      </c>
      <c r="D160" s="9" t="s">
        <v>47</v>
      </c>
      <c r="E160" s="9" t="s">
        <v>39</v>
      </c>
      <c r="F160" s="9" t="s">
        <v>40</v>
      </c>
      <c r="G160" s="9" t="s">
        <v>42</v>
      </c>
      <c r="H160" s="10" t="s">
        <v>20</v>
      </c>
      <c r="I160" s="11" t="s">
        <v>19</v>
      </c>
      <c r="J160" s="10" t="s">
        <v>21</v>
      </c>
      <c r="K160" s="10" t="s">
        <v>22</v>
      </c>
      <c r="L160" s="10" t="s">
        <v>21</v>
      </c>
      <c r="M160" s="10" t="s">
        <v>22</v>
      </c>
      <c r="N160" s="7" t="n">
        <v>1</v>
      </c>
      <c r="O160" s="7" t="n">
        <v>0</v>
      </c>
    </row>
    <row r="161" customFormat="false" ht="15.75" hidden="true" customHeight="true" outlineLevel="0" collapsed="false">
      <c r="A161" s="7" t="n">
        <v>30</v>
      </c>
      <c r="B161" s="7" t="n">
        <v>2</v>
      </c>
      <c r="C161" s="7" t="n">
        <v>11</v>
      </c>
      <c r="D161" s="9" t="s">
        <v>47</v>
      </c>
      <c r="E161" s="9" t="s">
        <v>39</v>
      </c>
      <c r="F161" s="9" t="s">
        <v>40</v>
      </c>
      <c r="G161" s="9" t="s">
        <v>42</v>
      </c>
      <c r="H161" s="13" t="s">
        <v>20</v>
      </c>
      <c r="I161" s="11" t="s">
        <v>19</v>
      </c>
      <c r="J161" s="13" t="s">
        <v>21</v>
      </c>
      <c r="K161" s="13" t="s">
        <v>22</v>
      </c>
      <c r="L161" s="13" t="s">
        <v>21</v>
      </c>
      <c r="M161" s="13" t="s">
        <v>22</v>
      </c>
      <c r="N161" s="7" t="n">
        <v>1</v>
      </c>
      <c r="O161" s="7" t="n">
        <v>0</v>
      </c>
    </row>
    <row r="162" customFormat="false" ht="15.75" hidden="true" customHeight="true" outlineLevel="0" collapsed="false">
      <c r="A162" s="7" t="n">
        <v>30</v>
      </c>
      <c r="B162" s="7" t="n">
        <v>2</v>
      </c>
      <c r="C162" s="7" t="n">
        <v>12</v>
      </c>
      <c r="D162" s="9" t="s">
        <v>47</v>
      </c>
      <c r="E162" s="9" t="s">
        <v>39</v>
      </c>
      <c r="F162" s="9" t="s">
        <v>40</v>
      </c>
      <c r="G162" s="9" t="s">
        <v>42</v>
      </c>
      <c r="H162" s="10" t="s">
        <v>20</v>
      </c>
      <c r="I162" s="11" t="s">
        <v>19</v>
      </c>
      <c r="J162" s="10" t="s">
        <v>21</v>
      </c>
      <c r="K162" s="10" t="s">
        <v>22</v>
      </c>
      <c r="L162" s="10" t="s">
        <v>21</v>
      </c>
      <c r="M162" s="10" t="s">
        <v>22</v>
      </c>
      <c r="N162" s="7" t="n">
        <v>0</v>
      </c>
      <c r="O162" s="7" t="n">
        <v>1</v>
      </c>
    </row>
    <row r="163" customFormat="false" ht="15.75" hidden="true" customHeight="true" outlineLevel="0" collapsed="false">
      <c r="A163" s="7" t="n">
        <v>30</v>
      </c>
      <c r="B163" s="7" t="n">
        <v>2</v>
      </c>
      <c r="C163" s="7" t="n">
        <v>13</v>
      </c>
      <c r="D163" s="9" t="s">
        <v>47</v>
      </c>
      <c r="E163" s="9" t="s">
        <v>39</v>
      </c>
      <c r="F163" s="9" t="s">
        <v>40</v>
      </c>
      <c r="G163" s="9" t="s">
        <v>42</v>
      </c>
      <c r="H163" s="13" t="s">
        <v>20</v>
      </c>
      <c r="I163" s="11" t="s">
        <v>19</v>
      </c>
      <c r="J163" s="13" t="s">
        <v>21</v>
      </c>
      <c r="K163" s="13" t="s">
        <v>22</v>
      </c>
      <c r="L163" s="13" t="s">
        <v>21</v>
      </c>
      <c r="M163" s="13" t="s">
        <v>22</v>
      </c>
      <c r="N163" s="7" t="n">
        <v>1</v>
      </c>
      <c r="O163" s="7" t="n">
        <v>0</v>
      </c>
    </row>
    <row r="164" customFormat="false" ht="15.75" hidden="true" customHeight="true" outlineLevel="0" collapsed="false">
      <c r="A164" s="7" t="n">
        <v>32</v>
      </c>
      <c r="B164" s="7" t="n">
        <v>2</v>
      </c>
      <c r="C164" s="7" t="n">
        <v>1</v>
      </c>
      <c r="D164" s="9" t="s">
        <v>40</v>
      </c>
      <c r="E164" s="9" t="s">
        <v>42</v>
      </c>
      <c r="F164" s="9" t="s">
        <v>46</v>
      </c>
      <c r="G164" s="9" t="s">
        <v>50</v>
      </c>
      <c r="H164" s="10" t="s">
        <v>20</v>
      </c>
      <c r="I164" s="11" t="s">
        <v>19</v>
      </c>
      <c r="J164" s="10" t="s">
        <v>21</v>
      </c>
      <c r="K164" s="10" t="s">
        <v>22</v>
      </c>
      <c r="L164" s="10" t="s">
        <v>21</v>
      </c>
      <c r="M164" s="10" t="s">
        <v>22</v>
      </c>
      <c r="N164" s="7" t="n">
        <v>1</v>
      </c>
      <c r="O164" s="7" t="n">
        <v>0</v>
      </c>
    </row>
    <row r="165" customFormat="false" ht="15.75" hidden="true" customHeight="true" outlineLevel="0" collapsed="false">
      <c r="A165" s="7" t="n">
        <v>32</v>
      </c>
      <c r="B165" s="7" t="n">
        <v>2</v>
      </c>
      <c r="C165" s="7" t="n">
        <v>2</v>
      </c>
      <c r="D165" s="9" t="s">
        <v>40</v>
      </c>
      <c r="E165" s="9" t="s">
        <v>42</v>
      </c>
      <c r="F165" s="9" t="s">
        <v>46</v>
      </c>
      <c r="G165" s="9" t="s">
        <v>50</v>
      </c>
      <c r="H165" s="13" t="s">
        <v>20</v>
      </c>
      <c r="I165" s="11" t="s">
        <v>19</v>
      </c>
      <c r="J165" s="13" t="s">
        <v>21</v>
      </c>
      <c r="K165" s="13" t="s">
        <v>22</v>
      </c>
      <c r="L165" s="13" t="s">
        <v>21</v>
      </c>
      <c r="M165" s="13" t="s">
        <v>22</v>
      </c>
      <c r="N165" s="7" t="n">
        <v>0</v>
      </c>
      <c r="O165" s="7" t="n">
        <v>1</v>
      </c>
    </row>
    <row r="166" customFormat="false" ht="15.75" hidden="true" customHeight="true" outlineLevel="0" collapsed="false">
      <c r="A166" s="7" t="n">
        <v>32</v>
      </c>
      <c r="B166" s="7" t="n">
        <v>2</v>
      </c>
      <c r="C166" s="7" t="n">
        <v>3</v>
      </c>
      <c r="D166" s="9" t="s">
        <v>40</v>
      </c>
      <c r="E166" s="9" t="s">
        <v>42</v>
      </c>
      <c r="F166" s="9" t="s">
        <v>46</v>
      </c>
      <c r="G166" s="9" t="s">
        <v>50</v>
      </c>
      <c r="H166" s="10" t="s">
        <v>20</v>
      </c>
      <c r="I166" s="11" t="s">
        <v>19</v>
      </c>
      <c r="J166" s="10" t="s">
        <v>21</v>
      </c>
      <c r="K166" s="10" t="s">
        <v>22</v>
      </c>
      <c r="L166" s="10" t="s">
        <v>21</v>
      </c>
      <c r="M166" s="10" t="s">
        <v>22</v>
      </c>
      <c r="N166" s="7" t="n">
        <v>1</v>
      </c>
      <c r="O166" s="7" t="n">
        <v>0</v>
      </c>
    </row>
    <row r="167" customFormat="false" ht="15.75" hidden="true" customHeight="true" outlineLevel="0" collapsed="false">
      <c r="A167" s="7" t="n">
        <v>32</v>
      </c>
      <c r="B167" s="7" t="n">
        <v>2</v>
      </c>
      <c r="C167" s="7" t="n">
        <v>4</v>
      </c>
      <c r="D167" s="9" t="s">
        <v>40</v>
      </c>
      <c r="E167" s="9" t="s">
        <v>42</v>
      </c>
      <c r="F167" s="9" t="s">
        <v>46</v>
      </c>
      <c r="G167" s="9" t="s">
        <v>50</v>
      </c>
      <c r="H167" s="13" t="s">
        <v>20</v>
      </c>
      <c r="I167" s="11" t="s">
        <v>19</v>
      </c>
      <c r="J167" s="13" t="s">
        <v>21</v>
      </c>
      <c r="K167" s="13" t="s">
        <v>22</v>
      </c>
      <c r="L167" s="13" t="s">
        <v>21</v>
      </c>
      <c r="M167" s="13" t="s">
        <v>22</v>
      </c>
      <c r="N167" s="7" t="n">
        <v>0</v>
      </c>
      <c r="O167" s="7" t="n">
        <v>1</v>
      </c>
    </row>
    <row r="168" customFormat="false" ht="15.75" hidden="true" customHeight="true" outlineLevel="0" collapsed="false">
      <c r="A168" s="7" t="n">
        <v>32</v>
      </c>
      <c r="B168" s="7" t="n">
        <v>2</v>
      </c>
      <c r="C168" s="7" t="n">
        <v>5</v>
      </c>
      <c r="D168" s="9" t="s">
        <v>40</v>
      </c>
      <c r="E168" s="9" t="s">
        <v>42</v>
      </c>
      <c r="F168" s="9" t="s">
        <v>46</v>
      </c>
      <c r="G168" s="9" t="s">
        <v>50</v>
      </c>
      <c r="H168" s="10" t="s">
        <v>20</v>
      </c>
      <c r="I168" s="11" t="s">
        <v>19</v>
      </c>
      <c r="J168" s="10" t="s">
        <v>21</v>
      </c>
      <c r="K168" s="10" t="s">
        <v>22</v>
      </c>
      <c r="L168" s="10" t="s">
        <v>21</v>
      </c>
      <c r="M168" s="10" t="s">
        <v>22</v>
      </c>
      <c r="N168" s="7" t="n">
        <v>1</v>
      </c>
      <c r="O168" s="7" t="n">
        <v>0</v>
      </c>
    </row>
    <row r="169" customFormat="false" ht="15.75" hidden="true" customHeight="true" outlineLevel="0" collapsed="false">
      <c r="A169" s="7" t="n">
        <v>32</v>
      </c>
      <c r="B169" s="7" t="n">
        <v>2</v>
      </c>
      <c r="C169" s="7" t="n">
        <v>6</v>
      </c>
      <c r="D169" s="9" t="s">
        <v>40</v>
      </c>
      <c r="E169" s="9" t="s">
        <v>42</v>
      </c>
      <c r="F169" s="9" t="s">
        <v>46</v>
      </c>
      <c r="G169" s="9" t="s">
        <v>50</v>
      </c>
      <c r="H169" s="13" t="s">
        <v>20</v>
      </c>
      <c r="I169" s="11" t="s">
        <v>19</v>
      </c>
      <c r="J169" s="13" t="s">
        <v>21</v>
      </c>
      <c r="K169" s="13" t="s">
        <v>22</v>
      </c>
      <c r="L169" s="13" t="s">
        <v>21</v>
      </c>
      <c r="M169" s="13" t="s">
        <v>22</v>
      </c>
      <c r="N169" s="7" t="n">
        <v>0</v>
      </c>
      <c r="O169" s="7" t="n">
        <v>1</v>
      </c>
    </row>
    <row r="170" customFormat="false" ht="15.75" hidden="true" customHeight="true" outlineLevel="0" collapsed="false">
      <c r="A170" s="7" t="n">
        <v>32</v>
      </c>
      <c r="B170" s="7" t="n">
        <v>2</v>
      </c>
      <c r="C170" s="7" t="n">
        <v>7</v>
      </c>
      <c r="D170" s="9" t="s">
        <v>40</v>
      </c>
      <c r="E170" s="9" t="s">
        <v>42</v>
      </c>
      <c r="F170" s="9" t="s">
        <v>46</v>
      </c>
      <c r="G170" s="9" t="s">
        <v>50</v>
      </c>
      <c r="H170" s="10" t="s">
        <v>20</v>
      </c>
      <c r="I170" s="11" t="s">
        <v>19</v>
      </c>
      <c r="J170" s="10" t="s">
        <v>21</v>
      </c>
      <c r="K170" s="10" t="s">
        <v>22</v>
      </c>
      <c r="L170" s="10" t="s">
        <v>21</v>
      </c>
      <c r="M170" s="10" t="s">
        <v>22</v>
      </c>
      <c r="N170" s="7" t="n">
        <v>1</v>
      </c>
      <c r="O170" s="7" t="n">
        <v>0</v>
      </c>
    </row>
    <row r="171" customFormat="false" ht="15.75" hidden="true" customHeight="true" outlineLevel="0" collapsed="false">
      <c r="A171" s="7" t="n">
        <v>32</v>
      </c>
      <c r="B171" s="7" t="n">
        <v>2</v>
      </c>
      <c r="C171" s="7" t="n">
        <v>8</v>
      </c>
      <c r="D171" s="9" t="s">
        <v>40</v>
      </c>
      <c r="E171" s="9" t="s">
        <v>42</v>
      </c>
      <c r="F171" s="9" t="s">
        <v>46</v>
      </c>
      <c r="G171" s="9" t="s">
        <v>50</v>
      </c>
      <c r="H171" s="13" t="s">
        <v>20</v>
      </c>
      <c r="I171" s="11" t="s">
        <v>19</v>
      </c>
      <c r="J171" s="13" t="s">
        <v>21</v>
      </c>
      <c r="K171" s="13" t="s">
        <v>22</v>
      </c>
      <c r="L171" s="13" t="s">
        <v>21</v>
      </c>
      <c r="M171" s="13" t="s">
        <v>22</v>
      </c>
      <c r="N171" s="7" t="n">
        <v>1</v>
      </c>
      <c r="O171" s="7" t="n">
        <v>0</v>
      </c>
    </row>
    <row r="172" customFormat="false" ht="15.75" hidden="true" customHeight="true" outlineLevel="0" collapsed="false">
      <c r="A172" s="7" t="n">
        <v>32</v>
      </c>
      <c r="B172" s="7" t="n">
        <v>2</v>
      </c>
      <c r="C172" s="7" t="n">
        <v>9</v>
      </c>
      <c r="D172" s="9" t="s">
        <v>40</v>
      </c>
      <c r="E172" s="9" t="s">
        <v>42</v>
      </c>
      <c r="F172" s="9" t="s">
        <v>46</v>
      </c>
      <c r="G172" s="9" t="s">
        <v>50</v>
      </c>
      <c r="H172" s="10" t="s">
        <v>20</v>
      </c>
      <c r="I172" s="11" t="s">
        <v>19</v>
      </c>
      <c r="J172" s="10" t="s">
        <v>21</v>
      </c>
      <c r="K172" s="10" t="s">
        <v>22</v>
      </c>
      <c r="L172" s="10" t="s">
        <v>21</v>
      </c>
      <c r="M172" s="10" t="s">
        <v>22</v>
      </c>
      <c r="N172" s="7" t="n">
        <v>0</v>
      </c>
      <c r="O172" s="7" t="n">
        <v>1</v>
      </c>
    </row>
    <row r="173" customFormat="false" ht="15.75" hidden="true" customHeight="true" outlineLevel="0" collapsed="false">
      <c r="A173" s="7" t="n">
        <v>32</v>
      </c>
      <c r="B173" s="7" t="n">
        <v>2</v>
      </c>
      <c r="C173" s="7" t="n">
        <v>10</v>
      </c>
      <c r="D173" s="9" t="s">
        <v>40</v>
      </c>
      <c r="E173" s="9" t="s">
        <v>42</v>
      </c>
      <c r="F173" s="9" t="s">
        <v>46</v>
      </c>
      <c r="G173" s="9" t="s">
        <v>50</v>
      </c>
      <c r="H173" s="13" t="s">
        <v>20</v>
      </c>
      <c r="I173" s="11" t="s">
        <v>19</v>
      </c>
      <c r="J173" s="13" t="s">
        <v>21</v>
      </c>
      <c r="K173" s="13" t="s">
        <v>22</v>
      </c>
      <c r="L173" s="13" t="s">
        <v>21</v>
      </c>
      <c r="M173" s="13" t="s">
        <v>22</v>
      </c>
      <c r="N173" s="7" t="n">
        <v>1</v>
      </c>
      <c r="O173" s="7" t="n">
        <v>0</v>
      </c>
    </row>
    <row r="174" customFormat="false" ht="15.75" hidden="true" customHeight="true" outlineLevel="0" collapsed="false">
      <c r="A174" s="7" t="n">
        <v>32</v>
      </c>
      <c r="B174" s="7" t="n">
        <v>2</v>
      </c>
      <c r="C174" s="7" t="n">
        <v>11</v>
      </c>
      <c r="D174" s="9" t="s">
        <v>40</v>
      </c>
      <c r="E174" s="9" t="s">
        <v>42</v>
      </c>
      <c r="F174" s="9" t="s">
        <v>46</v>
      </c>
      <c r="G174" s="9" t="s">
        <v>50</v>
      </c>
      <c r="H174" s="10" t="s">
        <v>20</v>
      </c>
      <c r="I174" s="11" t="s">
        <v>19</v>
      </c>
      <c r="J174" s="10" t="s">
        <v>21</v>
      </c>
      <c r="K174" s="10" t="s">
        <v>22</v>
      </c>
      <c r="L174" s="10" t="s">
        <v>21</v>
      </c>
      <c r="M174" s="10" t="s">
        <v>22</v>
      </c>
      <c r="N174" s="7" t="n">
        <v>0</v>
      </c>
      <c r="O174" s="7" t="n">
        <v>1</v>
      </c>
    </row>
    <row r="175" customFormat="false" ht="15.75" hidden="true" customHeight="true" outlineLevel="0" collapsed="false">
      <c r="A175" s="7" t="n">
        <v>32</v>
      </c>
      <c r="B175" s="7" t="n">
        <v>2</v>
      </c>
      <c r="C175" s="7" t="n">
        <v>12</v>
      </c>
      <c r="D175" s="9" t="s">
        <v>40</v>
      </c>
      <c r="E175" s="9" t="s">
        <v>42</v>
      </c>
      <c r="F175" s="9" t="s">
        <v>46</v>
      </c>
      <c r="G175" s="9" t="s">
        <v>50</v>
      </c>
      <c r="H175" s="13" t="s">
        <v>20</v>
      </c>
      <c r="I175" s="11" t="s">
        <v>19</v>
      </c>
      <c r="J175" s="13" t="s">
        <v>21</v>
      </c>
      <c r="K175" s="13" t="s">
        <v>22</v>
      </c>
      <c r="L175" s="13" t="s">
        <v>21</v>
      </c>
      <c r="M175" s="13" t="s">
        <v>22</v>
      </c>
      <c r="N175" s="7" t="n">
        <v>0</v>
      </c>
      <c r="O175" s="7" t="n">
        <v>1</v>
      </c>
    </row>
    <row r="176" customFormat="false" ht="15.75" hidden="true" customHeight="true" outlineLevel="0" collapsed="false">
      <c r="A176" s="7" t="n">
        <v>32</v>
      </c>
      <c r="B176" s="7" t="n">
        <v>2</v>
      </c>
      <c r="C176" s="7" t="n">
        <v>13</v>
      </c>
      <c r="D176" s="9" t="s">
        <v>40</v>
      </c>
      <c r="E176" s="9" t="s">
        <v>42</v>
      </c>
      <c r="F176" s="9" t="s">
        <v>46</v>
      </c>
      <c r="G176" s="9" t="s">
        <v>50</v>
      </c>
      <c r="H176" s="10" t="s">
        <v>20</v>
      </c>
      <c r="I176" s="11" t="s">
        <v>19</v>
      </c>
      <c r="J176" s="10" t="s">
        <v>21</v>
      </c>
      <c r="K176" s="10" t="s">
        <v>22</v>
      </c>
      <c r="L176" s="10" t="s">
        <v>21</v>
      </c>
      <c r="M176" s="10" t="s">
        <v>22</v>
      </c>
      <c r="N176" s="7" t="n">
        <v>0</v>
      </c>
      <c r="O176" s="7" t="n">
        <v>1</v>
      </c>
    </row>
    <row r="177" customFormat="false" ht="15.75" hidden="true" customHeight="true" outlineLevel="0" collapsed="false">
      <c r="A177" s="7" t="n">
        <v>34</v>
      </c>
      <c r="B177" s="7" t="n">
        <v>2</v>
      </c>
      <c r="C177" s="7" t="n">
        <v>1</v>
      </c>
      <c r="D177" s="9" t="s">
        <v>42</v>
      </c>
      <c r="E177" s="9" t="s">
        <v>15</v>
      </c>
      <c r="F177" s="9" t="s">
        <v>33</v>
      </c>
      <c r="G177" s="9" t="s">
        <v>23</v>
      </c>
      <c r="H177" s="13" t="s">
        <v>20</v>
      </c>
      <c r="I177" s="11" t="s">
        <v>19</v>
      </c>
      <c r="J177" s="13" t="s">
        <v>21</v>
      </c>
      <c r="K177" s="13" t="s">
        <v>22</v>
      </c>
      <c r="L177" s="13" t="s">
        <v>21</v>
      </c>
      <c r="M177" s="13" t="s">
        <v>22</v>
      </c>
      <c r="N177" s="7" t="n">
        <v>0</v>
      </c>
      <c r="O177" s="7" t="n">
        <v>1</v>
      </c>
    </row>
    <row r="178" customFormat="false" ht="15.75" hidden="true" customHeight="true" outlineLevel="0" collapsed="false">
      <c r="A178" s="7" t="n">
        <v>34</v>
      </c>
      <c r="B178" s="7" t="n">
        <v>2</v>
      </c>
      <c r="C178" s="7" t="n">
        <v>2</v>
      </c>
      <c r="D178" s="9" t="s">
        <v>42</v>
      </c>
      <c r="E178" s="9" t="s">
        <v>15</v>
      </c>
      <c r="F178" s="9" t="s">
        <v>33</v>
      </c>
      <c r="G178" s="9" t="s">
        <v>23</v>
      </c>
      <c r="H178" s="10" t="s">
        <v>20</v>
      </c>
      <c r="I178" s="11" t="s">
        <v>19</v>
      </c>
      <c r="J178" s="10" t="s">
        <v>21</v>
      </c>
      <c r="K178" s="10" t="s">
        <v>22</v>
      </c>
      <c r="L178" s="10" t="s">
        <v>21</v>
      </c>
      <c r="M178" s="10" t="s">
        <v>22</v>
      </c>
      <c r="N178" s="7" t="n">
        <v>0</v>
      </c>
      <c r="O178" s="7" t="n">
        <v>1</v>
      </c>
    </row>
    <row r="179" customFormat="false" ht="15.75" hidden="true" customHeight="true" outlineLevel="0" collapsed="false">
      <c r="A179" s="7" t="n">
        <v>34</v>
      </c>
      <c r="B179" s="7" t="n">
        <v>2</v>
      </c>
      <c r="C179" s="7" t="n">
        <v>3</v>
      </c>
      <c r="D179" s="9" t="s">
        <v>42</v>
      </c>
      <c r="E179" s="9" t="s">
        <v>15</v>
      </c>
      <c r="F179" s="9" t="s">
        <v>33</v>
      </c>
      <c r="G179" s="9" t="s">
        <v>23</v>
      </c>
      <c r="H179" s="13" t="s">
        <v>20</v>
      </c>
      <c r="I179" s="11" t="s">
        <v>19</v>
      </c>
      <c r="J179" s="13" t="s">
        <v>21</v>
      </c>
      <c r="K179" s="13" t="s">
        <v>22</v>
      </c>
      <c r="L179" s="13" t="s">
        <v>21</v>
      </c>
      <c r="M179" s="13" t="s">
        <v>22</v>
      </c>
      <c r="N179" s="7" t="n">
        <v>0</v>
      </c>
      <c r="O179" s="7" t="n">
        <v>1</v>
      </c>
    </row>
    <row r="180" customFormat="false" ht="15.75" hidden="true" customHeight="true" outlineLevel="0" collapsed="false">
      <c r="A180" s="7" t="n">
        <v>34</v>
      </c>
      <c r="B180" s="7" t="n">
        <v>2</v>
      </c>
      <c r="C180" s="7" t="n">
        <v>4</v>
      </c>
      <c r="D180" s="9" t="s">
        <v>42</v>
      </c>
      <c r="E180" s="9" t="s">
        <v>15</v>
      </c>
      <c r="F180" s="9" t="s">
        <v>33</v>
      </c>
      <c r="G180" s="9" t="s">
        <v>23</v>
      </c>
      <c r="H180" s="10" t="s">
        <v>20</v>
      </c>
      <c r="I180" s="11" t="s">
        <v>19</v>
      </c>
      <c r="J180" s="10" t="s">
        <v>21</v>
      </c>
      <c r="K180" s="10" t="s">
        <v>22</v>
      </c>
      <c r="L180" s="10" t="s">
        <v>21</v>
      </c>
      <c r="M180" s="10" t="s">
        <v>22</v>
      </c>
      <c r="N180" s="7" t="n">
        <v>0</v>
      </c>
      <c r="O180" s="7" t="n">
        <v>1</v>
      </c>
    </row>
    <row r="181" customFormat="false" ht="15.75" hidden="true" customHeight="true" outlineLevel="0" collapsed="false">
      <c r="A181" s="7" t="n">
        <v>34</v>
      </c>
      <c r="B181" s="7" t="n">
        <v>2</v>
      </c>
      <c r="C181" s="7" t="n">
        <v>5</v>
      </c>
      <c r="D181" s="9" t="s">
        <v>42</v>
      </c>
      <c r="E181" s="9" t="s">
        <v>15</v>
      </c>
      <c r="F181" s="9" t="s">
        <v>33</v>
      </c>
      <c r="G181" s="9" t="s">
        <v>23</v>
      </c>
      <c r="H181" s="13" t="s">
        <v>20</v>
      </c>
      <c r="I181" s="11" t="s">
        <v>19</v>
      </c>
      <c r="J181" s="13" t="s">
        <v>21</v>
      </c>
      <c r="K181" s="13" t="s">
        <v>22</v>
      </c>
      <c r="L181" s="13" t="s">
        <v>21</v>
      </c>
      <c r="M181" s="13" t="s">
        <v>22</v>
      </c>
      <c r="N181" s="7" t="n">
        <v>0</v>
      </c>
      <c r="O181" s="7" t="n">
        <v>1</v>
      </c>
    </row>
    <row r="182" customFormat="false" ht="15.75" hidden="true" customHeight="true" outlineLevel="0" collapsed="false">
      <c r="A182" s="7" t="n">
        <v>34</v>
      </c>
      <c r="B182" s="7" t="n">
        <v>2</v>
      </c>
      <c r="C182" s="7" t="n">
        <v>6</v>
      </c>
      <c r="D182" s="9" t="s">
        <v>42</v>
      </c>
      <c r="E182" s="9" t="s">
        <v>15</v>
      </c>
      <c r="F182" s="9" t="s">
        <v>33</v>
      </c>
      <c r="G182" s="9" t="s">
        <v>23</v>
      </c>
      <c r="H182" s="10" t="s">
        <v>20</v>
      </c>
      <c r="I182" s="11" t="s">
        <v>19</v>
      </c>
      <c r="J182" s="10" t="s">
        <v>21</v>
      </c>
      <c r="K182" s="10" t="s">
        <v>22</v>
      </c>
      <c r="L182" s="10" t="s">
        <v>21</v>
      </c>
      <c r="M182" s="10" t="s">
        <v>22</v>
      </c>
      <c r="N182" s="7" t="n">
        <v>1</v>
      </c>
      <c r="O182" s="7" t="n">
        <v>0</v>
      </c>
    </row>
    <row r="183" customFormat="false" ht="15.75" hidden="true" customHeight="true" outlineLevel="0" collapsed="false">
      <c r="A183" s="7" t="n">
        <v>34</v>
      </c>
      <c r="B183" s="7" t="n">
        <v>2</v>
      </c>
      <c r="C183" s="7" t="n">
        <v>7</v>
      </c>
      <c r="D183" s="9" t="s">
        <v>42</v>
      </c>
      <c r="E183" s="9" t="s">
        <v>15</v>
      </c>
      <c r="F183" s="9" t="s">
        <v>33</v>
      </c>
      <c r="G183" s="9" t="s">
        <v>23</v>
      </c>
      <c r="H183" s="13" t="s">
        <v>20</v>
      </c>
      <c r="I183" s="11" t="s">
        <v>19</v>
      </c>
      <c r="J183" s="13" t="s">
        <v>21</v>
      </c>
      <c r="K183" s="13" t="s">
        <v>22</v>
      </c>
      <c r="L183" s="13" t="s">
        <v>21</v>
      </c>
      <c r="M183" s="13" t="s">
        <v>22</v>
      </c>
      <c r="N183" s="7" t="n">
        <v>0</v>
      </c>
      <c r="O183" s="7" t="n">
        <v>1</v>
      </c>
    </row>
    <row r="184" customFormat="false" ht="15.75" hidden="true" customHeight="true" outlineLevel="0" collapsed="false">
      <c r="A184" s="7" t="n">
        <v>34</v>
      </c>
      <c r="B184" s="7" t="n">
        <v>2</v>
      </c>
      <c r="C184" s="7" t="n">
        <v>8</v>
      </c>
      <c r="D184" s="9" t="s">
        <v>42</v>
      </c>
      <c r="E184" s="9" t="s">
        <v>15</v>
      </c>
      <c r="F184" s="9" t="s">
        <v>33</v>
      </c>
      <c r="G184" s="9" t="s">
        <v>23</v>
      </c>
      <c r="H184" s="10" t="s">
        <v>20</v>
      </c>
      <c r="I184" s="11" t="s">
        <v>19</v>
      </c>
      <c r="J184" s="10" t="s">
        <v>21</v>
      </c>
      <c r="K184" s="10" t="s">
        <v>22</v>
      </c>
      <c r="L184" s="10" t="s">
        <v>21</v>
      </c>
      <c r="M184" s="10" t="s">
        <v>22</v>
      </c>
      <c r="N184" s="7" t="n">
        <v>0</v>
      </c>
      <c r="O184" s="7" t="n">
        <v>1</v>
      </c>
    </row>
    <row r="185" customFormat="false" ht="15.75" hidden="true" customHeight="true" outlineLevel="0" collapsed="false">
      <c r="A185" s="7" t="n">
        <v>36</v>
      </c>
      <c r="B185" s="7" t="n">
        <v>2</v>
      </c>
      <c r="C185" s="7" t="n">
        <v>1</v>
      </c>
      <c r="D185" s="9" t="s">
        <v>24</v>
      </c>
      <c r="E185" s="9" t="s">
        <v>36</v>
      </c>
      <c r="F185" s="9" t="s">
        <v>31</v>
      </c>
      <c r="G185" s="9" t="s">
        <v>51</v>
      </c>
      <c r="H185" s="13" t="s">
        <v>20</v>
      </c>
      <c r="I185" s="11" t="s">
        <v>19</v>
      </c>
      <c r="J185" s="13" t="s">
        <v>21</v>
      </c>
      <c r="K185" s="13" t="s">
        <v>22</v>
      </c>
      <c r="L185" s="13" t="s">
        <v>22</v>
      </c>
      <c r="M185" s="13" t="s">
        <v>21</v>
      </c>
      <c r="N185" s="7" t="n">
        <v>1</v>
      </c>
      <c r="O185" s="7" t="n">
        <v>0</v>
      </c>
    </row>
    <row r="186" customFormat="false" ht="15.75" hidden="true" customHeight="true" outlineLevel="0" collapsed="false">
      <c r="A186" s="7" t="n">
        <v>36</v>
      </c>
      <c r="B186" s="7" t="n">
        <v>2</v>
      </c>
      <c r="C186" s="7" t="n">
        <v>2</v>
      </c>
      <c r="D186" s="9" t="s">
        <v>24</v>
      </c>
      <c r="E186" s="9" t="s">
        <v>36</v>
      </c>
      <c r="F186" s="9" t="s">
        <v>31</v>
      </c>
      <c r="G186" s="9" t="s">
        <v>51</v>
      </c>
      <c r="H186" s="10" t="s">
        <v>20</v>
      </c>
      <c r="I186" s="11" t="s">
        <v>19</v>
      </c>
      <c r="J186" s="10" t="s">
        <v>21</v>
      </c>
      <c r="K186" s="10" t="s">
        <v>22</v>
      </c>
      <c r="L186" s="10" t="s">
        <v>22</v>
      </c>
      <c r="M186" s="10" t="s">
        <v>21</v>
      </c>
      <c r="N186" s="7" t="n">
        <v>1</v>
      </c>
      <c r="O186" s="7" t="n">
        <v>0</v>
      </c>
    </row>
    <row r="187" customFormat="false" ht="15.75" hidden="true" customHeight="true" outlineLevel="0" collapsed="false">
      <c r="A187" s="7" t="n">
        <v>36</v>
      </c>
      <c r="B187" s="7" t="n">
        <v>2</v>
      </c>
      <c r="C187" s="7" t="n">
        <v>3</v>
      </c>
      <c r="D187" s="9" t="s">
        <v>24</v>
      </c>
      <c r="E187" s="9" t="s">
        <v>36</v>
      </c>
      <c r="F187" s="9" t="s">
        <v>31</v>
      </c>
      <c r="G187" s="9" t="s">
        <v>51</v>
      </c>
      <c r="H187" s="13" t="s">
        <v>20</v>
      </c>
      <c r="I187" s="11" t="s">
        <v>19</v>
      </c>
      <c r="J187" s="13" t="s">
        <v>21</v>
      </c>
      <c r="K187" s="13" t="s">
        <v>22</v>
      </c>
      <c r="L187" s="13" t="s">
        <v>22</v>
      </c>
      <c r="M187" s="13" t="s">
        <v>21</v>
      </c>
      <c r="N187" s="7" t="n">
        <v>0</v>
      </c>
      <c r="O187" s="7" t="n">
        <v>1</v>
      </c>
    </row>
    <row r="188" customFormat="false" ht="15.75" hidden="true" customHeight="true" outlineLevel="0" collapsed="false">
      <c r="A188" s="7" t="n">
        <v>36</v>
      </c>
      <c r="B188" s="7" t="n">
        <v>2</v>
      </c>
      <c r="C188" s="7" t="n">
        <v>4</v>
      </c>
      <c r="D188" s="9" t="s">
        <v>24</v>
      </c>
      <c r="E188" s="9" t="s">
        <v>36</v>
      </c>
      <c r="F188" s="9" t="s">
        <v>31</v>
      </c>
      <c r="G188" s="9" t="s">
        <v>51</v>
      </c>
      <c r="H188" s="10" t="s">
        <v>20</v>
      </c>
      <c r="I188" s="11" t="s">
        <v>19</v>
      </c>
      <c r="J188" s="10" t="s">
        <v>21</v>
      </c>
      <c r="K188" s="10" t="s">
        <v>22</v>
      </c>
      <c r="L188" s="10" t="s">
        <v>22</v>
      </c>
      <c r="M188" s="10" t="s">
        <v>21</v>
      </c>
      <c r="N188" s="7" t="n">
        <v>1</v>
      </c>
      <c r="O188" s="7" t="n">
        <v>0</v>
      </c>
    </row>
    <row r="189" customFormat="false" ht="15.75" hidden="true" customHeight="true" outlineLevel="0" collapsed="false">
      <c r="A189" s="7" t="n">
        <v>36</v>
      </c>
      <c r="B189" s="7" t="n">
        <v>2</v>
      </c>
      <c r="C189" s="7" t="n">
        <v>5</v>
      </c>
      <c r="D189" s="9" t="s">
        <v>24</v>
      </c>
      <c r="E189" s="9" t="s">
        <v>36</v>
      </c>
      <c r="F189" s="9" t="s">
        <v>31</v>
      </c>
      <c r="G189" s="9" t="s">
        <v>51</v>
      </c>
      <c r="H189" s="13" t="s">
        <v>20</v>
      </c>
      <c r="I189" s="11" t="s">
        <v>19</v>
      </c>
      <c r="J189" s="13" t="s">
        <v>21</v>
      </c>
      <c r="K189" s="13" t="s">
        <v>22</v>
      </c>
      <c r="L189" s="13" t="s">
        <v>22</v>
      </c>
      <c r="M189" s="13" t="s">
        <v>21</v>
      </c>
      <c r="N189" s="7" t="n">
        <v>0</v>
      </c>
      <c r="O189" s="7" t="n">
        <v>1</v>
      </c>
    </row>
    <row r="190" customFormat="false" ht="15.75" hidden="true" customHeight="true" outlineLevel="0" collapsed="false">
      <c r="A190" s="7" t="n">
        <v>36</v>
      </c>
      <c r="B190" s="7" t="n">
        <v>2</v>
      </c>
      <c r="C190" s="7" t="n">
        <v>6</v>
      </c>
      <c r="D190" s="9" t="s">
        <v>24</v>
      </c>
      <c r="E190" s="9" t="s">
        <v>36</v>
      </c>
      <c r="F190" s="9" t="s">
        <v>31</v>
      </c>
      <c r="G190" s="9" t="s">
        <v>51</v>
      </c>
      <c r="H190" s="10" t="s">
        <v>20</v>
      </c>
      <c r="I190" s="11" t="s">
        <v>19</v>
      </c>
      <c r="J190" s="10" t="s">
        <v>21</v>
      </c>
      <c r="K190" s="10" t="s">
        <v>22</v>
      </c>
      <c r="L190" s="10" t="s">
        <v>22</v>
      </c>
      <c r="M190" s="10" t="s">
        <v>21</v>
      </c>
      <c r="N190" s="7" t="n">
        <v>0</v>
      </c>
      <c r="O190" s="7" t="n">
        <v>1</v>
      </c>
    </row>
    <row r="191" customFormat="false" ht="15.75" hidden="true" customHeight="true" outlineLevel="0" collapsed="false">
      <c r="A191" s="7" t="n">
        <v>36</v>
      </c>
      <c r="B191" s="7" t="n">
        <v>2</v>
      </c>
      <c r="C191" s="7" t="n">
        <v>7</v>
      </c>
      <c r="D191" s="9" t="s">
        <v>24</v>
      </c>
      <c r="E191" s="9" t="s">
        <v>36</v>
      </c>
      <c r="F191" s="9" t="s">
        <v>31</v>
      </c>
      <c r="G191" s="9" t="s">
        <v>51</v>
      </c>
      <c r="H191" s="13" t="s">
        <v>20</v>
      </c>
      <c r="I191" s="11" t="s">
        <v>19</v>
      </c>
      <c r="J191" s="13" t="s">
        <v>21</v>
      </c>
      <c r="K191" s="13" t="s">
        <v>22</v>
      </c>
      <c r="L191" s="13" t="s">
        <v>22</v>
      </c>
      <c r="M191" s="13" t="s">
        <v>21</v>
      </c>
      <c r="N191" s="7" t="n">
        <v>1</v>
      </c>
      <c r="O191" s="7" t="n">
        <v>0</v>
      </c>
    </row>
    <row r="192" customFormat="false" ht="15.75" hidden="true" customHeight="true" outlineLevel="0" collapsed="false">
      <c r="A192" s="7" t="n">
        <v>36</v>
      </c>
      <c r="B192" s="7" t="n">
        <v>2</v>
      </c>
      <c r="C192" s="7" t="n">
        <v>8</v>
      </c>
      <c r="D192" s="9" t="s">
        <v>24</v>
      </c>
      <c r="E192" s="9" t="s">
        <v>36</v>
      </c>
      <c r="F192" s="9" t="s">
        <v>31</v>
      </c>
      <c r="G192" s="9" t="s">
        <v>51</v>
      </c>
      <c r="H192" s="10" t="s">
        <v>20</v>
      </c>
      <c r="I192" s="11" t="s">
        <v>19</v>
      </c>
      <c r="J192" s="10" t="s">
        <v>21</v>
      </c>
      <c r="K192" s="10" t="s">
        <v>22</v>
      </c>
      <c r="L192" s="10" t="s">
        <v>22</v>
      </c>
      <c r="M192" s="10" t="s">
        <v>21</v>
      </c>
      <c r="N192" s="7" t="n">
        <v>0</v>
      </c>
      <c r="O192" s="7" t="n">
        <v>1</v>
      </c>
    </row>
    <row r="193" customFormat="false" ht="15.75" hidden="true" customHeight="true" outlineLevel="0" collapsed="false">
      <c r="A193" s="7" t="n">
        <v>36</v>
      </c>
      <c r="B193" s="7" t="n">
        <v>2</v>
      </c>
      <c r="C193" s="7" t="n">
        <v>9</v>
      </c>
      <c r="D193" s="9" t="s">
        <v>24</v>
      </c>
      <c r="E193" s="9" t="s">
        <v>36</v>
      </c>
      <c r="F193" s="9" t="s">
        <v>31</v>
      </c>
      <c r="G193" s="9" t="s">
        <v>51</v>
      </c>
      <c r="H193" s="13" t="s">
        <v>20</v>
      </c>
      <c r="I193" s="11" t="s">
        <v>19</v>
      </c>
      <c r="J193" s="13" t="s">
        <v>21</v>
      </c>
      <c r="K193" s="13" t="s">
        <v>22</v>
      </c>
      <c r="L193" s="13" t="s">
        <v>22</v>
      </c>
      <c r="M193" s="13" t="s">
        <v>21</v>
      </c>
      <c r="N193" s="7" t="n">
        <v>1</v>
      </c>
      <c r="O193" s="7" t="n">
        <v>0</v>
      </c>
    </row>
    <row r="194" customFormat="false" ht="15.75" hidden="true" customHeight="true" outlineLevel="0" collapsed="false">
      <c r="A194" s="7" t="n">
        <v>36</v>
      </c>
      <c r="B194" s="7" t="n">
        <v>2</v>
      </c>
      <c r="C194" s="7" t="n">
        <v>10</v>
      </c>
      <c r="D194" s="9" t="s">
        <v>24</v>
      </c>
      <c r="E194" s="9" t="s">
        <v>36</v>
      </c>
      <c r="F194" s="9" t="s">
        <v>31</v>
      </c>
      <c r="G194" s="9" t="s">
        <v>51</v>
      </c>
      <c r="H194" s="10" t="s">
        <v>20</v>
      </c>
      <c r="I194" s="11" t="s">
        <v>19</v>
      </c>
      <c r="J194" s="10" t="s">
        <v>21</v>
      </c>
      <c r="K194" s="10" t="s">
        <v>22</v>
      </c>
      <c r="L194" s="10" t="s">
        <v>22</v>
      </c>
      <c r="M194" s="10" t="s">
        <v>21</v>
      </c>
      <c r="N194" s="7" t="n">
        <v>0</v>
      </c>
      <c r="O194" s="7" t="n">
        <v>1</v>
      </c>
    </row>
    <row r="195" customFormat="false" ht="15.75" hidden="true" customHeight="true" outlineLevel="0" collapsed="false">
      <c r="A195" s="7" t="n">
        <v>36</v>
      </c>
      <c r="B195" s="7" t="n">
        <v>2</v>
      </c>
      <c r="C195" s="7" t="n">
        <v>11</v>
      </c>
      <c r="D195" s="9" t="s">
        <v>24</v>
      </c>
      <c r="E195" s="9" t="s">
        <v>36</v>
      </c>
      <c r="F195" s="9" t="s">
        <v>31</v>
      </c>
      <c r="G195" s="9" t="s">
        <v>51</v>
      </c>
      <c r="H195" s="13" t="s">
        <v>20</v>
      </c>
      <c r="I195" s="11" t="s">
        <v>19</v>
      </c>
      <c r="J195" s="13" t="s">
        <v>21</v>
      </c>
      <c r="K195" s="13" t="s">
        <v>22</v>
      </c>
      <c r="L195" s="13" t="s">
        <v>22</v>
      </c>
      <c r="M195" s="13" t="s">
        <v>21</v>
      </c>
      <c r="N195" s="7" t="n">
        <v>0</v>
      </c>
      <c r="O195" s="7" t="n">
        <v>1</v>
      </c>
    </row>
    <row r="196" customFormat="false" ht="15.75" hidden="true" customHeight="true" outlineLevel="0" collapsed="false">
      <c r="A196" s="7" t="n">
        <v>36</v>
      </c>
      <c r="B196" s="7" t="n">
        <v>2</v>
      </c>
      <c r="C196" s="7" t="n">
        <v>12</v>
      </c>
      <c r="D196" s="9" t="s">
        <v>24</v>
      </c>
      <c r="E196" s="9" t="s">
        <v>36</v>
      </c>
      <c r="F196" s="9" t="s">
        <v>31</v>
      </c>
      <c r="G196" s="9" t="s">
        <v>51</v>
      </c>
      <c r="H196" s="10" t="s">
        <v>20</v>
      </c>
      <c r="I196" s="11" t="s">
        <v>19</v>
      </c>
      <c r="J196" s="10" t="s">
        <v>21</v>
      </c>
      <c r="K196" s="10" t="s">
        <v>22</v>
      </c>
      <c r="L196" s="10" t="s">
        <v>22</v>
      </c>
      <c r="M196" s="10" t="s">
        <v>21</v>
      </c>
      <c r="N196" s="7" t="n">
        <v>1</v>
      </c>
      <c r="O196" s="7" t="n">
        <v>0</v>
      </c>
    </row>
    <row r="197" customFormat="false" ht="15.75" hidden="true" customHeight="true" outlineLevel="0" collapsed="false">
      <c r="A197" s="7" t="n">
        <v>36</v>
      </c>
      <c r="B197" s="7" t="n">
        <v>2</v>
      </c>
      <c r="C197" s="7" t="n">
        <v>13</v>
      </c>
      <c r="D197" s="9" t="s">
        <v>24</v>
      </c>
      <c r="E197" s="9" t="s">
        <v>36</v>
      </c>
      <c r="F197" s="9" t="s">
        <v>31</v>
      </c>
      <c r="G197" s="9" t="s">
        <v>51</v>
      </c>
      <c r="H197" s="13" t="s">
        <v>20</v>
      </c>
      <c r="I197" s="11" t="s">
        <v>19</v>
      </c>
      <c r="J197" s="13" t="s">
        <v>21</v>
      </c>
      <c r="K197" s="13" t="s">
        <v>22</v>
      </c>
      <c r="L197" s="13" t="s">
        <v>22</v>
      </c>
      <c r="M197" s="13" t="s">
        <v>21</v>
      </c>
      <c r="N197" s="7" t="n">
        <v>0</v>
      </c>
      <c r="O197" s="7" t="n">
        <v>1</v>
      </c>
    </row>
    <row r="198" customFormat="false" ht="15.75" hidden="true" customHeight="true" outlineLevel="0" collapsed="false">
      <c r="A198" s="7" t="n">
        <v>38</v>
      </c>
      <c r="B198" s="7" t="n">
        <v>2</v>
      </c>
      <c r="C198" s="7" t="n">
        <v>1</v>
      </c>
      <c r="D198" s="9" t="s">
        <v>54</v>
      </c>
      <c r="E198" s="9" t="s">
        <v>29</v>
      </c>
      <c r="F198" s="9" t="s">
        <v>48</v>
      </c>
      <c r="G198" s="9" t="s">
        <v>33</v>
      </c>
      <c r="H198" s="10" t="s">
        <v>20</v>
      </c>
      <c r="I198" s="11" t="s">
        <v>19</v>
      </c>
      <c r="J198" s="10" t="s">
        <v>21</v>
      </c>
      <c r="K198" s="10" t="s">
        <v>22</v>
      </c>
      <c r="L198" s="10" t="s">
        <v>21</v>
      </c>
      <c r="M198" s="10" t="s">
        <v>22</v>
      </c>
      <c r="N198" s="7" t="n">
        <v>1</v>
      </c>
      <c r="O198" s="7" t="n">
        <v>0</v>
      </c>
    </row>
    <row r="199" customFormat="false" ht="15.75" hidden="true" customHeight="true" outlineLevel="0" collapsed="false">
      <c r="A199" s="7" t="n">
        <v>38</v>
      </c>
      <c r="B199" s="7" t="n">
        <v>2</v>
      </c>
      <c r="C199" s="7" t="n">
        <v>2</v>
      </c>
      <c r="D199" s="9" t="s">
        <v>54</v>
      </c>
      <c r="E199" s="9" t="s">
        <v>29</v>
      </c>
      <c r="F199" s="9" t="s">
        <v>48</v>
      </c>
      <c r="G199" s="9" t="s">
        <v>33</v>
      </c>
      <c r="H199" s="13" t="s">
        <v>20</v>
      </c>
      <c r="I199" s="11" t="s">
        <v>19</v>
      </c>
      <c r="J199" s="13" t="s">
        <v>21</v>
      </c>
      <c r="K199" s="13" t="s">
        <v>22</v>
      </c>
      <c r="L199" s="13" t="s">
        <v>21</v>
      </c>
      <c r="M199" s="13" t="s">
        <v>22</v>
      </c>
      <c r="N199" s="7" t="n">
        <v>1</v>
      </c>
      <c r="O199" s="7" t="n">
        <v>0</v>
      </c>
    </row>
    <row r="200" customFormat="false" ht="15.75" hidden="true" customHeight="true" outlineLevel="0" collapsed="false">
      <c r="A200" s="7" t="n">
        <v>38</v>
      </c>
      <c r="B200" s="7" t="n">
        <v>2</v>
      </c>
      <c r="C200" s="7" t="n">
        <v>3</v>
      </c>
      <c r="D200" s="9" t="s">
        <v>54</v>
      </c>
      <c r="E200" s="9" t="s">
        <v>29</v>
      </c>
      <c r="F200" s="9" t="s">
        <v>48</v>
      </c>
      <c r="G200" s="9" t="s">
        <v>33</v>
      </c>
      <c r="H200" s="10" t="s">
        <v>20</v>
      </c>
      <c r="I200" s="11" t="s">
        <v>19</v>
      </c>
      <c r="J200" s="10" t="s">
        <v>21</v>
      </c>
      <c r="K200" s="10" t="s">
        <v>22</v>
      </c>
      <c r="L200" s="10" t="s">
        <v>21</v>
      </c>
      <c r="M200" s="10" t="s">
        <v>22</v>
      </c>
      <c r="N200" s="7" t="n">
        <v>0</v>
      </c>
      <c r="O200" s="7" t="n">
        <v>1</v>
      </c>
    </row>
    <row r="201" customFormat="false" ht="15.75" hidden="true" customHeight="true" outlineLevel="0" collapsed="false">
      <c r="A201" s="7" t="n">
        <v>38</v>
      </c>
      <c r="B201" s="7" t="n">
        <v>2</v>
      </c>
      <c r="C201" s="7" t="n">
        <v>4</v>
      </c>
      <c r="D201" s="9" t="s">
        <v>54</v>
      </c>
      <c r="E201" s="9" t="s">
        <v>29</v>
      </c>
      <c r="F201" s="9" t="s">
        <v>48</v>
      </c>
      <c r="G201" s="9" t="s">
        <v>33</v>
      </c>
      <c r="H201" s="13" t="s">
        <v>20</v>
      </c>
      <c r="I201" s="11" t="s">
        <v>19</v>
      </c>
      <c r="J201" s="13" t="s">
        <v>21</v>
      </c>
      <c r="K201" s="13" t="s">
        <v>22</v>
      </c>
      <c r="L201" s="13" t="s">
        <v>21</v>
      </c>
      <c r="M201" s="13" t="s">
        <v>22</v>
      </c>
      <c r="N201" s="7" t="n">
        <v>0</v>
      </c>
      <c r="O201" s="7" t="n">
        <v>1</v>
      </c>
    </row>
    <row r="202" customFormat="false" ht="15.75" hidden="true" customHeight="true" outlineLevel="0" collapsed="false">
      <c r="A202" s="7" t="n">
        <v>38</v>
      </c>
      <c r="B202" s="7" t="n">
        <v>2</v>
      </c>
      <c r="C202" s="7" t="n">
        <v>5</v>
      </c>
      <c r="D202" s="9" t="s">
        <v>54</v>
      </c>
      <c r="E202" s="9" t="s">
        <v>29</v>
      </c>
      <c r="F202" s="9" t="s">
        <v>48</v>
      </c>
      <c r="G202" s="9" t="s">
        <v>33</v>
      </c>
      <c r="H202" s="10" t="s">
        <v>20</v>
      </c>
      <c r="I202" s="11" t="s">
        <v>19</v>
      </c>
      <c r="J202" s="10" t="s">
        <v>21</v>
      </c>
      <c r="K202" s="10" t="s">
        <v>22</v>
      </c>
      <c r="L202" s="10" t="s">
        <v>21</v>
      </c>
      <c r="M202" s="10" t="s">
        <v>22</v>
      </c>
      <c r="N202" s="7" t="n">
        <v>0</v>
      </c>
      <c r="O202" s="7" t="n">
        <v>1</v>
      </c>
    </row>
    <row r="203" customFormat="false" ht="15.75" hidden="true" customHeight="true" outlineLevel="0" collapsed="false">
      <c r="A203" s="7" t="n">
        <v>38</v>
      </c>
      <c r="B203" s="7" t="n">
        <v>2</v>
      </c>
      <c r="C203" s="7" t="n">
        <v>6</v>
      </c>
      <c r="D203" s="9" t="s">
        <v>54</v>
      </c>
      <c r="E203" s="9" t="s">
        <v>29</v>
      </c>
      <c r="F203" s="9" t="s">
        <v>48</v>
      </c>
      <c r="G203" s="9" t="s">
        <v>33</v>
      </c>
      <c r="H203" s="13" t="s">
        <v>20</v>
      </c>
      <c r="I203" s="11" t="s">
        <v>19</v>
      </c>
      <c r="J203" s="13" t="s">
        <v>21</v>
      </c>
      <c r="K203" s="13" t="s">
        <v>22</v>
      </c>
      <c r="L203" s="13" t="s">
        <v>21</v>
      </c>
      <c r="M203" s="13" t="s">
        <v>22</v>
      </c>
      <c r="N203" s="7" t="n">
        <v>1</v>
      </c>
      <c r="O203" s="7" t="n">
        <v>0</v>
      </c>
    </row>
    <row r="204" customFormat="false" ht="15.75" hidden="true" customHeight="true" outlineLevel="0" collapsed="false">
      <c r="A204" s="7" t="n">
        <v>38</v>
      </c>
      <c r="B204" s="7" t="n">
        <v>2</v>
      </c>
      <c r="C204" s="7" t="n">
        <v>7</v>
      </c>
      <c r="D204" s="9" t="s">
        <v>54</v>
      </c>
      <c r="E204" s="9" t="s">
        <v>29</v>
      </c>
      <c r="F204" s="9" t="s">
        <v>48</v>
      </c>
      <c r="G204" s="9" t="s">
        <v>33</v>
      </c>
      <c r="H204" s="10" t="s">
        <v>20</v>
      </c>
      <c r="I204" s="11" t="s">
        <v>19</v>
      </c>
      <c r="J204" s="10" t="s">
        <v>21</v>
      </c>
      <c r="K204" s="10" t="s">
        <v>22</v>
      </c>
      <c r="L204" s="10" t="s">
        <v>21</v>
      </c>
      <c r="M204" s="10" t="s">
        <v>22</v>
      </c>
      <c r="N204" s="7" t="n">
        <v>1</v>
      </c>
      <c r="O204" s="7" t="n">
        <v>0</v>
      </c>
    </row>
    <row r="205" customFormat="false" ht="15.75" hidden="true" customHeight="true" outlineLevel="0" collapsed="false">
      <c r="A205" s="7" t="n">
        <v>38</v>
      </c>
      <c r="B205" s="7" t="n">
        <v>2</v>
      </c>
      <c r="C205" s="7" t="n">
        <v>8</v>
      </c>
      <c r="D205" s="9" t="s">
        <v>54</v>
      </c>
      <c r="E205" s="9" t="s">
        <v>29</v>
      </c>
      <c r="F205" s="9" t="s">
        <v>48</v>
      </c>
      <c r="G205" s="9" t="s">
        <v>33</v>
      </c>
      <c r="H205" s="13" t="s">
        <v>20</v>
      </c>
      <c r="I205" s="11" t="s">
        <v>19</v>
      </c>
      <c r="J205" s="13" t="s">
        <v>21</v>
      </c>
      <c r="K205" s="13" t="s">
        <v>22</v>
      </c>
      <c r="L205" s="13" t="s">
        <v>21</v>
      </c>
      <c r="M205" s="13" t="s">
        <v>22</v>
      </c>
      <c r="N205" s="7" t="n">
        <v>1</v>
      </c>
      <c r="O205" s="7" t="n">
        <v>0</v>
      </c>
    </row>
    <row r="206" customFormat="false" ht="15.75" hidden="true" customHeight="true" outlineLevel="0" collapsed="false">
      <c r="A206" s="7" t="n">
        <v>38</v>
      </c>
      <c r="B206" s="7" t="n">
        <v>2</v>
      </c>
      <c r="C206" s="7" t="n">
        <v>9</v>
      </c>
      <c r="D206" s="9" t="s">
        <v>54</v>
      </c>
      <c r="E206" s="9" t="s">
        <v>29</v>
      </c>
      <c r="F206" s="9" t="s">
        <v>48</v>
      </c>
      <c r="G206" s="9" t="s">
        <v>33</v>
      </c>
      <c r="H206" s="10" t="s">
        <v>20</v>
      </c>
      <c r="I206" s="11" t="s">
        <v>19</v>
      </c>
      <c r="J206" s="10" t="s">
        <v>21</v>
      </c>
      <c r="K206" s="10" t="s">
        <v>22</v>
      </c>
      <c r="L206" s="10" t="s">
        <v>21</v>
      </c>
      <c r="M206" s="10" t="s">
        <v>22</v>
      </c>
      <c r="N206" s="7" t="n">
        <v>1</v>
      </c>
      <c r="O206" s="7" t="n">
        <v>0</v>
      </c>
    </row>
    <row r="207" customFormat="false" ht="15.75" hidden="true" customHeight="true" outlineLevel="0" collapsed="false">
      <c r="A207" s="7" t="n">
        <v>38</v>
      </c>
      <c r="B207" s="7" t="n">
        <v>2</v>
      </c>
      <c r="C207" s="7" t="n">
        <v>10</v>
      </c>
      <c r="D207" s="9" t="s">
        <v>54</v>
      </c>
      <c r="E207" s="9" t="s">
        <v>29</v>
      </c>
      <c r="F207" s="9" t="s">
        <v>48</v>
      </c>
      <c r="G207" s="9" t="s">
        <v>33</v>
      </c>
      <c r="H207" s="13" t="s">
        <v>20</v>
      </c>
      <c r="I207" s="11" t="s">
        <v>19</v>
      </c>
      <c r="J207" s="13" t="s">
        <v>21</v>
      </c>
      <c r="K207" s="13" t="s">
        <v>22</v>
      </c>
      <c r="L207" s="13" t="s">
        <v>21</v>
      </c>
      <c r="M207" s="13" t="s">
        <v>22</v>
      </c>
      <c r="N207" s="7" t="n">
        <v>1</v>
      </c>
      <c r="O207" s="7" t="n">
        <v>0</v>
      </c>
    </row>
    <row r="208" customFormat="false" ht="15.75" hidden="true" customHeight="true" outlineLevel="0" collapsed="false">
      <c r="B208" s="7"/>
      <c r="H208" s="12"/>
      <c r="I208" s="12"/>
      <c r="J208" s="12"/>
      <c r="K208" s="12"/>
      <c r="L208" s="12"/>
      <c r="M208" s="12"/>
    </row>
    <row r="209" customFormat="false" ht="15.75" hidden="true" customHeight="true" outlineLevel="0" collapsed="false">
      <c r="B209" s="7"/>
      <c r="H209" s="14"/>
      <c r="I209" s="14"/>
      <c r="J209" s="14"/>
      <c r="K209" s="14"/>
      <c r="L209" s="14"/>
      <c r="M209" s="14"/>
    </row>
    <row r="210" customFormat="false" ht="15.75" hidden="true" customHeight="true" outlineLevel="0" collapsed="false">
      <c r="B210" s="7"/>
      <c r="H210" s="12"/>
      <c r="I210" s="12"/>
      <c r="J210" s="12"/>
      <c r="K210" s="12"/>
      <c r="L210" s="12"/>
      <c r="M210" s="12"/>
    </row>
    <row r="211" customFormat="false" ht="15.75" hidden="true" customHeight="true" outlineLevel="0" collapsed="false">
      <c r="B211" s="7"/>
      <c r="H211" s="14"/>
      <c r="I211" s="14"/>
      <c r="J211" s="14"/>
      <c r="K211" s="14"/>
      <c r="L211" s="14"/>
      <c r="M211" s="14"/>
    </row>
    <row r="212" customFormat="false" ht="15.75" hidden="true" customHeight="true" outlineLevel="0" collapsed="false">
      <c r="B212" s="7"/>
      <c r="H212" s="12"/>
      <c r="I212" s="12"/>
      <c r="J212" s="12"/>
      <c r="K212" s="12"/>
      <c r="L212" s="12"/>
      <c r="M212" s="12"/>
    </row>
    <row r="213" customFormat="false" ht="15.75" hidden="true" customHeight="true" outlineLevel="0" collapsed="false">
      <c r="B213" s="7"/>
      <c r="H213" s="14"/>
      <c r="I213" s="14"/>
      <c r="J213" s="14"/>
      <c r="K213" s="14"/>
      <c r="L213" s="14"/>
      <c r="M213" s="14"/>
    </row>
    <row r="214" customFormat="false" ht="15.75" hidden="true" customHeight="true" outlineLevel="0" collapsed="false">
      <c r="B214" s="7"/>
      <c r="H214" s="12"/>
      <c r="I214" s="12"/>
      <c r="J214" s="12"/>
      <c r="K214" s="12"/>
      <c r="L214" s="12"/>
      <c r="M214" s="12"/>
    </row>
    <row r="215" customFormat="false" ht="15.75" hidden="true" customHeight="true" outlineLevel="0" collapsed="false">
      <c r="B215" s="7"/>
      <c r="H215" s="14"/>
      <c r="I215" s="14"/>
      <c r="J215" s="14"/>
      <c r="K215" s="14"/>
      <c r="L215" s="14"/>
      <c r="M215" s="14"/>
    </row>
    <row r="216" customFormat="false" ht="15.75" hidden="true" customHeight="true" outlineLevel="0" collapsed="false">
      <c r="B216" s="7"/>
      <c r="H216" s="12"/>
      <c r="I216" s="12"/>
      <c r="J216" s="12"/>
      <c r="K216" s="12"/>
      <c r="L216" s="12"/>
      <c r="M216" s="12"/>
    </row>
    <row r="217" customFormat="false" ht="15.75" hidden="true" customHeight="true" outlineLevel="0" collapsed="false">
      <c r="B217" s="7"/>
      <c r="H217" s="14"/>
      <c r="I217" s="14"/>
      <c r="J217" s="14"/>
      <c r="K217" s="14"/>
      <c r="L217" s="14"/>
      <c r="M217" s="14"/>
    </row>
    <row r="218" customFormat="false" ht="15.75" hidden="true" customHeight="true" outlineLevel="0" collapsed="false">
      <c r="B218" s="7"/>
      <c r="H218" s="12"/>
      <c r="I218" s="12"/>
      <c r="J218" s="12"/>
      <c r="K218" s="12"/>
      <c r="L218" s="12"/>
      <c r="M218" s="12"/>
    </row>
    <row r="219" customFormat="false" ht="15.75" hidden="true" customHeight="true" outlineLevel="0" collapsed="false">
      <c r="B219" s="7"/>
      <c r="H219" s="14"/>
      <c r="I219" s="14"/>
      <c r="J219" s="14"/>
      <c r="K219" s="14"/>
      <c r="L219" s="14"/>
      <c r="M219" s="14"/>
    </row>
    <row r="220" customFormat="false" ht="15.75" hidden="true" customHeight="true" outlineLevel="0" collapsed="false">
      <c r="B220" s="7"/>
      <c r="H220" s="12"/>
      <c r="I220" s="12"/>
      <c r="J220" s="12"/>
      <c r="K220" s="12"/>
      <c r="L220" s="12"/>
      <c r="M220" s="12"/>
    </row>
    <row r="221" customFormat="false" ht="15.75" hidden="true" customHeight="true" outlineLevel="0" collapsed="false">
      <c r="B221" s="7"/>
      <c r="H221" s="14"/>
      <c r="I221" s="14"/>
      <c r="J221" s="14"/>
      <c r="K221" s="14"/>
      <c r="L221" s="14"/>
      <c r="M221" s="14"/>
    </row>
    <row r="222" customFormat="false" ht="15.75" hidden="true" customHeight="true" outlineLevel="0" collapsed="false">
      <c r="B222" s="7"/>
      <c r="H222" s="12"/>
      <c r="I222" s="12"/>
      <c r="J222" s="12"/>
      <c r="K222" s="12"/>
      <c r="L222" s="12"/>
      <c r="M222" s="12"/>
    </row>
    <row r="223" customFormat="false" ht="15.75" hidden="true" customHeight="true" outlineLevel="0" collapsed="false">
      <c r="B223" s="7"/>
      <c r="H223" s="14"/>
      <c r="I223" s="14"/>
      <c r="J223" s="14"/>
      <c r="K223" s="14"/>
      <c r="L223" s="14"/>
      <c r="M223" s="14"/>
    </row>
    <row r="224" customFormat="false" ht="15.75" hidden="true" customHeight="true" outlineLevel="0" collapsed="false">
      <c r="B224" s="7"/>
      <c r="H224" s="12"/>
      <c r="I224" s="12"/>
      <c r="J224" s="12"/>
      <c r="K224" s="12"/>
      <c r="L224" s="12"/>
      <c r="M224" s="12"/>
    </row>
    <row r="225" customFormat="false" ht="15.75" hidden="true" customHeight="true" outlineLevel="0" collapsed="false">
      <c r="B225" s="7"/>
      <c r="H225" s="14"/>
      <c r="I225" s="14"/>
      <c r="J225" s="14"/>
      <c r="K225" s="14"/>
      <c r="L225" s="14"/>
      <c r="M225" s="14"/>
    </row>
    <row r="226" customFormat="false" ht="15.75" hidden="true" customHeight="true" outlineLevel="0" collapsed="false">
      <c r="B226" s="7"/>
      <c r="H226" s="12"/>
      <c r="I226" s="12"/>
      <c r="J226" s="12"/>
      <c r="K226" s="12"/>
      <c r="L226" s="12"/>
      <c r="M226" s="12"/>
    </row>
    <row r="227" customFormat="false" ht="15.75" hidden="true" customHeight="true" outlineLevel="0" collapsed="false">
      <c r="B227" s="7"/>
      <c r="H227" s="14"/>
      <c r="I227" s="14"/>
      <c r="J227" s="14"/>
      <c r="K227" s="14"/>
      <c r="L227" s="14"/>
      <c r="M227" s="14"/>
    </row>
    <row r="228" customFormat="false" ht="15.75" hidden="true" customHeight="true" outlineLevel="0" collapsed="false">
      <c r="B228" s="7"/>
      <c r="H228" s="12"/>
      <c r="I228" s="12"/>
      <c r="J228" s="12"/>
      <c r="K228" s="12"/>
      <c r="L228" s="12"/>
      <c r="M228" s="12"/>
    </row>
    <row r="229" customFormat="false" ht="15.75" hidden="true" customHeight="true" outlineLevel="0" collapsed="false">
      <c r="B229" s="7"/>
      <c r="H229" s="14"/>
      <c r="I229" s="14"/>
      <c r="J229" s="14"/>
      <c r="K229" s="14"/>
      <c r="L229" s="14"/>
      <c r="M229" s="14"/>
    </row>
    <row r="230" customFormat="false" ht="15.75" hidden="true" customHeight="true" outlineLevel="0" collapsed="false">
      <c r="B230" s="7"/>
      <c r="H230" s="12"/>
      <c r="I230" s="12"/>
      <c r="J230" s="12"/>
      <c r="K230" s="12"/>
      <c r="L230" s="12"/>
      <c r="M230" s="12"/>
    </row>
    <row r="231" customFormat="false" ht="15.75" hidden="true" customHeight="true" outlineLevel="0" collapsed="false">
      <c r="B231" s="7"/>
      <c r="H231" s="14"/>
      <c r="I231" s="14"/>
      <c r="J231" s="14"/>
      <c r="K231" s="14"/>
      <c r="L231" s="14"/>
      <c r="M231" s="14"/>
    </row>
    <row r="232" customFormat="false" ht="15.75" hidden="true" customHeight="true" outlineLevel="0" collapsed="false">
      <c r="B232" s="7"/>
      <c r="H232" s="12"/>
      <c r="I232" s="12"/>
      <c r="J232" s="12"/>
      <c r="K232" s="12"/>
      <c r="L232" s="12"/>
      <c r="M232" s="12"/>
    </row>
    <row r="233" customFormat="false" ht="15.75" hidden="true" customHeight="true" outlineLevel="0" collapsed="false">
      <c r="B233" s="7"/>
      <c r="H233" s="14"/>
      <c r="I233" s="14"/>
      <c r="J233" s="14"/>
      <c r="K233" s="14"/>
      <c r="L233" s="14"/>
      <c r="M233" s="14"/>
    </row>
    <row r="234" customFormat="false" ht="15.75" hidden="true" customHeight="true" outlineLevel="0" collapsed="false">
      <c r="B234" s="7"/>
      <c r="H234" s="12"/>
      <c r="I234" s="12"/>
      <c r="J234" s="12"/>
      <c r="K234" s="12"/>
      <c r="L234" s="12"/>
      <c r="M234" s="12"/>
    </row>
    <row r="235" customFormat="false" ht="15.75" hidden="true" customHeight="true" outlineLevel="0" collapsed="false">
      <c r="B235" s="7"/>
      <c r="H235" s="14"/>
      <c r="I235" s="14"/>
      <c r="J235" s="14"/>
      <c r="K235" s="14"/>
      <c r="L235" s="14"/>
      <c r="M235" s="14"/>
    </row>
    <row r="236" customFormat="false" ht="15.75" hidden="true" customHeight="true" outlineLevel="0" collapsed="false">
      <c r="B236" s="7"/>
      <c r="H236" s="12"/>
      <c r="I236" s="12"/>
      <c r="J236" s="12"/>
      <c r="K236" s="12"/>
      <c r="L236" s="12"/>
      <c r="M236" s="12"/>
    </row>
    <row r="237" customFormat="false" ht="15.75" hidden="true" customHeight="true" outlineLevel="0" collapsed="false">
      <c r="B237" s="7"/>
      <c r="H237" s="14"/>
      <c r="I237" s="14"/>
      <c r="J237" s="14"/>
      <c r="K237" s="14"/>
      <c r="L237" s="14"/>
      <c r="M237" s="14"/>
    </row>
    <row r="238" customFormat="false" ht="15.75" hidden="true" customHeight="true" outlineLevel="0" collapsed="false">
      <c r="B238" s="7"/>
      <c r="H238" s="12"/>
      <c r="I238" s="12"/>
      <c r="J238" s="12"/>
      <c r="K238" s="12"/>
      <c r="L238" s="12"/>
      <c r="M238" s="12"/>
    </row>
    <row r="239" customFormat="false" ht="15.75" hidden="true" customHeight="true" outlineLevel="0" collapsed="false">
      <c r="B239" s="7"/>
      <c r="H239" s="14"/>
      <c r="I239" s="14"/>
      <c r="J239" s="14"/>
      <c r="K239" s="14"/>
      <c r="L239" s="14"/>
      <c r="M239" s="14"/>
    </row>
    <row r="240" customFormat="false" ht="15.75" hidden="true" customHeight="true" outlineLevel="0" collapsed="false">
      <c r="B240" s="7"/>
      <c r="H240" s="12"/>
      <c r="I240" s="12"/>
      <c r="J240" s="12"/>
      <c r="K240" s="12"/>
      <c r="L240" s="12"/>
      <c r="M240" s="12"/>
    </row>
    <row r="241" customFormat="false" ht="15.75" hidden="true" customHeight="true" outlineLevel="0" collapsed="false">
      <c r="B241" s="7"/>
      <c r="H241" s="14"/>
      <c r="I241" s="14"/>
      <c r="J241" s="14"/>
      <c r="K241" s="14"/>
      <c r="L241" s="14"/>
      <c r="M241" s="14"/>
    </row>
    <row r="242" customFormat="false" ht="15.75" hidden="true" customHeight="true" outlineLevel="0" collapsed="false">
      <c r="B242" s="7"/>
      <c r="H242" s="12"/>
      <c r="I242" s="12"/>
      <c r="J242" s="12"/>
      <c r="K242" s="12"/>
      <c r="L242" s="12"/>
      <c r="M242" s="12"/>
    </row>
    <row r="243" customFormat="false" ht="15.75" hidden="true" customHeight="true" outlineLevel="0" collapsed="false">
      <c r="B243" s="7"/>
      <c r="H243" s="14"/>
      <c r="I243" s="14"/>
      <c r="J243" s="14"/>
      <c r="K243" s="14"/>
      <c r="L243" s="14"/>
      <c r="M243" s="14"/>
    </row>
    <row r="244" customFormat="false" ht="15.75" hidden="true" customHeight="true" outlineLevel="0" collapsed="false">
      <c r="B244" s="7"/>
      <c r="H244" s="12"/>
      <c r="I244" s="12"/>
      <c r="J244" s="12"/>
      <c r="K244" s="12"/>
      <c r="L244" s="12"/>
      <c r="M244" s="12"/>
    </row>
    <row r="245" customFormat="false" ht="15.75" hidden="true" customHeight="true" outlineLevel="0" collapsed="false">
      <c r="B245" s="7"/>
      <c r="H245" s="14"/>
      <c r="I245" s="14"/>
      <c r="J245" s="14"/>
      <c r="K245" s="14"/>
      <c r="L245" s="14"/>
      <c r="M245" s="14"/>
    </row>
    <row r="246" customFormat="false" ht="15.75" hidden="true" customHeight="true" outlineLevel="0" collapsed="false">
      <c r="B246" s="7"/>
      <c r="H246" s="12"/>
      <c r="I246" s="12"/>
      <c r="J246" s="12"/>
      <c r="K246" s="12"/>
      <c r="L246" s="12"/>
      <c r="M246" s="12"/>
    </row>
    <row r="247" customFormat="false" ht="15.75" hidden="true" customHeight="true" outlineLevel="0" collapsed="false">
      <c r="B247" s="7"/>
      <c r="H247" s="14"/>
      <c r="I247" s="14"/>
      <c r="J247" s="14"/>
      <c r="K247" s="14"/>
      <c r="L247" s="14"/>
      <c r="M247" s="14"/>
    </row>
    <row r="248" customFormat="false" ht="15.75" hidden="true" customHeight="true" outlineLevel="0" collapsed="false">
      <c r="B248" s="7"/>
      <c r="H248" s="12"/>
      <c r="I248" s="12"/>
      <c r="J248" s="12"/>
      <c r="K248" s="12"/>
      <c r="L248" s="12"/>
      <c r="M248" s="12"/>
    </row>
    <row r="249" customFormat="false" ht="15.75" hidden="true" customHeight="true" outlineLevel="0" collapsed="false">
      <c r="B249" s="7"/>
      <c r="H249" s="14"/>
      <c r="I249" s="14"/>
      <c r="J249" s="14"/>
      <c r="K249" s="14"/>
      <c r="L249" s="14"/>
      <c r="M249" s="14"/>
    </row>
    <row r="250" customFormat="false" ht="15.75" hidden="true" customHeight="true" outlineLevel="0" collapsed="false">
      <c r="B250" s="7"/>
      <c r="H250" s="12"/>
      <c r="I250" s="12"/>
      <c r="J250" s="12"/>
      <c r="K250" s="12"/>
      <c r="L250" s="12"/>
      <c r="M250" s="12"/>
    </row>
    <row r="251" customFormat="false" ht="15.75" hidden="true" customHeight="true" outlineLevel="0" collapsed="false">
      <c r="B251" s="7"/>
      <c r="H251" s="14"/>
      <c r="I251" s="14"/>
      <c r="J251" s="14"/>
      <c r="K251" s="14"/>
      <c r="L251" s="14"/>
      <c r="M251" s="14"/>
    </row>
    <row r="252" customFormat="false" ht="15.75" hidden="true" customHeight="true" outlineLevel="0" collapsed="false">
      <c r="B252" s="7"/>
      <c r="H252" s="12"/>
      <c r="I252" s="12"/>
      <c r="J252" s="12"/>
      <c r="K252" s="12"/>
      <c r="L252" s="12"/>
      <c r="M252" s="12"/>
    </row>
    <row r="253" customFormat="false" ht="15.75" hidden="true" customHeight="true" outlineLevel="0" collapsed="false">
      <c r="B253" s="7"/>
      <c r="H253" s="14"/>
      <c r="I253" s="14"/>
      <c r="J253" s="14"/>
      <c r="K253" s="14"/>
      <c r="L253" s="14"/>
      <c r="M253" s="14"/>
    </row>
    <row r="254" customFormat="false" ht="15.75" hidden="true" customHeight="true" outlineLevel="0" collapsed="false">
      <c r="B254" s="7"/>
      <c r="H254" s="12"/>
      <c r="I254" s="12"/>
      <c r="J254" s="12"/>
      <c r="K254" s="12"/>
      <c r="L254" s="12"/>
      <c r="M254" s="12"/>
    </row>
    <row r="255" customFormat="false" ht="15.75" hidden="true" customHeight="true" outlineLevel="0" collapsed="false">
      <c r="B255" s="7"/>
      <c r="H255" s="14"/>
      <c r="I255" s="14"/>
      <c r="J255" s="14"/>
      <c r="K255" s="14"/>
      <c r="L255" s="14"/>
      <c r="M255" s="14"/>
    </row>
    <row r="256" customFormat="false" ht="15.75" hidden="true" customHeight="true" outlineLevel="0" collapsed="false">
      <c r="B256" s="7"/>
      <c r="H256" s="12"/>
      <c r="I256" s="12"/>
      <c r="J256" s="12"/>
      <c r="K256" s="12"/>
      <c r="L256" s="12"/>
      <c r="M256" s="12"/>
    </row>
    <row r="257" customFormat="false" ht="15.75" hidden="true" customHeight="true" outlineLevel="0" collapsed="false">
      <c r="B257" s="7"/>
      <c r="H257" s="14"/>
      <c r="I257" s="14"/>
      <c r="J257" s="14"/>
      <c r="K257" s="14"/>
      <c r="L257" s="14"/>
      <c r="M257" s="14"/>
    </row>
    <row r="258" customFormat="false" ht="15.75" hidden="true" customHeight="true" outlineLevel="0" collapsed="false">
      <c r="B258" s="7"/>
      <c r="H258" s="12"/>
      <c r="I258" s="12"/>
      <c r="J258" s="12"/>
      <c r="K258" s="12"/>
      <c r="L258" s="12"/>
      <c r="M258" s="12"/>
    </row>
    <row r="259" customFormat="false" ht="15.75" hidden="true" customHeight="true" outlineLevel="0" collapsed="false">
      <c r="B259" s="7"/>
      <c r="H259" s="14"/>
      <c r="I259" s="14"/>
      <c r="J259" s="14"/>
      <c r="K259" s="14"/>
      <c r="L259" s="14"/>
      <c r="M259" s="14"/>
    </row>
    <row r="260" customFormat="false" ht="15.75" hidden="true" customHeight="true" outlineLevel="0" collapsed="false">
      <c r="B260" s="7"/>
      <c r="H260" s="12"/>
      <c r="I260" s="12"/>
      <c r="J260" s="12"/>
      <c r="K260" s="12"/>
      <c r="L260" s="12"/>
      <c r="M260" s="12"/>
    </row>
    <row r="261" customFormat="false" ht="15.75" hidden="true" customHeight="true" outlineLevel="0" collapsed="false">
      <c r="B261" s="7"/>
      <c r="H261" s="14"/>
      <c r="I261" s="14"/>
      <c r="J261" s="14"/>
      <c r="K261" s="14"/>
      <c r="L261" s="14"/>
      <c r="M261" s="14"/>
    </row>
    <row r="262" customFormat="false" ht="15.75" hidden="true" customHeight="true" outlineLevel="0" collapsed="false">
      <c r="B262" s="7"/>
      <c r="H262" s="12"/>
      <c r="I262" s="12"/>
      <c r="J262" s="12"/>
      <c r="K262" s="12"/>
      <c r="L262" s="12"/>
      <c r="M262" s="12"/>
    </row>
    <row r="263" customFormat="false" ht="15.75" hidden="true" customHeight="true" outlineLevel="0" collapsed="false">
      <c r="B263" s="7"/>
      <c r="H263" s="14"/>
      <c r="I263" s="14"/>
      <c r="J263" s="14"/>
      <c r="K263" s="14"/>
      <c r="L263" s="14"/>
      <c r="M263" s="14"/>
    </row>
    <row r="264" customFormat="false" ht="15.75" hidden="true" customHeight="true" outlineLevel="0" collapsed="false">
      <c r="B264" s="7"/>
      <c r="H264" s="12"/>
      <c r="I264" s="12"/>
      <c r="J264" s="12"/>
      <c r="K264" s="12"/>
      <c r="L264" s="12"/>
      <c r="M264" s="12"/>
    </row>
    <row r="265" customFormat="false" ht="15.75" hidden="true" customHeight="true" outlineLevel="0" collapsed="false">
      <c r="B265" s="7"/>
      <c r="H265" s="14"/>
      <c r="I265" s="14"/>
      <c r="J265" s="14"/>
      <c r="K265" s="14"/>
      <c r="L265" s="14"/>
      <c r="M265" s="14"/>
    </row>
    <row r="266" customFormat="false" ht="15.75" hidden="true" customHeight="true" outlineLevel="0" collapsed="false">
      <c r="B266" s="7"/>
      <c r="H266" s="12"/>
      <c r="I266" s="12"/>
      <c r="J266" s="12"/>
      <c r="K266" s="12"/>
      <c r="L266" s="12"/>
      <c r="M266" s="12"/>
    </row>
    <row r="267" customFormat="false" ht="15.75" hidden="true" customHeight="true" outlineLevel="0" collapsed="false">
      <c r="B267" s="7"/>
      <c r="H267" s="14"/>
      <c r="I267" s="14"/>
      <c r="J267" s="14"/>
      <c r="K267" s="14"/>
      <c r="L267" s="14"/>
      <c r="M267" s="14"/>
    </row>
    <row r="268" customFormat="false" ht="15.75" hidden="true" customHeight="true" outlineLevel="0" collapsed="false">
      <c r="B268" s="7"/>
      <c r="H268" s="12"/>
      <c r="I268" s="12"/>
      <c r="J268" s="12"/>
      <c r="K268" s="12"/>
      <c r="L268" s="12"/>
      <c r="M268" s="12"/>
    </row>
    <row r="269" customFormat="false" ht="15.75" hidden="true" customHeight="true" outlineLevel="0" collapsed="false">
      <c r="B269" s="7"/>
      <c r="H269" s="14"/>
      <c r="I269" s="14"/>
      <c r="J269" s="14"/>
      <c r="K269" s="14"/>
      <c r="L269" s="14"/>
      <c r="M269" s="14"/>
    </row>
    <row r="270" customFormat="false" ht="15.75" hidden="true" customHeight="true" outlineLevel="0" collapsed="false">
      <c r="B270" s="7"/>
      <c r="H270" s="12"/>
      <c r="I270" s="12"/>
      <c r="J270" s="12"/>
      <c r="K270" s="12"/>
      <c r="L270" s="12"/>
      <c r="M270" s="12"/>
    </row>
    <row r="271" customFormat="false" ht="15.75" hidden="true" customHeight="true" outlineLevel="0" collapsed="false">
      <c r="B271" s="7"/>
      <c r="H271" s="14"/>
      <c r="I271" s="14"/>
      <c r="J271" s="14"/>
      <c r="K271" s="14"/>
      <c r="L271" s="14"/>
      <c r="M271" s="14"/>
    </row>
    <row r="272" customFormat="false" ht="15.75" hidden="true" customHeight="true" outlineLevel="0" collapsed="false">
      <c r="B272" s="7"/>
      <c r="H272" s="12"/>
      <c r="I272" s="12"/>
      <c r="J272" s="12"/>
      <c r="K272" s="12"/>
      <c r="L272" s="12"/>
      <c r="M272" s="12"/>
    </row>
    <row r="273" customFormat="false" ht="15.75" hidden="true" customHeight="true" outlineLevel="0" collapsed="false">
      <c r="B273" s="7"/>
      <c r="H273" s="14"/>
      <c r="I273" s="14"/>
      <c r="J273" s="14"/>
      <c r="K273" s="14"/>
      <c r="L273" s="14"/>
      <c r="M273" s="14"/>
    </row>
    <row r="274" customFormat="false" ht="15.75" hidden="true" customHeight="true" outlineLevel="0" collapsed="false">
      <c r="B274" s="7"/>
      <c r="H274" s="12"/>
      <c r="I274" s="12"/>
      <c r="J274" s="12"/>
      <c r="K274" s="12"/>
      <c r="L274" s="12"/>
      <c r="M274" s="12"/>
    </row>
    <row r="275" customFormat="false" ht="15.75" hidden="true" customHeight="true" outlineLevel="0" collapsed="false">
      <c r="B275" s="7"/>
      <c r="H275" s="14"/>
      <c r="I275" s="14"/>
      <c r="J275" s="14"/>
      <c r="K275" s="14"/>
      <c r="L275" s="14"/>
      <c r="M275" s="14"/>
    </row>
    <row r="276" customFormat="false" ht="15.75" hidden="true" customHeight="true" outlineLevel="0" collapsed="false">
      <c r="B276" s="7"/>
      <c r="H276" s="12"/>
      <c r="I276" s="12"/>
      <c r="J276" s="12"/>
      <c r="K276" s="12"/>
      <c r="L276" s="12"/>
      <c r="M276" s="12"/>
    </row>
    <row r="277" customFormat="false" ht="15.75" hidden="true" customHeight="true" outlineLevel="0" collapsed="false">
      <c r="B277" s="7"/>
      <c r="H277" s="14"/>
      <c r="I277" s="14"/>
      <c r="J277" s="14"/>
      <c r="K277" s="14"/>
      <c r="L277" s="14"/>
      <c r="M277" s="14"/>
    </row>
    <row r="278" customFormat="false" ht="15.75" hidden="true" customHeight="true" outlineLevel="0" collapsed="false">
      <c r="B278" s="7"/>
      <c r="H278" s="12"/>
      <c r="I278" s="12"/>
      <c r="J278" s="12"/>
      <c r="K278" s="12"/>
      <c r="L278" s="12"/>
      <c r="M278" s="12"/>
    </row>
    <row r="279" customFormat="false" ht="15.75" hidden="true" customHeight="true" outlineLevel="0" collapsed="false">
      <c r="B279" s="7"/>
      <c r="H279" s="14"/>
      <c r="I279" s="14"/>
      <c r="J279" s="14"/>
      <c r="K279" s="14"/>
      <c r="L279" s="14"/>
      <c r="M279" s="14"/>
    </row>
    <row r="280" customFormat="false" ht="15.75" hidden="true" customHeight="true" outlineLevel="0" collapsed="false">
      <c r="B280" s="7"/>
      <c r="H280" s="12"/>
      <c r="I280" s="12"/>
      <c r="J280" s="12"/>
      <c r="K280" s="12"/>
      <c r="L280" s="12"/>
      <c r="M280" s="12"/>
    </row>
    <row r="281" customFormat="false" ht="15.75" hidden="true" customHeight="true" outlineLevel="0" collapsed="false">
      <c r="B281" s="7"/>
      <c r="H281" s="14"/>
      <c r="I281" s="14"/>
      <c r="J281" s="14"/>
      <c r="K281" s="14"/>
      <c r="L281" s="14"/>
      <c r="M281" s="14"/>
    </row>
    <row r="282" customFormat="false" ht="15.75" hidden="true" customHeight="true" outlineLevel="0" collapsed="false">
      <c r="B282" s="7"/>
      <c r="H282" s="12"/>
      <c r="I282" s="12"/>
      <c r="J282" s="12"/>
      <c r="K282" s="12"/>
      <c r="L282" s="12"/>
      <c r="M282" s="12"/>
    </row>
    <row r="283" customFormat="false" ht="15.75" hidden="true" customHeight="true" outlineLevel="0" collapsed="false">
      <c r="B283" s="7"/>
      <c r="H283" s="14"/>
      <c r="I283" s="14"/>
      <c r="J283" s="14"/>
      <c r="K283" s="14"/>
      <c r="L283" s="14"/>
      <c r="M283" s="14"/>
    </row>
    <row r="284" customFormat="false" ht="15.75" hidden="true" customHeight="true" outlineLevel="0" collapsed="false">
      <c r="B284" s="7"/>
      <c r="H284" s="12"/>
      <c r="I284" s="12"/>
      <c r="J284" s="12"/>
      <c r="K284" s="12"/>
      <c r="L284" s="12"/>
      <c r="M284" s="12"/>
    </row>
    <row r="285" customFormat="false" ht="15.75" hidden="true" customHeight="true" outlineLevel="0" collapsed="false">
      <c r="B285" s="7"/>
      <c r="H285" s="14"/>
      <c r="I285" s="14"/>
      <c r="J285" s="14"/>
      <c r="K285" s="14"/>
      <c r="L285" s="14"/>
      <c r="M285" s="14"/>
    </row>
    <row r="286" customFormat="false" ht="15.75" hidden="true" customHeight="true" outlineLevel="0" collapsed="false">
      <c r="B286" s="7"/>
      <c r="H286" s="12"/>
      <c r="I286" s="12"/>
      <c r="J286" s="12"/>
      <c r="K286" s="12"/>
      <c r="L286" s="12"/>
      <c r="M286" s="12"/>
    </row>
    <row r="287" customFormat="false" ht="15.75" hidden="true" customHeight="true" outlineLevel="0" collapsed="false">
      <c r="B287" s="7"/>
      <c r="H287" s="14"/>
      <c r="I287" s="14"/>
      <c r="J287" s="14"/>
      <c r="K287" s="14"/>
      <c r="L287" s="14"/>
      <c r="M287" s="14"/>
    </row>
    <row r="288" customFormat="false" ht="15.75" hidden="true" customHeight="true" outlineLevel="0" collapsed="false">
      <c r="B288" s="7"/>
      <c r="H288" s="12"/>
      <c r="I288" s="12"/>
      <c r="J288" s="12"/>
      <c r="K288" s="12"/>
      <c r="L288" s="12"/>
      <c r="M288" s="12"/>
    </row>
    <row r="289" customFormat="false" ht="15.75" hidden="true" customHeight="true" outlineLevel="0" collapsed="false">
      <c r="B289" s="7"/>
      <c r="H289" s="14"/>
      <c r="I289" s="14"/>
      <c r="J289" s="14"/>
      <c r="K289" s="14"/>
      <c r="L289" s="14"/>
      <c r="M289" s="14"/>
    </row>
    <row r="290" customFormat="false" ht="15.75" hidden="true" customHeight="true" outlineLevel="0" collapsed="false">
      <c r="B290" s="7"/>
      <c r="H290" s="12"/>
      <c r="I290" s="12"/>
      <c r="J290" s="12"/>
      <c r="K290" s="12"/>
      <c r="L290" s="12"/>
      <c r="M290" s="12"/>
    </row>
    <row r="291" customFormat="false" ht="15.75" hidden="true" customHeight="true" outlineLevel="0" collapsed="false">
      <c r="B291" s="7"/>
      <c r="H291" s="14"/>
      <c r="I291" s="14"/>
      <c r="J291" s="14"/>
      <c r="K291" s="14"/>
      <c r="L291" s="14"/>
      <c r="M291" s="14"/>
    </row>
    <row r="292" customFormat="false" ht="15.75" hidden="true" customHeight="true" outlineLevel="0" collapsed="false">
      <c r="B292" s="7"/>
      <c r="H292" s="12"/>
      <c r="I292" s="12"/>
      <c r="J292" s="12"/>
      <c r="K292" s="12"/>
      <c r="L292" s="12"/>
      <c r="M292" s="12"/>
    </row>
    <row r="293" customFormat="false" ht="15.75" hidden="true" customHeight="true" outlineLevel="0" collapsed="false">
      <c r="B293" s="7"/>
      <c r="H293" s="14"/>
      <c r="I293" s="14"/>
      <c r="J293" s="14"/>
      <c r="K293" s="14"/>
      <c r="L293" s="14"/>
      <c r="M293" s="14"/>
    </row>
    <row r="294" customFormat="false" ht="15.75" hidden="true" customHeight="true" outlineLevel="0" collapsed="false">
      <c r="B294" s="7"/>
      <c r="H294" s="12"/>
      <c r="I294" s="12"/>
      <c r="J294" s="12"/>
      <c r="K294" s="12"/>
      <c r="L294" s="12"/>
      <c r="M294" s="12"/>
    </row>
    <row r="295" customFormat="false" ht="15.75" hidden="true" customHeight="true" outlineLevel="0" collapsed="false">
      <c r="B295" s="7"/>
      <c r="H295" s="14"/>
      <c r="I295" s="14"/>
      <c r="J295" s="14"/>
      <c r="K295" s="14"/>
      <c r="L295" s="14"/>
      <c r="M295" s="14"/>
    </row>
    <row r="296" customFormat="false" ht="15.75" hidden="true" customHeight="true" outlineLevel="0" collapsed="false">
      <c r="B296" s="7"/>
      <c r="H296" s="12"/>
      <c r="I296" s="12"/>
      <c r="J296" s="12"/>
      <c r="K296" s="12"/>
      <c r="L296" s="12"/>
      <c r="M296" s="12"/>
    </row>
    <row r="297" customFormat="false" ht="15.75" hidden="true" customHeight="true" outlineLevel="0" collapsed="false">
      <c r="B297" s="7"/>
      <c r="H297" s="14"/>
      <c r="I297" s="14"/>
      <c r="J297" s="14"/>
      <c r="K297" s="14"/>
      <c r="L297" s="14"/>
      <c r="M297" s="14"/>
    </row>
    <row r="298" customFormat="false" ht="15.75" hidden="true" customHeight="true" outlineLevel="0" collapsed="false">
      <c r="B298" s="7"/>
      <c r="H298" s="12"/>
      <c r="I298" s="12"/>
      <c r="J298" s="12"/>
      <c r="K298" s="12"/>
      <c r="L298" s="12"/>
      <c r="M298" s="12"/>
    </row>
    <row r="299" customFormat="false" ht="15.75" hidden="true" customHeight="true" outlineLevel="0" collapsed="false">
      <c r="B299" s="7"/>
      <c r="H299" s="14"/>
      <c r="I299" s="14"/>
      <c r="J299" s="14"/>
      <c r="K299" s="14"/>
      <c r="L299" s="14"/>
      <c r="M299" s="14"/>
    </row>
    <row r="300" customFormat="false" ht="15.75" hidden="true" customHeight="true" outlineLevel="0" collapsed="false">
      <c r="B300" s="7"/>
      <c r="H300" s="12"/>
      <c r="I300" s="12"/>
      <c r="J300" s="12"/>
      <c r="K300" s="12"/>
      <c r="L300" s="12"/>
      <c r="M300" s="12"/>
    </row>
    <row r="301" customFormat="false" ht="15.75" hidden="true" customHeight="true" outlineLevel="0" collapsed="false">
      <c r="B301" s="7"/>
      <c r="H301" s="14"/>
      <c r="I301" s="14"/>
      <c r="J301" s="14"/>
      <c r="K301" s="14"/>
      <c r="L301" s="14"/>
      <c r="M301" s="14"/>
    </row>
    <row r="302" customFormat="false" ht="15.75" hidden="true" customHeight="true" outlineLevel="0" collapsed="false">
      <c r="B302" s="7"/>
      <c r="H302" s="12"/>
      <c r="I302" s="12"/>
      <c r="J302" s="12"/>
      <c r="K302" s="12"/>
      <c r="L302" s="12"/>
      <c r="M302" s="12"/>
    </row>
    <row r="303" customFormat="false" ht="15.75" hidden="true" customHeight="true" outlineLevel="0" collapsed="false">
      <c r="B303" s="7"/>
      <c r="H303" s="14"/>
      <c r="I303" s="14"/>
      <c r="J303" s="14"/>
      <c r="K303" s="14"/>
      <c r="L303" s="14"/>
      <c r="M303" s="14"/>
    </row>
    <row r="304" customFormat="false" ht="15.75" hidden="true" customHeight="true" outlineLevel="0" collapsed="false">
      <c r="B304" s="7"/>
      <c r="H304" s="12"/>
      <c r="I304" s="12"/>
      <c r="J304" s="12"/>
      <c r="K304" s="12"/>
      <c r="L304" s="12"/>
      <c r="M304" s="12"/>
    </row>
    <row r="305" customFormat="false" ht="15.75" hidden="true" customHeight="true" outlineLevel="0" collapsed="false">
      <c r="B305" s="7"/>
      <c r="H305" s="14"/>
      <c r="I305" s="14"/>
      <c r="J305" s="14"/>
      <c r="K305" s="14"/>
      <c r="L305" s="14"/>
      <c r="M305" s="14"/>
    </row>
    <row r="306" customFormat="false" ht="15.75" hidden="true" customHeight="true" outlineLevel="0" collapsed="false">
      <c r="B306" s="7"/>
      <c r="H306" s="12"/>
      <c r="I306" s="12"/>
      <c r="J306" s="12"/>
      <c r="K306" s="12"/>
      <c r="L306" s="12"/>
      <c r="M306" s="12"/>
    </row>
    <row r="307" customFormat="false" ht="15.75" hidden="true" customHeight="true" outlineLevel="0" collapsed="false">
      <c r="B307" s="7"/>
      <c r="H307" s="14"/>
      <c r="I307" s="14"/>
      <c r="J307" s="14"/>
      <c r="K307" s="14"/>
      <c r="L307" s="14"/>
      <c r="M307" s="14"/>
    </row>
    <row r="308" customFormat="false" ht="15.75" hidden="true" customHeight="true" outlineLevel="0" collapsed="false">
      <c r="B308" s="7"/>
      <c r="H308" s="12"/>
      <c r="I308" s="12"/>
      <c r="J308" s="12"/>
      <c r="K308" s="12"/>
      <c r="L308" s="12"/>
      <c r="M308" s="12"/>
    </row>
    <row r="309" customFormat="false" ht="15.75" hidden="true" customHeight="true" outlineLevel="0" collapsed="false">
      <c r="B309" s="7"/>
      <c r="H309" s="14"/>
      <c r="I309" s="14"/>
      <c r="J309" s="14"/>
      <c r="K309" s="14"/>
      <c r="L309" s="14"/>
      <c r="M309" s="14"/>
    </row>
    <row r="310" customFormat="false" ht="15.75" hidden="true" customHeight="true" outlineLevel="0" collapsed="false">
      <c r="B310" s="7"/>
      <c r="H310" s="12"/>
      <c r="I310" s="12"/>
      <c r="J310" s="12"/>
      <c r="K310" s="12"/>
      <c r="L310" s="12"/>
      <c r="M310" s="12"/>
    </row>
    <row r="311" customFormat="false" ht="15.75" hidden="true" customHeight="true" outlineLevel="0" collapsed="false">
      <c r="B311" s="7"/>
      <c r="H311" s="14"/>
      <c r="I311" s="14"/>
      <c r="J311" s="14"/>
      <c r="K311" s="14"/>
      <c r="L311" s="14"/>
      <c r="M311" s="14"/>
    </row>
    <row r="312" customFormat="false" ht="15.75" hidden="true" customHeight="true" outlineLevel="0" collapsed="false">
      <c r="B312" s="7"/>
      <c r="H312" s="12"/>
      <c r="I312" s="12"/>
      <c r="J312" s="12"/>
      <c r="K312" s="12"/>
      <c r="L312" s="12"/>
      <c r="M312" s="12"/>
    </row>
    <row r="313" customFormat="false" ht="15.75" hidden="true" customHeight="true" outlineLevel="0" collapsed="false">
      <c r="B313" s="7"/>
      <c r="H313" s="14"/>
      <c r="I313" s="14"/>
      <c r="J313" s="14"/>
      <c r="K313" s="14"/>
      <c r="L313" s="14"/>
      <c r="M313" s="14"/>
    </row>
    <row r="314" customFormat="false" ht="15.75" hidden="true" customHeight="true" outlineLevel="0" collapsed="false">
      <c r="B314" s="7"/>
      <c r="H314" s="12"/>
      <c r="I314" s="12"/>
      <c r="J314" s="12"/>
      <c r="K314" s="12"/>
      <c r="L314" s="12"/>
      <c r="M314" s="12"/>
    </row>
    <row r="315" customFormat="false" ht="15.75" hidden="true" customHeight="true" outlineLevel="0" collapsed="false">
      <c r="B315" s="7"/>
      <c r="H315" s="14"/>
      <c r="I315" s="14"/>
      <c r="J315" s="14"/>
      <c r="K315" s="14"/>
      <c r="L315" s="14"/>
      <c r="M315" s="14"/>
    </row>
    <row r="316" customFormat="false" ht="15.75" hidden="true" customHeight="true" outlineLevel="0" collapsed="false">
      <c r="B316" s="7"/>
      <c r="H316" s="12"/>
      <c r="I316" s="12"/>
      <c r="J316" s="12"/>
      <c r="K316" s="12"/>
      <c r="L316" s="12"/>
      <c r="M316" s="12"/>
    </row>
    <row r="317" customFormat="false" ht="15.75" hidden="true" customHeight="true" outlineLevel="0" collapsed="false">
      <c r="B317" s="7"/>
      <c r="H317" s="14"/>
      <c r="I317" s="14"/>
      <c r="J317" s="14"/>
      <c r="K317" s="14"/>
      <c r="L317" s="14"/>
      <c r="M317" s="14"/>
    </row>
    <row r="318" customFormat="false" ht="15.75" hidden="true" customHeight="true" outlineLevel="0" collapsed="false">
      <c r="B318" s="7"/>
      <c r="H318" s="12"/>
      <c r="I318" s="12"/>
      <c r="J318" s="12"/>
      <c r="K318" s="12"/>
      <c r="L318" s="12"/>
      <c r="M318" s="12"/>
    </row>
    <row r="319" customFormat="false" ht="15.75" hidden="true" customHeight="true" outlineLevel="0" collapsed="false">
      <c r="B319" s="7"/>
      <c r="H319" s="14"/>
      <c r="I319" s="14"/>
      <c r="J319" s="14"/>
      <c r="K319" s="14"/>
      <c r="L319" s="14"/>
      <c r="M319" s="14"/>
    </row>
    <row r="320" customFormat="false" ht="15.75" hidden="true" customHeight="true" outlineLevel="0" collapsed="false">
      <c r="B320" s="7"/>
      <c r="H320" s="12"/>
      <c r="I320" s="12"/>
      <c r="J320" s="12"/>
      <c r="K320" s="12"/>
      <c r="L320" s="12"/>
      <c r="M320" s="12"/>
    </row>
    <row r="321" customFormat="false" ht="15.75" hidden="true" customHeight="true" outlineLevel="0" collapsed="false">
      <c r="B321" s="7"/>
      <c r="H321" s="14"/>
      <c r="I321" s="14"/>
      <c r="J321" s="14"/>
      <c r="K321" s="14"/>
      <c r="L321" s="14"/>
      <c r="M321" s="14"/>
    </row>
    <row r="322" customFormat="false" ht="15.75" hidden="true" customHeight="true" outlineLevel="0" collapsed="false">
      <c r="B322" s="7"/>
      <c r="H322" s="12"/>
      <c r="I322" s="12"/>
      <c r="J322" s="12"/>
      <c r="K322" s="12"/>
      <c r="L322" s="12"/>
      <c r="M322" s="12"/>
    </row>
    <row r="323" customFormat="false" ht="15.75" hidden="true" customHeight="true" outlineLevel="0" collapsed="false">
      <c r="B323" s="7"/>
      <c r="H323" s="14"/>
      <c r="I323" s="14"/>
      <c r="J323" s="14"/>
      <c r="K323" s="14"/>
      <c r="L323" s="14"/>
      <c r="M323" s="14"/>
    </row>
    <row r="324" customFormat="false" ht="15.75" hidden="true" customHeight="true" outlineLevel="0" collapsed="false">
      <c r="B324" s="7"/>
      <c r="H324" s="12"/>
      <c r="I324" s="12"/>
      <c r="J324" s="12"/>
      <c r="K324" s="12"/>
      <c r="L324" s="12"/>
      <c r="M324" s="12"/>
    </row>
    <row r="325" customFormat="false" ht="15.75" hidden="true" customHeight="true" outlineLevel="0" collapsed="false">
      <c r="B325" s="7"/>
      <c r="H325" s="14"/>
      <c r="I325" s="14"/>
      <c r="J325" s="14"/>
      <c r="K325" s="14"/>
      <c r="L325" s="14"/>
      <c r="M325" s="14"/>
    </row>
    <row r="326" customFormat="false" ht="15.75" hidden="true" customHeight="true" outlineLevel="0" collapsed="false">
      <c r="B326" s="7"/>
      <c r="H326" s="12"/>
      <c r="I326" s="12"/>
      <c r="J326" s="12"/>
      <c r="K326" s="12"/>
      <c r="L326" s="12"/>
      <c r="M326" s="12"/>
    </row>
    <row r="327" customFormat="false" ht="15.75" hidden="true" customHeight="true" outlineLevel="0" collapsed="false">
      <c r="B327" s="7"/>
      <c r="H327" s="14"/>
      <c r="I327" s="14"/>
      <c r="J327" s="14"/>
      <c r="K327" s="14"/>
      <c r="L327" s="14"/>
      <c r="M327" s="14"/>
    </row>
    <row r="328" customFormat="false" ht="15.75" hidden="true" customHeight="true" outlineLevel="0" collapsed="false">
      <c r="B328" s="7"/>
      <c r="H328" s="12"/>
      <c r="I328" s="12"/>
      <c r="J328" s="12"/>
      <c r="K328" s="12"/>
      <c r="L328" s="12"/>
      <c r="M328" s="12"/>
    </row>
    <row r="329" customFormat="false" ht="15.75" hidden="true" customHeight="true" outlineLevel="0" collapsed="false">
      <c r="B329" s="7"/>
      <c r="H329" s="14"/>
      <c r="I329" s="14"/>
      <c r="J329" s="14"/>
      <c r="K329" s="14"/>
      <c r="L329" s="14"/>
      <c r="M329" s="14"/>
    </row>
    <row r="330" customFormat="false" ht="15.75" hidden="true" customHeight="true" outlineLevel="0" collapsed="false">
      <c r="B330" s="7"/>
      <c r="H330" s="12"/>
      <c r="I330" s="12"/>
      <c r="J330" s="12"/>
      <c r="K330" s="12"/>
      <c r="L330" s="12"/>
      <c r="M330" s="12"/>
    </row>
    <row r="331" customFormat="false" ht="15.75" hidden="true" customHeight="true" outlineLevel="0" collapsed="false">
      <c r="B331" s="7"/>
      <c r="H331" s="14"/>
      <c r="I331" s="14"/>
      <c r="J331" s="14"/>
      <c r="K331" s="14"/>
      <c r="L331" s="14"/>
      <c r="M331" s="14"/>
    </row>
    <row r="332" customFormat="false" ht="15.75" hidden="true" customHeight="true" outlineLevel="0" collapsed="false">
      <c r="B332" s="7"/>
      <c r="H332" s="12"/>
      <c r="I332" s="12"/>
      <c r="J332" s="12"/>
      <c r="K332" s="12"/>
      <c r="L332" s="12"/>
      <c r="M332" s="12"/>
    </row>
    <row r="333" customFormat="false" ht="15.75" hidden="true" customHeight="true" outlineLevel="0" collapsed="false">
      <c r="B333" s="7"/>
      <c r="H333" s="14"/>
      <c r="I333" s="14"/>
      <c r="J333" s="14"/>
      <c r="K333" s="14"/>
      <c r="L333" s="14"/>
      <c r="M333" s="14"/>
    </row>
    <row r="334" customFormat="false" ht="15.75" hidden="true" customHeight="true" outlineLevel="0" collapsed="false">
      <c r="B334" s="7"/>
      <c r="H334" s="12"/>
      <c r="I334" s="12"/>
      <c r="J334" s="12"/>
      <c r="K334" s="12"/>
      <c r="L334" s="12"/>
      <c r="M334" s="12"/>
    </row>
    <row r="335" customFormat="false" ht="15.75" hidden="true" customHeight="true" outlineLevel="0" collapsed="false">
      <c r="B335" s="7"/>
      <c r="H335" s="14"/>
      <c r="I335" s="14"/>
      <c r="J335" s="14"/>
      <c r="K335" s="14"/>
      <c r="L335" s="14"/>
      <c r="M335" s="14"/>
    </row>
    <row r="336" customFormat="false" ht="15.75" hidden="true" customHeight="true" outlineLevel="0" collapsed="false">
      <c r="B336" s="7"/>
      <c r="H336" s="12"/>
      <c r="I336" s="12"/>
      <c r="J336" s="12"/>
      <c r="K336" s="12"/>
      <c r="L336" s="12"/>
      <c r="M336" s="12"/>
    </row>
    <row r="337" customFormat="false" ht="15.75" hidden="true" customHeight="true" outlineLevel="0" collapsed="false">
      <c r="B337" s="7"/>
      <c r="H337" s="14"/>
      <c r="I337" s="14"/>
      <c r="J337" s="14"/>
      <c r="K337" s="14"/>
      <c r="L337" s="14"/>
      <c r="M337" s="14"/>
    </row>
    <row r="338" customFormat="false" ht="15.75" hidden="true" customHeight="true" outlineLevel="0" collapsed="false">
      <c r="B338" s="7"/>
      <c r="H338" s="12"/>
      <c r="I338" s="12"/>
      <c r="J338" s="12"/>
      <c r="K338" s="12"/>
      <c r="L338" s="12"/>
      <c r="M338" s="12"/>
    </row>
    <row r="339" customFormat="false" ht="15.75" hidden="true" customHeight="true" outlineLevel="0" collapsed="false">
      <c r="B339" s="7"/>
      <c r="H339" s="14"/>
      <c r="I339" s="14"/>
      <c r="J339" s="14"/>
      <c r="K339" s="14"/>
      <c r="L339" s="14"/>
      <c r="M339" s="14"/>
    </row>
    <row r="340" customFormat="false" ht="15.75" hidden="true" customHeight="true" outlineLevel="0" collapsed="false">
      <c r="B340" s="7"/>
      <c r="H340" s="12"/>
      <c r="I340" s="12"/>
      <c r="J340" s="12"/>
      <c r="K340" s="12"/>
      <c r="L340" s="12"/>
      <c r="M340" s="12"/>
    </row>
    <row r="341" customFormat="false" ht="15.75" hidden="true" customHeight="true" outlineLevel="0" collapsed="false">
      <c r="B341" s="7"/>
      <c r="H341" s="14"/>
      <c r="I341" s="14"/>
      <c r="J341" s="14"/>
      <c r="K341" s="14"/>
      <c r="L341" s="14"/>
      <c r="M341" s="14"/>
    </row>
    <row r="342" customFormat="false" ht="15.75" hidden="true" customHeight="true" outlineLevel="0" collapsed="false">
      <c r="B342" s="7"/>
      <c r="H342" s="12"/>
      <c r="I342" s="12"/>
      <c r="J342" s="12"/>
      <c r="K342" s="12"/>
      <c r="L342" s="12"/>
      <c r="M342" s="12"/>
    </row>
    <row r="343" customFormat="false" ht="15.75" hidden="true" customHeight="true" outlineLevel="0" collapsed="false">
      <c r="B343" s="7"/>
      <c r="H343" s="14"/>
      <c r="I343" s="14"/>
      <c r="J343" s="14"/>
      <c r="K343" s="14"/>
      <c r="L343" s="14"/>
      <c r="M343" s="14"/>
    </row>
    <row r="344" customFormat="false" ht="15.75" hidden="true" customHeight="true" outlineLevel="0" collapsed="false">
      <c r="B344" s="7"/>
      <c r="H344" s="12"/>
      <c r="I344" s="12"/>
      <c r="J344" s="12"/>
      <c r="K344" s="12"/>
      <c r="L344" s="12"/>
      <c r="M344" s="12"/>
    </row>
    <row r="345" customFormat="false" ht="15.75" hidden="true" customHeight="true" outlineLevel="0" collapsed="false">
      <c r="B345" s="7"/>
      <c r="H345" s="14"/>
      <c r="I345" s="14"/>
      <c r="J345" s="14"/>
      <c r="K345" s="14"/>
      <c r="L345" s="14"/>
      <c r="M345" s="14"/>
    </row>
    <row r="346" customFormat="false" ht="15.75" hidden="true" customHeight="true" outlineLevel="0" collapsed="false">
      <c r="B346" s="7"/>
      <c r="H346" s="12"/>
      <c r="I346" s="12"/>
      <c r="J346" s="12"/>
      <c r="K346" s="12"/>
      <c r="L346" s="12"/>
      <c r="M346" s="12"/>
    </row>
    <row r="347" customFormat="false" ht="15.75" hidden="true" customHeight="true" outlineLevel="0" collapsed="false">
      <c r="B347" s="7"/>
      <c r="H347" s="14"/>
      <c r="I347" s="14"/>
      <c r="J347" s="14"/>
      <c r="K347" s="14"/>
      <c r="L347" s="14"/>
      <c r="M347" s="14"/>
    </row>
    <row r="348" customFormat="false" ht="15.75" hidden="true" customHeight="true" outlineLevel="0" collapsed="false">
      <c r="B348" s="7"/>
      <c r="H348" s="12"/>
      <c r="I348" s="12"/>
      <c r="J348" s="12"/>
      <c r="K348" s="12"/>
      <c r="L348" s="12"/>
      <c r="M348" s="12"/>
    </row>
    <row r="349" customFormat="false" ht="15.75" hidden="true" customHeight="true" outlineLevel="0" collapsed="false">
      <c r="B349" s="7"/>
      <c r="H349" s="14"/>
      <c r="I349" s="14"/>
      <c r="J349" s="14"/>
      <c r="K349" s="14"/>
      <c r="L349" s="14"/>
      <c r="M349" s="14"/>
    </row>
    <row r="350" customFormat="false" ht="15.75" hidden="true" customHeight="true" outlineLevel="0" collapsed="false">
      <c r="B350" s="7"/>
      <c r="H350" s="12"/>
      <c r="I350" s="12"/>
      <c r="J350" s="12"/>
      <c r="K350" s="12"/>
      <c r="L350" s="12"/>
      <c r="M350" s="12"/>
    </row>
    <row r="351" customFormat="false" ht="15.75" hidden="true" customHeight="true" outlineLevel="0" collapsed="false">
      <c r="B351" s="7"/>
      <c r="H351" s="14"/>
      <c r="I351" s="14"/>
      <c r="J351" s="14"/>
      <c r="K351" s="14"/>
      <c r="L351" s="14"/>
      <c r="M351" s="14"/>
    </row>
    <row r="352" customFormat="false" ht="15.75" hidden="true" customHeight="true" outlineLevel="0" collapsed="false">
      <c r="B352" s="7"/>
      <c r="H352" s="12"/>
      <c r="I352" s="12"/>
      <c r="J352" s="12"/>
      <c r="K352" s="12"/>
      <c r="L352" s="12"/>
      <c r="M352" s="12"/>
    </row>
    <row r="353" customFormat="false" ht="15.75" hidden="true" customHeight="true" outlineLevel="0" collapsed="false">
      <c r="B353" s="7"/>
      <c r="H353" s="14"/>
      <c r="I353" s="14"/>
      <c r="J353" s="14"/>
      <c r="K353" s="14"/>
      <c r="L353" s="14"/>
      <c r="M353" s="14"/>
    </row>
    <row r="354" customFormat="false" ht="15.75" hidden="true" customHeight="true" outlineLevel="0" collapsed="false">
      <c r="B354" s="7"/>
      <c r="H354" s="12"/>
      <c r="I354" s="12"/>
      <c r="J354" s="12"/>
      <c r="K354" s="12"/>
      <c r="L354" s="12"/>
      <c r="M354" s="12"/>
    </row>
    <row r="355" customFormat="false" ht="15.75" hidden="true" customHeight="true" outlineLevel="0" collapsed="false">
      <c r="B355" s="7"/>
      <c r="H355" s="14"/>
      <c r="I355" s="14"/>
      <c r="J355" s="14"/>
      <c r="K355" s="14"/>
      <c r="L355" s="14"/>
      <c r="M355" s="14"/>
    </row>
    <row r="356" customFormat="false" ht="15.75" hidden="true" customHeight="true" outlineLevel="0" collapsed="false">
      <c r="B356" s="7"/>
      <c r="H356" s="12"/>
      <c r="I356" s="12"/>
      <c r="J356" s="12"/>
      <c r="K356" s="12"/>
      <c r="L356" s="12"/>
      <c r="M356" s="12"/>
    </row>
    <row r="357" customFormat="false" ht="15.75" hidden="true" customHeight="true" outlineLevel="0" collapsed="false">
      <c r="B357" s="7"/>
      <c r="H357" s="14"/>
      <c r="I357" s="14"/>
      <c r="J357" s="14"/>
      <c r="K357" s="14"/>
      <c r="L357" s="14"/>
      <c r="M357" s="14"/>
    </row>
    <row r="358" customFormat="false" ht="15.75" hidden="true" customHeight="true" outlineLevel="0" collapsed="false">
      <c r="B358" s="7"/>
      <c r="H358" s="12"/>
      <c r="I358" s="12"/>
      <c r="J358" s="12"/>
      <c r="K358" s="12"/>
      <c r="L358" s="12"/>
      <c r="M358" s="12"/>
    </row>
    <row r="359" customFormat="false" ht="15.75" hidden="true" customHeight="true" outlineLevel="0" collapsed="false">
      <c r="B359" s="7"/>
      <c r="H359" s="14"/>
      <c r="I359" s="14"/>
      <c r="J359" s="14"/>
      <c r="K359" s="14"/>
      <c r="L359" s="14"/>
      <c r="M359" s="14"/>
    </row>
    <row r="360" customFormat="false" ht="15.75" hidden="true" customHeight="true" outlineLevel="0" collapsed="false">
      <c r="B360" s="7"/>
      <c r="H360" s="12"/>
      <c r="I360" s="12"/>
      <c r="J360" s="12"/>
      <c r="K360" s="12"/>
      <c r="L360" s="12"/>
      <c r="M360" s="12"/>
    </row>
    <row r="361" customFormat="false" ht="15.75" hidden="true" customHeight="true" outlineLevel="0" collapsed="false">
      <c r="B361" s="7"/>
      <c r="H361" s="14"/>
      <c r="I361" s="14"/>
      <c r="J361" s="14"/>
      <c r="K361" s="14"/>
      <c r="L361" s="14"/>
      <c r="M361" s="14"/>
    </row>
    <row r="362" customFormat="false" ht="15.75" hidden="true" customHeight="true" outlineLevel="0" collapsed="false">
      <c r="B362" s="7"/>
      <c r="H362" s="12"/>
      <c r="I362" s="12"/>
      <c r="J362" s="12"/>
      <c r="K362" s="12"/>
      <c r="L362" s="12"/>
      <c r="M362" s="12"/>
    </row>
    <row r="363" customFormat="false" ht="15.75" hidden="true" customHeight="true" outlineLevel="0" collapsed="false">
      <c r="B363" s="7"/>
      <c r="H363" s="14"/>
      <c r="I363" s="14"/>
      <c r="J363" s="14"/>
      <c r="K363" s="14"/>
      <c r="L363" s="14"/>
      <c r="M363" s="14"/>
    </row>
    <row r="364" customFormat="false" ht="15.75" hidden="true" customHeight="true" outlineLevel="0" collapsed="false">
      <c r="B364" s="7"/>
      <c r="H364" s="12"/>
      <c r="I364" s="12"/>
      <c r="J364" s="12"/>
      <c r="K364" s="12"/>
      <c r="L364" s="12"/>
      <c r="M364" s="12"/>
    </row>
    <row r="365" customFormat="false" ht="15.75" hidden="true" customHeight="true" outlineLevel="0" collapsed="false">
      <c r="B365" s="7"/>
      <c r="H365" s="14"/>
      <c r="I365" s="14"/>
      <c r="J365" s="14"/>
      <c r="K365" s="14"/>
      <c r="L365" s="14"/>
      <c r="M365" s="14"/>
    </row>
    <row r="366" customFormat="false" ht="15.75" hidden="true" customHeight="true" outlineLevel="0" collapsed="false">
      <c r="B366" s="7"/>
      <c r="H366" s="12"/>
      <c r="I366" s="12"/>
      <c r="J366" s="12"/>
      <c r="K366" s="12"/>
      <c r="L366" s="12"/>
      <c r="M366" s="12"/>
    </row>
    <row r="367" customFormat="false" ht="15.75" hidden="true" customHeight="true" outlineLevel="0" collapsed="false">
      <c r="B367" s="7"/>
      <c r="H367" s="14"/>
      <c r="I367" s="14"/>
      <c r="J367" s="14"/>
      <c r="K367" s="14"/>
      <c r="L367" s="14"/>
      <c r="M367" s="14"/>
    </row>
    <row r="368" customFormat="false" ht="15.75" hidden="true" customHeight="true" outlineLevel="0" collapsed="false">
      <c r="B368" s="7"/>
      <c r="H368" s="12"/>
      <c r="I368" s="12"/>
      <c r="J368" s="12"/>
      <c r="K368" s="12"/>
      <c r="L368" s="12"/>
      <c r="M368" s="12"/>
    </row>
    <row r="369" customFormat="false" ht="15.75" hidden="true" customHeight="true" outlineLevel="0" collapsed="false">
      <c r="B369" s="7"/>
      <c r="H369" s="14"/>
      <c r="I369" s="14"/>
      <c r="J369" s="14"/>
      <c r="K369" s="14"/>
      <c r="L369" s="14"/>
      <c r="M369" s="14"/>
    </row>
    <row r="370" customFormat="false" ht="15.75" hidden="true" customHeight="true" outlineLevel="0" collapsed="false">
      <c r="B370" s="7"/>
      <c r="H370" s="12"/>
      <c r="I370" s="12"/>
      <c r="J370" s="12"/>
      <c r="K370" s="12"/>
      <c r="L370" s="12"/>
      <c r="M370" s="12"/>
    </row>
    <row r="371" customFormat="false" ht="15.75" hidden="true" customHeight="true" outlineLevel="0" collapsed="false">
      <c r="B371" s="7"/>
      <c r="H371" s="14"/>
      <c r="I371" s="14"/>
      <c r="J371" s="14"/>
      <c r="K371" s="14"/>
      <c r="L371" s="14"/>
      <c r="M371" s="14"/>
    </row>
    <row r="372" customFormat="false" ht="15.75" hidden="true" customHeight="true" outlineLevel="0" collapsed="false">
      <c r="B372" s="7"/>
      <c r="H372" s="12"/>
      <c r="I372" s="12"/>
      <c r="J372" s="12"/>
      <c r="K372" s="12"/>
      <c r="L372" s="12"/>
      <c r="M372" s="12"/>
    </row>
    <row r="373" customFormat="false" ht="15.75" hidden="true" customHeight="true" outlineLevel="0" collapsed="false">
      <c r="B373" s="7"/>
      <c r="H373" s="14"/>
      <c r="I373" s="14"/>
      <c r="J373" s="14"/>
      <c r="K373" s="14"/>
      <c r="L373" s="14"/>
      <c r="M373" s="14"/>
    </row>
    <row r="374" customFormat="false" ht="15.75" hidden="true" customHeight="true" outlineLevel="0" collapsed="false">
      <c r="B374" s="7"/>
      <c r="H374" s="12"/>
      <c r="I374" s="12"/>
      <c r="J374" s="12"/>
      <c r="K374" s="12"/>
      <c r="L374" s="12"/>
      <c r="M374" s="12"/>
    </row>
    <row r="375" customFormat="false" ht="15.75" hidden="true" customHeight="true" outlineLevel="0" collapsed="false">
      <c r="B375" s="7"/>
      <c r="H375" s="14"/>
      <c r="I375" s="14"/>
      <c r="J375" s="14"/>
      <c r="K375" s="14"/>
      <c r="L375" s="14"/>
      <c r="M375" s="14"/>
    </row>
    <row r="376" customFormat="false" ht="15.75" hidden="true" customHeight="true" outlineLevel="0" collapsed="false">
      <c r="B376" s="7"/>
      <c r="H376" s="12"/>
      <c r="I376" s="12"/>
      <c r="J376" s="12"/>
      <c r="K376" s="12"/>
      <c r="L376" s="12"/>
      <c r="M376" s="12"/>
    </row>
    <row r="377" customFormat="false" ht="15.75" hidden="true" customHeight="true" outlineLevel="0" collapsed="false">
      <c r="B377" s="7"/>
      <c r="H377" s="14"/>
      <c r="I377" s="14"/>
      <c r="J377" s="14"/>
      <c r="K377" s="14"/>
      <c r="L377" s="14"/>
      <c r="M377" s="14"/>
    </row>
    <row r="378" customFormat="false" ht="15.75" hidden="true" customHeight="true" outlineLevel="0" collapsed="false">
      <c r="B378" s="7"/>
      <c r="H378" s="12"/>
      <c r="I378" s="12"/>
      <c r="J378" s="12"/>
      <c r="K378" s="12"/>
      <c r="L378" s="12"/>
      <c r="M378" s="12"/>
    </row>
    <row r="379" customFormat="false" ht="15.75" hidden="true" customHeight="true" outlineLevel="0" collapsed="false">
      <c r="B379" s="7"/>
      <c r="H379" s="14"/>
      <c r="I379" s="14"/>
      <c r="J379" s="14"/>
      <c r="K379" s="14"/>
      <c r="L379" s="14"/>
      <c r="M379" s="14"/>
    </row>
    <row r="380" customFormat="false" ht="15.75" hidden="true" customHeight="true" outlineLevel="0" collapsed="false">
      <c r="B380" s="7"/>
      <c r="H380" s="12"/>
      <c r="I380" s="12"/>
      <c r="J380" s="12"/>
      <c r="K380" s="12"/>
      <c r="L380" s="12"/>
      <c r="M380" s="12"/>
    </row>
    <row r="381" customFormat="false" ht="15.75" hidden="true" customHeight="true" outlineLevel="0" collapsed="false">
      <c r="B381" s="7"/>
      <c r="H381" s="14"/>
      <c r="I381" s="14"/>
      <c r="J381" s="14"/>
      <c r="K381" s="14"/>
      <c r="L381" s="14"/>
      <c r="M381" s="14"/>
    </row>
    <row r="382" customFormat="false" ht="15.75" hidden="true" customHeight="true" outlineLevel="0" collapsed="false">
      <c r="B382" s="7"/>
      <c r="H382" s="12"/>
      <c r="I382" s="12"/>
      <c r="J382" s="12"/>
      <c r="K382" s="12"/>
      <c r="L382" s="12"/>
      <c r="M382" s="12"/>
    </row>
    <row r="383" customFormat="false" ht="15.75" hidden="true" customHeight="true" outlineLevel="0" collapsed="false">
      <c r="B383" s="7"/>
      <c r="H383" s="14"/>
      <c r="I383" s="14"/>
      <c r="J383" s="14"/>
      <c r="K383" s="14"/>
      <c r="L383" s="14"/>
      <c r="M383" s="14"/>
    </row>
    <row r="384" customFormat="false" ht="15.75" hidden="true" customHeight="true" outlineLevel="0" collapsed="false">
      <c r="B384" s="7"/>
      <c r="H384" s="12"/>
      <c r="I384" s="12"/>
      <c r="J384" s="12"/>
      <c r="K384" s="12"/>
      <c r="L384" s="12"/>
      <c r="M384" s="12"/>
    </row>
    <row r="385" customFormat="false" ht="15.75" hidden="true" customHeight="true" outlineLevel="0" collapsed="false">
      <c r="B385" s="7"/>
      <c r="H385" s="14"/>
      <c r="I385" s="14"/>
      <c r="J385" s="14"/>
      <c r="K385" s="14"/>
      <c r="L385" s="14"/>
      <c r="M385" s="14"/>
    </row>
    <row r="386" customFormat="false" ht="15.75" hidden="true" customHeight="true" outlineLevel="0" collapsed="false">
      <c r="B386" s="7"/>
      <c r="H386" s="12"/>
      <c r="I386" s="12"/>
      <c r="J386" s="12"/>
      <c r="K386" s="12"/>
      <c r="L386" s="12"/>
      <c r="M386" s="12"/>
    </row>
    <row r="387" customFormat="false" ht="15.75" hidden="true" customHeight="true" outlineLevel="0" collapsed="false">
      <c r="B387" s="7"/>
      <c r="H387" s="14"/>
      <c r="I387" s="14"/>
      <c r="J387" s="14"/>
      <c r="K387" s="14"/>
      <c r="L387" s="14"/>
      <c r="M387" s="14"/>
    </row>
    <row r="388" customFormat="false" ht="15.75" hidden="true" customHeight="true" outlineLevel="0" collapsed="false">
      <c r="B388" s="7"/>
      <c r="H388" s="12"/>
      <c r="I388" s="12"/>
      <c r="J388" s="12"/>
      <c r="K388" s="12"/>
      <c r="L388" s="12"/>
      <c r="M388" s="12"/>
    </row>
    <row r="389" customFormat="false" ht="15.75" hidden="true" customHeight="true" outlineLevel="0" collapsed="false">
      <c r="B389" s="7"/>
      <c r="H389" s="14"/>
      <c r="I389" s="14"/>
      <c r="J389" s="14"/>
      <c r="K389" s="14"/>
      <c r="L389" s="14"/>
      <c r="M389" s="14"/>
    </row>
    <row r="390" customFormat="false" ht="15.75" hidden="true" customHeight="true" outlineLevel="0" collapsed="false">
      <c r="B390" s="7"/>
      <c r="H390" s="12"/>
      <c r="I390" s="12"/>
      <c r="J390" s="12"/>
      <c r="K390" s="12"/>
      <c r="L390" s="12"/>
      <c r="M390" s="12"/>
    </row>
    <row r="391" customFormat="false" ht="15.75" hidden="true" customHeight="true" outlineLevel="0" collapsed="false">
      <c r="B391" s="7"/>
      <c r="H391" s="14"/>
      <c r="I391" s="14"/>
      <c r="J391" s="14"/>
      <c r="K391" s="14"/>
      <c r="L391" s="14"/>
      <c r="M391" s="14"/>
    </row>
    <row r="392" customFormat="false" ht="15.75" hidden="true" customHeight="true" outlineLevel="0" collapsed="false">
      <c r="B392" s="7"/>
      <c r="H392" s="12"/>
      <c r="I392" s="12"/>
      <c r="J392" s="12"/>
      <c r="K392" s="12"/>
      <c r="L392" s="12"/>
      <c r="M392" s="12"/>
    </row>
    <row r="393" customFormat="false" ht="15.75" hidden="true" customHeight="true" outlineLevel="0" collapsed="false">
      <c r="B393" s="7"/>
      <c r="H393" s="14"/>
      <c r="I393" s="14"/>
      <c r="J393" s="14"/>
      <c r="K393" s="14"/>
      <c r="L393" s="14"/>
      <c r="M393" s="14"/>
    </row>
    <row r="394" customFormat="false" ht="15.75" hidden="true" customHeight="true" outlineLevel="0" collapsed="false">
      <c r="B394" s="7"/>
      <c r="H394" s="12"/>
      <c r="I394" s="12"/>
      <c r="J394" s="12"/>
      <c r="K394" s="12"/>
      <c r="L394" s="12"/>
      <c r="M394" s="12"/>
    </row>
    <row r="395" customFormat="false" ht="15.75" hidden="true" customHeight="true" outlineLevel="0" collapsed="false">
      <c r="B395" s="7"/>
      <c r="H395" s="14"/>
      <c r="I395" s="14"/>
      <c r="J395" s="14"/>
      <c r="K395" s="14"/>
      <c r="L395" s="14"/>
      <c r="M395" s="14"/>
    </row>
    <row r="396" customFormat="false" ht="15.75" hidden="true" customHeight="true" outlineLevel="0" collapsed="false">
      <c r="B396" s="7"/>
      <c r="H396" s="12"/>
      <c r="I396" s="12"/>
      <c r="J396" s="12"/>
      <c r="K396" s="12"/>
      <c r="L396" s="12"/>
      <c r="M396" s="12"/>
    </row>
    <row r="397" customFormat="false" ht="15.75" hidden="true" customHeight="true" outlineLevel="0" collapsed="false">
      <c r="B397" s="7"/>
      <c r="H397" s="14"/>
      <c r="I397" s="14"/>
      <c r="J397" s="14"/>
      <c r="K397" s="14"/>
      <c r="L397" s="14"/>
      <c r="M397" s="14"/>
    </row>
    <row r="398" customFormat="false" ht="15.75" hidden="true" customHeight="true" outlineLevel="0" collapsed="false">
      <c r="B398" s="7"/>
      <c r="H398" s="12"/>
      <c r="I398" s="12"/>
      <c r="J398" s="12"/>
      <c r="K398" s="12"/>
      <c r="L398" s="12"/>
      <c r="M398" s="12"/>
    </row>
    <row r="399" customFormat="false" ht="15.75" hidden="true" customHeight="true" outlineLevel="0" collapsed="false">
      <c r="B399" s="7"/>
      <c r="H399" s="14"/>
      <c r="I399" s="14"/>
      <c r="J399" s="14"/>
      <c r="K399" s="14"/>
      <c r="L399" s="14"/>
      <c r="M399" s="14"/>
    </row>
    <row r="400" customFormat="false" ht="15.75" hidden="true" customHeight="true" outlineLevel="0" collapsed="false">
      <c r="B400" s="7"/>
      <c r="H400" s="12"/>
      <c r="I400" s="12"/>
      <c r="J400" s="12"/>
      <c r="K400" s="12"/>
      <c r="L400" s="12"/>
      <c r="M400" s="12"/>
    </row>
    <row r="401" customFormat="false" ht="15.75" hidden="true" customHeight="true" outlineLevel="0" collapsed="false">
      <c r="B401" s="7"/>
      <c r="H401" s="14"/>
      <c r="I401" s="14"/>
      <c r="J401" s="14"/>
      <c r="K401" s="14"/>
      <c r="L401" s="14"/>
      <c r="M401" s="14"/>
    </row>
    <row r="402" customFormat="false" ht="15.75" hidden="true" customHeight="true" outlineLevel="0" collapsed="false">
      <c r="B402" s="7"/>
      <c r="H402" s="12"/>
      <c r="I402" s="12"/>
      <c r="J402" s="12"/>
      <c r="K402" s="12"/>
      <c r="L402" s="12"/>
      <c r="M402" s="12"/>
    </row>
    <row r="403" customFormat="false" ht="15.75" hidden="true" customHeight="true" outlineLevel="0" collapsed="false">
      <c r="B403" s="7"/>
      <c r="H403" s="14"/>
      <c r="I403" s="14"/>
      <c r="J403" s="14"/>
      <c r="K403" s="14"/>
      <c r="L403" s="14"/>
      <c r="M403" s="14"/>
    </row>
    <row r="404" customFormat="false" ht="15.75" hidden="true" customHeight="true" outlineLevel="0" collapsed="false">
      <c r="B404" s="7"/>
      <c r="H404" s="12"/>
      <c r="I404" s="12"/>
      <c r="J404" s="12"/>
      <c r="K404" s="12"/>
      <c r="L404" s="12"/>
      <c r="M404" s="12"/>
    </row>
    <row r="405" customFormat="false" ht="15.75" hidden="true" customHeight="true" outlineLevel="0" collapsed="false">
      <c r="B405" s="7"/>
      <c r="H405" s="14"/>
      <c r="I405" s="14"/>
      <c r="J405" s="14"/>
      <c r="K405" s="14"/>
      <c r="L405" s="14"/>
      <c r="M405" s="14"/>
    </row>
    <row r="406" customFormat="false" ht="15.75" hidden="true" customHeight="true" outlineLevel="0" collapsed="false">
      <c r="B406" s="7"/>
      <c r="H406" s="12"/>
      <c r="I406" s="12"/>
      <c r="J406" s="12"/>
      <c r="K406" s="12"/>
      <c r="L406" s="12"/>
      <c r="M406" s="12"/>
    </row>
    <row r="407" customFormat="false" ht="15.75" hidden="true" customHeight="true" outlineLevel="0" collapsed="false">
      <c r="B407" s="7"/>
      <c r="H407" s="14"/>
      <c r="I407" s="14"/>
      <c r="J407" s="14"/>
      <c r="K407" s="14"/>
      <c r="L407" s="14"/>
      <c r="M407" s="14"/>
    </row>
    <row r="408" customFormat="false" ht="15.75" hidden="true" customHeight="true" outlineLevel="0" collapsed="false">
      <c r="B408" s="7"/>
      <c r="H408" s="12"/>
      <c r="I408" s="12"/>
      <c r="J408" s="12"/>
      <c r="K408" s="12"/>
      <c r="L408" s="12"/>
      <c r="M408" s="12"/>
    </row>
    <row r="409" customFormat="false" ht="15.75" hidden="true" customHeight="true" outlineLevel="0" collapsed="false">
      <c r="B409" s="7"/>
      <c r="H409" s="14"/>
      <c r="I409" s="14"/>
      <c r="J409" s="14"/>
      <c r="K409" s="14"/>
      <c r="L409" s="14"/>
      <c r="M409" s="14"/>
    </row>
    <row r="410" customFormat="false" ht="15.75" hidden="true" customHeight="true" outlineLevel="0" collapsed="false">
      <c r="B410" s="7"/>
      <c r="H410" s="12"/>
      <c r="I410" s="12"/>
      <c r="J410" s="12"/>
      <c r="K410" s="12"/>
      <c r="L410" s="12"/>
      <c r="M410" s="12"/>
    </row>
    <row r="411" customFormat="false" ht="15.75" hidden="true" customHeight="true" outlineLevel="0" collapsed="false">
      <c r="B411" s="7"/>
      <c r="H411" s="14"/>
      <c r="I411" s="14"/>
      <c r="J411" s="14"/>
      <c r="K411" s="14"/>
      <c r="L411" s="14"/>
      <c r="M411" s="14"/>
    </row>
    <row r="412" customFormat="false" ht="15.75" hidden="true" customHeight="true" outlineLevel="0" collapsed="false">
      <c r="B412" s="7"/>
      <c r="H412" s="12"/>
      <c r="I412" s="12"/>
      <c r="J412" s="12"/>
      <c r="K412" s="12"/>
      <c r="L412" s="12"/>
      <c r="M412" s="12"/>
    </row>
    <row r="413" customFormat="false" ht="15.75" hidden="true" customHeight="true" outlineLevel="0" collapsed="false">
      <c r="B413" s="7"/>
      <c r="H413" s="14"/>
      <c r="I413" s="14"/>
      <c r="J413" s="14"/>
      <c r="K413" s="14"/>
      <c r="L413" s="14"/>
      <c r="M413" s="14"/>
    </row>
    <row r="414" customFormat="false" ht="15.75" hidden="true" customHeight="true" outlineLevel="0" collapsed="false">
      <c r="B414" s="7"/>
      <c r="H414" s="12"/>
      <c r="I414" s="12"/>
      <c r="J414" s="12"/>
      <c r="K414" s="12"/>
      <c r="L414" s="12"/>
      <c r="M414" s="12"/>
    </row>
    <row r="415" customFormat="false" ht="15.75" hidden="true" customHeight="true" outlineLevel="0" collapsed="false">
      <c r="B415" s="7"/>
      <c r="H415" s="14"/>
      <c r="I415" s="14"/>
      <c r="J415" s="14"/>
      <c r="K415" s="14"/>
      <c r="L415" s="14"/>
      <c r="M415" s="14"/>
    </row>
    <row r="416" customFormat="false" ht="15.75" hidden="true" customHeight="true" outlineLevel="0" collapsed="false">
      <c r="B416" s="7"/>
      <c r="H416" s="12"/>
      <c r="I416" s="12"/>
      <c r="J416" s="12"/>
      <c r="K416" s="12"/>
      <c r="L416" s="12"/>
      <c r="M416" s="12"/>
    </row>
    <row r="417" customFormat="false" ht="15.75" hidden="true" customHeight="true" outlineLevel="0" collapsed="false">
      <c r="B417" s="7"/>
      <c r="H417" s="14"/>
      <c r="I417" s="14"/>
      <c r="J417" s="14"/>
      <c r="K417" s="14"/>
      <c r="L417" s="14"/>
      <c r="M417" s="14"/>
    </row>
    <row r="418" customFormat="false" ht="15.75" hidden="true" customHeight="true" outlineLevel="0" collapsed="false">
      <c r="B418" s="7"/>
      <c r="H418" s="12"/>
      <c r="I418" s="12"/>
      <c r="J418" s="12"/>
      <c r="K418" s="12"/>
      <c r="L418" s="12"/>
      <c r="M418" s="12"/>
    </row>
    <row r="419" customFormat="false" ht="15.75" hidden="true" customHeight="true" outlineLevel="0" collapsed="false">
      <c r="B419" s="7"/>
      <c r="H419" s="14"/>
      <c r="I419" s="14"/>
      <c r="J419" s="14"/>
      <c r="K419" s="14"/>
      <c r="L419" s="14"/>
      <c r="M419" s="14"/>
    </row>
    <row r="420" customFormat="false" ht="15.75" hidden="true" customHeight="true" outlineLevel="0" collapsed="false">
      <c r="B420" s="7"/>
      <c r="H420" s="12"/>
      <c r="I420" s="12"/>
      <c r="J420" s="12"/>
      <c r="K420" s="12"/>
      <c r="L420" s="12"/>
      <c r="M420" s="12"/>
    </row>
    <row r="421" customFormat="false" ht="15.75" hidden="true" customHeight="true" outlineLevel="0" collapsed="false">
      <c r="B421" s="7"/>
      <c r="H421" s="14"/>
      <c r="I421" s="14"/>
      <c r="J421" s="14"/>
      <c r="K421" s="14"/>
      <c r="L421" s="14"/>
      <c r="M421" s="14"/>
    </row>
    <row r="422" customFormat="false" ht="15.75" hidden="true" customHeight="true" outlineLevel="0" collapsed="false">
      <c r="B422" s="7"/>
      <c r="H422" s="12"/>
      <c r="I422" s="12"/>
      <c r="J422" s="12"/>
      <c r="K422" s="12"/>
      <c r="L422" s="12"/>
      <c r="M422" s="12"/>
    </row>
    <row r="423" customFormat="false" ht="15.75" hidden="true" customHeight="true" outlineLevel="0" collapsed="false">
      <c r="B423" s="7"/>
      <c r="H423" s="14"/>
      <c r="I423" s="14"/>
      <c r="J423" s="14"/>
      <c r="K423" s="14"/>
      <c r="L423" s="14"/>
      <c r="M423" s="14"/>
    </row>
    <row r="424" customFormat="false" ht="15.75" hidden="true" customHeight="true" outlineLevel="0" collapsed="false">
      <c r="B424" s="7"/>
      <c r="H424" s="12"/>
      <c r="I424" s="12"/>
      <c r="J424" s="12"/>
      <c r="K424" s="12"/>
      <c r="L424" s="12"/>
      <c r="M424" s="12"/>
    </row>
    <row r="425" customFormat="false" ht="15.75" hidden="true" customHeight="true" outlineLevel="0" collapsed="false">
      <c r="B425" s="7"/>
      <c r="H425" s="14"/>
      <c r="I425" s="14"/>
      <c r="J425" s="14"/>
      <c r="K425" s="14"/>
      <c r="L425" s="14"/>
      <c r="M425" s="14"/>
    </row>
    <row r="426" customFormat="false" ht="15.75" hidden="true" customHeight="true" outlineLevel="0" collapsed="false">
      <c r="B426" s="7"/>
      <c r="H426" s="12"/>
      <c r="I426" s="12"/>
      <c r="J426" s="12"/>
      <c r="K426" s="12"/>
      <c r="L426" s="12"/>
      <c r="M426" s="12"/>
    </row>
    <row r="427" customFormat="false" ht="15.75" hidden="true" customHeight="true" outlineLevel="0" collapsed="false">
      <c r="B427" s="7"/>
      <c r="H427" s="14"/>
      <c r="I427" s="14"/>
      <c r="J427" s="14"/>
      <c r="K427" s="14"/>
      <c r="L427" s="14"/>
      <c r="M427" s="14"/>
    </row>
    <row r="428" customFormat="false" ht="15.75" hidden="true" customHeight="true" outlineLevel="0" collapsed="false">
      <c r="B428" s="7"/>
      <c r="H428" s="12"/>
      <c r="I428" s="12"/>
      <c r="J428" s="12"/>
      <c r="K428" s="12"/>
      <c r="L428" s="12"/>
      <c r="M428" s="12"/>
    </row>
    <row r="429" customFormat="false" ht="15.75" hidden="true" customHeight="true" outlineLevel="0" collapsed="false">
      <c r="B429" s="7"/>
      <c r="H429" s="14"/>
      <c r="I429" s="14"/>
      <c r="J429" s="14"/>
      <c r="K429" s="14"/>
      <c r="L429" s="14"/>
      <c r="M429" s="14"/>
    </row>
    <row r="430" customFormat="false" ht="15.75" hidden="true" customHeight="true" outlineLevel="0" collapsed="false">
      <c r="B430" s="7"/>
      <c r="H430" s="12"/>
      <c r="I430" s="12"/>
      <c r="J430" s="12"/>
      <c r="K430" s="12"/>
      <c r="L430" s="12"/>
      <c r="M430" s="12"/>
    </row>
    <row r="431" customFormat="false" ht="15.75" hidden="true" customHeight="true" outlineLevel="0" collapsed="false">
      <c r="B431" s="7"/>
      <c r="H431" s="14"/>
      <c r="I431" s="14"/>
      <c r="J431" s="14"/>
      <c r="K431" s="14"/>
      <c r="L431" s="14"/>
      <c r="M431" s="14"/>
    </row>
    <row r="432" customFormat="false" ht="15.75" hidden="true" customHeight="true" outlineLevel="0" collapsed="false">
      <c r="B432" s="7"/>
      <c r="H432" s="12"/>
      <c r="I432" s="12"/>
      <c r="J432" s="12"/>
      <c r="K432" s="12"/>
      <c r="L432" s="12"/>
      <c r="M432" s="12"/>
    </row>
    <row r="433" customFormat="false" ht="15.75" hidden="true" customHeight="true" outlineLevel="0" collapsed="false">
      <c r="B433" s="7"/>
      <c r="H433" s="14"/>
      <c r="I433" s="14"/>
      <c r="J433" s="14"/>
      <c r="K433" s="14"/>
      <c r="L433" s="14"/>
      <c r="M433" s="14"/>
    </row>
    <row r="434" customFormat="false" ht="15.75" hidden="true" customHeight="true" outlineLevel="0" collapsed="false">
      <c r="B434" s="7"/>
      <c r="H434" s="12"/>
      <c r="I434" s="12"/>
      <c r="J434" s="12"/>
      <c r="K434" s="12"/>
      <c r="L434" s="12"/>
      <c r="M434" s="12"/>
    </row>
    <row r="435" customFormat="false" ht="15.75" hidden="true" customHeight="true" outlineLevel="0" collapsed="false">
      <c r="B435" s="7"/>
      <c r="H435" s="14"/>
      <c r="I435" s="14"/>
      <c r="J435" s="14"/>
      <c r="K435" s="14"/>
      <c r="L435" s="14"/>
      <c r="M435" s="14"/>
    </row>
    <row r="436" customFormat="false" ht="15.75" hidden="true" customHeight="true" outlineLevel="0" collapsed="false">
      <c r="B436" s="7"/>
      <c r="H436" s="12"/>
      <c r="I436" s="12"/>
      <c r="J436" s="12"/>
      <c r="K436" s="12"/>
      <c r="L436" s="12"/>
      <c r="M436" s="12"/>
    </row>
    <row r="437" customFormat="false" ht="15.75" hidden="true" customHeight="true" outlineLevel="0" collapsed="false">
      <c r="B437" s="7"/>
      <c r="H437" s="14"/>
      <c r="I437" s="14"/>
      <c r="J437" s="14"/>
      <c r="K437" s="14"/>
      <c r="L437" s="14"/>
      <c r="M437" s="14"/>
    </row>
    <row r="438" customFormat="false" ht="15.75" hidden="true" customHeight="true" outlineLevel="0" collapsed="false">
      <c r="B438" s="7"/>
      <c r="H438" s="12"/>
      <c r="I438" s="12"/>
      <c r="J438" s="12"/>
      <c r="K438" s="12"/>
      <c r="L438" s="12"/>
      <c r="M438" s="12"/>
    </row>
    <row r="439" customFormat="false" ht="15.75" hidden="true" customHeight="true" outlineLevel="0" collapsed="false">
      <c r="B439" s="7"/>
      <c r="H439" s="14"/>
      <c r="I439" s="14"/>
      <c r="J439" s="14"/>
      <c r="K439" s="14"/>
      <c r="L439" s="14"/>
      <c r="M439" s="14"/>
    </row>
    <row r="440" customFormat="false" ht="15.75" hidden="true" customHeight="true" outlineLevel="0" collapsed="false">
      <c r="B440" s="7"/>
      <c r="H440" s="12"/>
      <c r="I440" s="12"/>
      <c r="J440" s="12"/>
      <c r="K440" s="12"/>
      <c r="L440" s="12"/>
      <c r="M440" s="12"/>
    </row>
    <row r="441" customFormat="false" ht="15.75" hidden="true" customHeight="true" outlineLevel="0" collapsed="false">
      <c r="B441" s="7"/>
      <c r="H441" s="14"/>
      <c r="I441" s="14"/>
      <c r="J441" s="14"/>
      <c r="K441" s="14"/>
      <c r="L441" s="14"/>
      <c r="M441" s="14"/>
    </row>
    <row r="442" customFormat="false" ht="15.75" hidden="true" customHeight="true" outlineLevel="0" collapsed="false">
      <c r="B442" s="7"/>
      <c r="H442" s="12"/>
      <c r="I442" s="12"/>
      <c r="J442" s="12"/>
      <c r="K442" s="12"/>
      <c r="L442" s="12"/>
      <c r="M442" s="12"/>
    </row>
    <row r="443" customFormat="false" ht="15.75" hidden="true" customHeight="true" outlineLevel="0" collapsed="false">
      <c r="B443" s="7"/>
      <c r="H443" s="14"/>
      <c r="I443" s="14"/>
      <c r="J443" s="14"/>
      <c r="K443" s="14"/>
      <c r="L443" s="14"/>
      <c r="M443" s="14"/>
    </row>
    <row r="444" customFormat="false" ht="15.75" hidden="true" customHeight="true" outlineLevel="0" collapsed="false">
      <c r="B444" s="7"/>
      <c r="H444" s="12"/>
      <c r="I444" s="12"/>
      <c r="J444" s="12"/>
      <c r="K444" s="12"/>
      <c r="L444" s="12"/>
      <c r="M444" s="12"/>
    </row>
    <row r="445" customFormat="false" ht="15.75" hidden="true" customHeight="true" outlineLevel="0" collapsed="false">
      <c r="B445" s="7"/>
      <c r="H445" s="14"/>
      <c r="I445" s="14"/>
      <c r="J445" s="14"/>
      <c r="K445" s="14"/>
      <c r="L445" s="14"/>
      <c r="M445" s="14"/>
    </row>
    <row r="446" customFormat="false" ht="15.75" hidden="true" customHeight="true" outlineLevel="0" collapsed="false">
      <c r="B446" s="7"/>
      <c r="H446" s="12"/>
      <c r="I446" s="12"/>
      <c r="J446" s="12"/>
      <c r="K446" s="12"/>
      <c r="L446" s="12"/>
      <c r="M446" s="12"/>
    </row>
    <row r="447" customFormat="false" ht="15.75" hidden="true" customHeight="true" outlineLevel="0" collapsed="false">
      <c r="B447" s="7"/>
      <c r="H447" s="14"/>
      <c r="I447" s="14"/>
      <c r="J447" s="14"/>
      <c r="K447" s="14"/>
      <c r="L447" s="14"/>
      <c r="M447" s="14"/>
    </row>
    <row r="448" customFormat="false" ht="15.75" hidden="true" customHeight="true" outlineLevel="0" collapsed="false">
      <c r="B448" s="7"/>
      <c r="H448" s="12"/>
      <c r="I448" s="12"/>
      <c r="J448" s="12"/>
      <c r="K448" s="12"/>
      <c r="L448" s="12"/>
      <c r="M448" s="12"/>
    </row>
    <row r="449" customFormat="false" ht="15.75" hidden="true" customHeight="true" outlineLevel="0" collapsed="false">
      <c r="B449" s="7"/>
      <c r="H449" s="14"/>
      <c r="I449" s="14"/>
      <c r="J449" s="14"/>
      <c r="K449" s="14"/>
      <c r="L449" s="14"/>
      <c r="M449" s="14"/>
    </row>
    <row r="450" customFormat="false" ht="15.75" hidden="true" customHeight="true" outlineLevel="0" collapsed="false">
      <c r="B450" s="7"/>
      <c r="H450" s="12"/>
      <c r="I450" s="12"/>
      <c r="J450" s="12"/>
      <c r="K450" s="12"/>
      <c r="L450" s="12"/>
      <c r="M450" s="12"/>
    </row>
    <row r="451" customFormat="false" ht="15.75" hidden="true" customHeight="true" outlineLevel="0" collapsed="false">
      <c r="B451" s="7"/>
      <c r="H451" s="14"/>
      <c r="I451" s="14"/>
      <c r="J451" s="14"/>
      <c r="K451" s="14"/>
      <c r="L451" s="14"/>
      <c r="M451" s="14"/>
    </row>
    <row r="452" customFormat="false" ht="15.75" hidden="true" customHeight="true" outlineLevel="0" collapsed="false">
      <c r="B452" s="7"/>
      <c r="H452" s="12"/>
      <c r="I452" s="12"/>
      <c r="J452" s="12"/>
      <c r="K452" s="12"/>
      <c r="L452" s="12"/>
      <c r="M452" s="12"/>
    </row>
    <row r="453" customFormat="false" ht="15.75" hidden="true" customHeight="true" outlineLevel="0" collapsed="false">
      <c r="B453" s="7"/>
      <c r="H453" s="14"/>
      <c r="I453" s="14"/>
      <c r="J453" s="14"/>
      <c r="K453" s="14"/>
      <c r="L453" s="14"/>
      <c r="M453" s="14"/>
    </row>
    <row r="454" customFormat="false" ht="15.75" hidden="true" customHeight="true" outlineLevel="0" collapsed="false">
      <c r="B454" s="7"/>
      <c r="H454" s="12"/>
      <c r="I454" s="12"/>
      <c r="J454" s="12"/>
      <c r="K454" s="12"/>
      <c r="L454" s="12"/>
      <c r="M454" s="12"/>
    </row>
    <row r="455" customFormat="false" ht="15.75" hidden="true" customHeight="true" outlineLevel="0" collapsed="false">
      <c r="B455" s="7"/>
      <c r="H455" s="14"/>
      <c r="I455" s="14"/>
      <c r="J455" s="14"/>
      <c r="K455" s="14"/>
      <c r="L455" s="14"/>
      <c r="M455" s="14"/>
    </row>
    <row r="456" customFormat="false" ht="15.75" hidden="true" customHeight="true" outlineLevel="0" collapsed="false">
      <c r="B456" s="7"/>
      <c r="H456" s="12"/>
      <c r="I456" s="12"/>
      <c r="J456" s="12"/>
      <c r="K456" s="12"/>
      <c r="L456" s="12"/>
      <c r="M456" s="12"/>
    </row>
    <row r="457" customFormat="false" ht="15.75" hidden="true" customHeight="true" outlineLevel="0" collapsed="false">
      <c r="B457" s="7"/>
      <c r="H457" s="14"/>
      <c r="I457" s="14"/>
      <c r="J457" s="14"/>
      <c r="K457" s="14"/>
      <c r="L457" s="14"/>
      <c r="M457" s="14"/>
    </row>
    <row r="458" customFormat="false" ht="15.75" hidden="true" customHeight="true" outlineLevel="0" collapsed="false">
      <c r="B458" s="7"/>
      <c r="H458" s="12"/>
      <c r="I458" s="12"/>
      <c r="J458" s="12"/>
      <c r="K458" s="12"/>
      <c r="L458" s="12"/>
      <c r="M458" s="12"/>
    </row>
    <row r="459" customFormat="false" ht="15.75" hidden="true" customHeight="true" outlineLevel="0" collapsed="false">
      <c r="B459" s="7"/>
      <c r="H459" s="14"/>
      <c r="I459" s="14"/>
      <c r="J459" s="14"/>
      <c r="K459" s="14"/>
      <c r="L459" s="14"/>
      <c r="M459" s="14"/>
    </row>
    <row r="460" customFormat="false" ht="15.75" hidden="true" customHeight="true" outlineLevel="0" collapsed="false">
      <c r="B460" s="7"/>
      <c r="H460" s="12"/>
      <c r="I460" s="12"/>
      <c r="J460" s="12"/>
      <c r="K460" s="12"/>
      <c r="L460" s="12"/>
      <c r="M460" s="12"/>
    </row>
    <row r="461" customFormat="false" ht="15.75" hidden="true" customHeight="true" outlineLevel="0" collapsed="false">
      <c r="B461" s="7"/>
      <c r="H461" s="14"/>
      <c r="I461" s="14"/>
      <c r="J461" s="14"/>
      <c r="K461" s="14"/>
      <c r="L461" s="14"/>
      <c r="M461" s="14"/>
    </row>
    <row r="462" customFormat="false" ht="15.75" hidden="true" customHeight="true" outlineLevel="0" collapsed="false">
      <c r="B462" s="7"/>
      <c r="H462" s="12"/>
      <c r="I462" s="12"/>
      <c r="J462" s="12"/>
      <c r="K462" s="12"/>
      <c r="L462" s="12"/>
      <c r="M462" s="12"/>
    </row>
    <row r="463" customFormat="false" ht="15.75" hidden="true" customHeight="true" outlineLevel="0" collapsed="false">
      <c r="B463" s="7"/>
      <c r="H463" s="14"/>
      <c r="I463" s="14"/>
      <c r="J463" s="14"/>
      <c r="K463" s="14"/>
      <c r="L463" s="14"/>
      <c r="M463" s="14"/>
    </row>
    <row r="464" customFormat="false" ht="15.75" hidden="true" customHeight="true" outlineLevel="0" collapsed="false">
      <c r="B464" s="7"/>
      <c r="H464" s="12"/>
      <c r="I464" s="12"/>
      <c r="J464" s="12"/>
      <c r="K464" s="12"/>
      <c r="L464" s="12"/>
      <c r="M464" s="12"/>
    </row>
    <row r="465" customFormat="false" ht="15.75" hidden="true" customHeight="true" outlineLevel="0" collapsed="false">
      <c r="B465" s="7"/>
      <c r="H465" s="14"/>
      <c r="I465" s="14"/>
      <c r="J465" s="14"/>
      <c r="K465" s="14"/>
      <c r="L465" s="14"/>
      <c r="M465" s="14"/>
    </row>
    <row r="466" customFormat="false" ht="15.75" hidden="true" customHeight="true" outlineLevel="0" collapsed="false">
      <c r="B466" s="7"/>
      <c r="H466" s="12"/>
      <c r="I466" s="12"/>
      <c r="J466" s="12"/>
      <c r="K466" s="12"/>
      <c r="L466" s="12"/>
      <c r="M466" s="12"/>
    </row>
    <row r="467" customFormat="false" ht="15.75" hidden="true" customHeight="true" outlineLevel="0" collapsed="false">
      <c r="B467" s="7"/>
      <c r="H467" s="14"/>
      <c r="I467" s="14"/>
      <c r="J467" s="14"/>
      <c r="K467" s="14"/>
      <c r="L467" s="14"/>
      <c r="M467" s="14"/>
    </row>
    <row r="468" customFormat="false" ht="15.75" hidden="true" customHeight="true" outlineLevel="0" collapsed="false">
      <c r="B468" s="7"/>
      <c r="H468" s="12"/>
      <c r="I468" s="12"/>
      <c r="J468" s="12"/>
      <c r="K468" s="12"/>
      <c r="L468" s="12"/>
      <c r="M468" s="12"/>
    </row>
    <row r="469" customFormat="false" ht="15.75" hidden="true" customHeight="true" outlineLevel="0" collapsed="false">
      <c r="B469" s="7"/>
      <c r="H469" s="14"/>
      <c r="I469" s="14"/>
      <c r="J469" s="14"/>
      <c r="K469" s="14"/>
      <c r="L469" s="14"/>
      <c r="M469" s="14"/>
    </row>
    <row r="470" customFormat="false" ht="15.75" hidden="true" customHeight="true" outlineLevel="0" collapsed="false">
      <c r="B470" s="7"/>
      <c r="H470" s="12"/>
      <c r="I470" s="12"/>
      <c r="J470" s="12"/>
      <c r="K470" s="12"/>
      <c r="L470" s="12"/>
      <c r="M470" s="12"/>
    </row>
    <row r="471" customFormat="false" ht="15.75" hidden="true" customHeight="true" outlineLevel="0" collapsed="false">
      <c r="B471" s="7"/>
      <c r="H471" s="14"/>
      <c r="I471" s="14"/>
      <c r="J471" s="14"/>
      <c r="K471" s="14"/>
      <c r="L471" s="14"/>
      <c r="M471" s="14"/>
    </row>
    <row r="472" customFormat="false" ht="15.75" hidden="true" customHeight="true" outlineLevel="0" collapsed="false">
      <c r="B472" s="7"/>
      <c r="H472" s="12"/>
      <c r="I472" s="12"/>
      <c r="J472" s="12"/>
      <c r="K472" s="12"/>
      <c r="L472" s="12"/>
      <c r="M472" s="12"/>
    </row>
    <row r="473" customFormat="false" ht="15.75" hidden="true" customHeight="true" outlineLevel="0" collapsed="false">
      <c r="B473" s="7"/>
      <c r="H473" s="14"/>
      <c r="I473" s="14"/>
      <c r="J473" s="14"/>
      <c r="K473" s="14"/>
      <c r="L473" s="14"/>
      <c r="M473" s="14"/>
    </row>
    <row r="474" customFormat="false" ht="15.75" hidden="true" customHeight="true" outlineLevel="0" collapsed="false">
      <c r="B474" s="7"/>
      <c r="H474" s="12"/>
      <c r="I474" s="12"/>
      <c r="J474" s="12"/>
      <c r="K474" s="12"/>
      <c r="L474" s="12"/>
      <c r="M474" s="12"/>
    </row>
    <row r="475" customFormat="false" ht="15.75" hidden="true" customHeight="true" outlineLevel="0" collapsed="false">
      <c r="B475" s="7"/>
      <c r="H475" s="14"/>
      <c r="I475" s="14"/>
      <c r="J475" s="14"/>
      <c r="K475" s="14"/>
      <c r="L475" s="14"/>
      <c r="M475" s="14"/>
    </row>
    <row r="476" customFormat="false" ht="15.75" hidden="true" customHeight="true" outlineLevel="0" collapsed="false">
      <c r="B476" s="7"/>
      <c r="H476" s="12"/>
      <c r="I476" s="12"/>
      <c r="J476" s="12"/>
      <c r="K476" s="12"/>
      <c r="L476" s="12"/>
      <c r="M476" s="12"/>
    </row>
    <row r="477" customFormat="false" ht="15.75" hidden="true" customHeight="true" outlineLevel="0" collapsed="false">
      <c r="B477" s="7"/>
      <c r="H477" s="14"/>
      <c r="I477" s="14"/>
      <c r="J477" s="14"/>
      <c r="K477" s="14"/>
      <c r="L477" s="14"/>
      <c r="M477" s="14"/>
    </row>
    <row r="478" customFormat="false" ht="15.75" hidden="true" customHeight="true" outlineLevel="0" collapsed="false">
      <c r="B478" s="7"/>
      <c r="H478" s="12"/>
      <c r="I478" s="12"/>
      <c r="J478" s="12"/>
      <c r="K478" s="12"/>
      <c r="L478" s="12"/>
      <c r="M478" s="12"/>
    </row>
    <row r="479" customFormat="false" ht="15.75" hidden="true" customHeight="true" outlineLevel="0" collapsed="false">
      <c r="B479" s="7"/>
      <c r="H479" s="14"/>
      <c r="I479" s="14"/>
      <c r="J479" s="14"/>
      <c r="K479" s="14"/>
      <c r="L479" s="14"/>
      <c r="M479" s="14"/>
    </row>
    <row r="480" customFormat="false" ht="15.75" hidden="true" customHeight="true" outlineLevel="0" collapsed="false">
      <c r="B480" s="7"/>
      <c r="H480" s="12"/>
      <c r="I480" s="12"/>
      <c r="J480" s="12"/>
      <c r="K480" s="12"/>
      <c r="L480" s="12"/>
      <c r="M480" s="12"/>
    </row>
    <row r="481" customFormat="false" ht="15.75" hidden="true" customHeight="true" outlineLevel="0" collapsed="false">
      <c r="B481" s="7"/>
      <c r="H481" s="14"/>
      <c r="I481" s="14"/>
      <c r="J481" s="14"/>
      <c r="K481" s="14"/>
      <c r="L481" s="14"/>
      <c r="M481" s="14"/>
    </row>
    <row r="482" customFormat="false" ht="15.75" hidden="true" customHeight="true" outlineLevel="0" collapsed="false">
      <c r="B482" s="7"/>
      <c r="H482" s="12"/>
      <c r="I482" s="12"/>
      <c r="J482" s="12"/>
      <c r="K482" s="12"/>
      <c r="L482" s="12"/>
      <c r="M482" s="12"/>
    </row>
    <row r="483" customFormat="false" ht="15.75" hidden="true" customHeight="true" outlineLevel="0" collapsed="false">
      <c r="B483" s="7"/>
      <c r="H483" s="14"/>
      <c r="I483" s="14"/>
      <c r="J483" s="14"/>
      <c r="K483" s="14"/>
      <c r="L483" s="14"/>
      <c r="M483" s="14"/>
    </row>
    <row r="484" customFormat="false" ht="15.75" hidden="true" customHeight="true" outlineLevel="0" collapsed="false">
      <c r="B484" s="7"/>
      <c r="H484" s="12"/>
      <c r="I484" s="12"/>
      <c r="J484" s="12"/>
      <c r="K484" s="12"/>
      <c r="L484" s="12"/>
      <c r="M484" s="12"/>
    </row>
    <row r="485" customFormat="false" ht="15.75" hidden="true" customHeight="true" outlineLevel="0" collapsed="false">
      <c r="B485" s="7"/>
      <c r="H485" s="14"/>
      <c r="I485" s="14"/>
      <c r="J485" s="14"/>
      <c r="K485" s="14"/>
      <c r="L485" s="14"/>
      <c r="M485" s="14"/>
    </row>
    <row r="486" customFormat="false" ht="15.75" hidden="true" customHeight="true" outlineLevel="0" collapsed="false">
      <c r="B486" s="7"/>
      <c r="H486" s="12"/>
      <c r="I486" s="12"/>
      <c r="J486" s="12"/>
      <c r="K486" s="12"/>
      <c r="L486" s="12"/>
      <c r="M486" s="12"/>
    </row>
    <row r="487" customFormat="false" ht="15.75" hidden="true" customHeight="true" outlineLevel="0" collapsed="false">
      <c r="B487" s="7"/>
      <c r="H487" s="14"/>
      <c r="I487" s="14"/>
      <c r="J487" s="14"/>
      <c r="K487" s="14"/>
      <c r="L487" s="14"/>
      <c r="M487" s="14"/>
    </row>
    <row r="488" customFormat="false" ht="15.75" hidden="true" customHeight="true" outlineLevel="0" collapsed="false">
      <c r="B488" s="7"/>
      <c r="H488" s="12"/>
      <c r="I488" s="12"/>
      <c r="J488" s="12"/>
      <c r="K488" s="12"/>
      <c r="L488" s="12"/>
      <c r="M488" s="12"/>
    </row>
    <row r="489" customFormat="false" ht="15.75" hidden="true" customHeight="true" outlineLevel="0" collapsed="false">
      <c r="B489" s="7"/>
      <c r="H489" s="14"/>
      <c r="I489" s="14"/>
      <c r="J489" s="14"/>
      <c r="K489" s="14"/>
      <c r="L489" s="14"/>
      <c r="M489" s="14"/>
    </row>
    <row r="490" customFormat="false" ht="15.75" hidden="true" customHeight="true" outlineLevel="0" collapsed="false">
      <c r="B490" s="7"/>
      <c r="H490" s="12"/>
      <c r="I490" s="12"/>
      <c r="J490" s="12"/>
      <c r="K490" s="12"/>
      <c r="L490" s="12"/>
      <c r="M490" s="12"/>
    </row>
    <row r="491" customFormat="false" ht="15.75" hidden="true" customHeight="true" outlineLevel="0" collapsed="false">
      <c r="B491" s="7"/>
      <c r="H491" s="14"/>
      <c r="I491" s="14"/>
      <c r="J491" s="14"/>
      <c r="K491" s="14"/>
      <c r="L491" s="14"/>
      <c r="M491" s="14"/>
    </row>
    <row r="492" customFormat="false" ht="15.75" hidden="true" customHeight="true" outlineLevel="0" collapsed="false">
      <c r="B492" s="7"/>
      <c r="H492" s="12"/>
      <c r="I492" s="12"/>
      <c r="J492" s="12"/>
      <c r="K492" s="12"/>
      <c r="L492" s="12"/>
      <c r="M492" s="12"/>
    </row>
    <row r="493" customFormat="false" ht="15.75" hidden="true" customHeight="true" outlineLevel="0" collapsed="false">
      <c r="B493" s="7"/>
      <c r="H493" s="14"/>
      <c r="I493" s="14"/>
      <c r="J493" s="14"/>
      <c r="K493" s="14"/>
      <c r="L493" s="14"/>
      <c r="M493" s="14"/>
    </row>
    <row r="494" customFormat="false" ht="15.75" hidden="true" customHeight="true" outlineLevel="0" collapsed="false">
      <c r="B494" s="7"/>
      <c r="H494" s="12"/>
      <c r="I494" s="12"/>
      <c r="J494" s="12"/>
      <c r="K494" s="12"/>
      <c r="L494" s="12"/>
      <c r="M494" s="12"/>
    </row>
    <row r="495" customFormat="false" ht="15.75" hidden="true" customHeight="true" outlineLevel="0" collapsed="false">
      <c r="B495" s="7"/>
      <c r="H495" s="14"/>
      <c r="I495" s="14"/>
      <c r="J495" s="14"/>
      <c r="K495" s="14"/>
      <c r="L495" s="14"/>
      <c r="M495" s="14"/>
    </row>
    <row r="496" customFormat="false" ht="15.75" hidden="true" customHeight="true" outlineLevel="0" collapsed="false">
      <c r="B496" s="7"/>
      <c r="H496" s="12"/>
      <c r="I496" s="12"/>
      <c r="J496" s="12"/>
      <c r="K496" s="12"/>
      <c r="L496" s="12"/>
      <c r="M496" s="12"/>
    </row>
    <row r="497" customFormat="false" ht="15.75" hidden="true" customHeight="true" outlineLevel="0" collapsed="false">
      <c r="B497" s="7"/>
      <c r="H497" s="14"/>
      <c r="I497" s="14"/>
      <c r="J497" s="14"/>
      <c r="K497" s="14"/>
      <c r="L497" s="14"/>
      <c r="M497" s="14"/>
    </row>
    <row r="498" customFormat="false" ht="15.75" hidden="true" customHeight="true" outlineLevel="0" collapsed="false">
      <c r="B498" s="7"/>
      <c r="H498" s="12"/>
      <c r="I498" s="12"/>
      <c r="J498" s="12"/>
      <c r="K498" s="12"/>
      <c r="L498" s="12"/>
      <c r="M498" s="12"/>
    </row>
    <row r="499" customFormat="false" ht="15.75" hidden="true" customHeight="true" outlineLevel="0" collapsed="false">
      <c r="B499" s="7"/>
      <c r="H499" s="14"/>
      <c r="I499" s="14"/>
      <c r="J499" s="14"/>
      <c r="K499" s="14"/>
      <c r="L499" s="14"/>
      <c r="M499" s="14"/>
    </row>
    <row r="500" customFormat="false" ht="15.75" hidden="true" customHeight="true" outlineLevel="0" collapsed="false">
      <c r="B500" s="7"/>
      <c r="H500" s="12"/>
      <c r="I500" s="12"/>
      <c r="J500" s="12"/>
      <c r="K500" s="12"/>
      <c r="L500" s="12"/>
      <c r="M500" s="12"/>
    </row>
    <row r="501" customFormat="false" ht="15.75" hidden="true" customHeight="true" outlineLevel="0" collapsed="false">
      <c r="B501" s="7"/>
      <c r="H501" s="14"/>
      <c r="I501" s="14"/>
      <c r="J501" s="14"/>
      <c r="K501" s="14"/>
      <c r="L501" s="14"/>
      <c r="M501" s="14"/>
    </row>
    <row r="502" customFormat="false" ht="15.75" hidden="true" customHeight="true" outlineLevel="0" collapsed="false">
      <c r="B502" s="7"/>
      <c r="H502" s="12"/>
      <c r="I502" s="12"/>
      <c r="J502" s="12"/>
      <c r="K502" s="12"/>
      <c r="L502" s="12"/>
      <c r="M502" s="12"/>
    </row>
    <row r="503" customFormat="false" ht="15.75" hidden="true" customHeight="true" outlineLevel="0" collapsed="false">
      <c r="B503" s="7"/>
      <c r="H503" s="14"/>
      <c r="I503" s="14"/>
      <c r="J503" s="14"/>
      <c r="K503" s="14"/>
      <c r="L503" s="14"/>
      <c r="M503" s="14"/>
    </row>
    <row r="504" customFormat="false" ht="15.75" hidden="true" customHeight="true" outlineLevel="0" collapsed="false">
      <c r="B504" s="7"/>
      <c r="H504" s="12"/>
      <c r="I504" s="12"/>
      <c r="J504" s="12"/>
      <c r="K504" s="12"/>
      <c r="L504" s="12"/>
      <c r="M504" s="12"/>
    </row>
    <row r="505" customFormat="false" ht="15.75" hidden="true" customHeight="true" outlineLevel="0" collapsed="false">
      <c r="B505" s="7"/>
      <c r="H505" s="14"/>
      <c r="I505" s="14"/>
      <c r="J505" s="14"/>
      <c r="K505" s="14"/>
      <c r="L505" s="14"/>
      <c r="M505" s="14"/>
    </row>
    <row r="506" customFormat="false" ht="15.75" hidden="true" customHeight="true" outlineLevel="0" collapsed="false">
      <c r="B506" s="7"/>
      <c r="H506" s="12"/>
      <c r="I506" s="12"/>
      <c r="J506" s="12"/>
      <c r="K506" s="12"/>
      <c r="L506" s="12"/>
      <c r="M506" s="12"/>
    </row>
    <row r="507" customFormat="false" ht="15.75" hidden="true" customHeight="true" outlineLevel="0" collapsed="false">
      <c r="B507" s="7"/>
      <c r="H507" s="14"/>
      <c r="I507" s="14"/>
      <c r="J507" s="14"/>
      <c r="K507" s="14"/>
      <c r="L507" s="14"/>
      <c r="M507" s="14"/>
    </row>
    <row r="508" customFormat="false" ht="15.75" hidden="true" customHeight="true" outlineLevel="0" collapsed="false">
      <c r="B508" s="7"/>
      <c r="H508" s="12"/>
      <c r="I508" s="12"/>
      <c r="J508" s="12"/>
      <c r="K508" s="12"/>
      <c r="L508" s="12"/>
      <c r="M508" s="12"/>
    </row>
    <row r="509" customFormat="false" ht="15.75" hidden="true" customHeight="true" outlineLevel="0" collapsed="false">
      <c r="B509" s="7"/>
      <c r="H509" s="14"/>
      <c r="I509" s="14"/>
      <c r="J509" s="14"/>
      <c r="K509" s="14"/>
      <c r="L509" s="14"/>
      <c r="M509" s="14"/>
    </row>
    <row r="510" customFormat="false" ht="15.75" hidden="true" customHeight="true" outlineLevel="0" collapsed="false">
      <c r="B510" s="7"/>
      <c r="H510" s="12"/>
      <c r="I510" s="12"/>
      <c r="J510" s="12"/>
      <c r="K510" s="12"/>
      <c r="L510" s="12"/>
      <c r="M510" s="12"/>
    </row>
    <row r="511" customFormat="false" ht="15.75" hidden="true" customHeight="true" outlineLevel="0" collapsed="false">
      <c r="B511" s="7"/>
      <c r="H511" s="14"/>
      <c r="I511" s="14"/>
      <c r="J511" s="14"/>
      <c r="K511" s="14"/>
      <c r="L511" s="14"/>
      <c r="M511" s="14"/>
    </row>
    <row r="512" customFormat="false" ht="15.75" hidden="true" customHeight="true" outlineLevel="0" collapsed="false">
      <c r="B512" s="7"/>
      <c r="H512" s="12"/>
      <c r="I512" s="12"/>
      <c r="J512" s="12"/>
      <c r="K512" s="12"/>
      <c r="L512" s="12"/>
      <c r="M512" s="12"/>
    </row>
    <row r="513" customFormat="false" ht="15.75" hidden="true" customHeight="true" outlineLevel="0" collapsed="false">
      <c r="B513" s="7"/>
      <c r="H513" s="14"/>
      <c r="I513" s="14"/>
      <c r="J513" s="14"/>
      <c r="K513" s="14"/>
      <c r="L513" s="14"/>
      <c r="M513" s="14"/>
    </row>
    <row r="514" customFormat="false" ht="15.75" hidden="true" customHeight="true" outlineLevel="0" collapsed="false">
      <c r="B514" s="7"/>
      <c r="H514" s="12"/>
      <c r="I514" s="12"/>
      <c r="J514" s="12"/>
      <c r="K514" s="12"/>
      <c r="L514" s="12"/>
      <c r="M514" s="12"/>
    </row>
    <row r="515" customFormat="false" ht="15.75" hidden="true" customHeight="true" outlineLevel="0" collapsed="false">
      <c r="B515" s="7"/>
      <c r="H515" s="14"/>
      <c r="I515" s="14"/>
      <c r="J515" s="14"/>
      <c r="K515" s="14"/>
      <c r="L515" s="14"/>
      <c r="M515" s="14"/>
    </row>
    <row r="516" customFormat="false" ht="15.75" hidden="true" customHeight="true" outlineLevel="0" collapsed="false">
      <c r="B516" s="7"/>
      <c r="H516" s="12"/>
      <c r="I516" s="12"/>
      <c r="J516" s="12"/>
      <c r="K516" s="12"/>
      <c r="L516" s="12"/>
      <c r="M516" s="12"/>
    </row>
    <row r="517" customFormat="false" ht="15.75" hidden="true" customHeight="true" outlineLevel="0" collapsed="false">
      <c r="B517" s="7"/>
      <c r="H517" s="14"/>
      <c r="I517" s="14"/>
      <c r="J517" s="14"/>
      <c r="K517" s="14"/>
      <c r="L517" s="14"/>
      <c r="M517" s="14"/>
    </row>
    <row r="518" customFormat="false" ht="15.75" hidden="true" customHeight="true" outlineLevel="0" collapsed="false">
      <c r="B518" s="7"/>
      <c r="H518" s="12"/>
      <c r="I518" s="12"/>
      <c r="J518" s="12"/>
      <c r="K518" s="12"/>
      <c r="L518" s="12"/>
      <c r="M518" s="12"/>
    </row>
    <row r="519" customFormat="false" ht="15.75" hidden="true" customHeight="true" outlineLevel="0" collapsed="false">
      <c r="B519" s="7"/>
      <c r="H519" s="14"/>
      <c r="I519" s="14"/>
      <c r="J519" s="14"/>
      <c r="K519" s="14"/>
      <c r="L519" s="14"/>
      <c r="M519" s="14"/>
    </row>
    <row r="520" customFormat="false" ht="15.75" hidden="true" customHeight="true" outlineLevel="0" collapsed="false">
      <c r="B520" s="7"/>
      <c r="H520" s="12"/>
      <c r="I520" s="12"/>
      <c r="J520" s="12"/>
      <c r="K520" s="12"/>
      <c r="L520" s="12"/>
      <c r="M520" s="12"/>
    </row>
    <row r="521" customFormat="false" ht="15.75" hidden="true" customHeight="true" outlineLevel="0" collapsed="false">
      <c r="B521" s="7"/>
      <c r="H521" s="14"/>
      <c r="I521" s="14"/>
      <c r="J521" s="14"/>
      <c r="K521" s="14"/>
      <c r="L521" s="14"/>
      <c r="M521" s="14"/>
    </row>
    <row r="522" customFormat="false" ht="15.75" hidden="true" customHeight="true" outlineLevel="0" collapsed="false">
      <c r="B522" s="7"/>
      <c r="H522" s="12"/>
      <c r="I522" s="12"/>
      <c r="J522" s="12"/>
      <c r="K522" s="12"/>
      <c r="L522" s="12"/>
      <c r="M522" s="12"/>
    </row>
    <row r="523" customFormat="false" ht="15.75" hidden="true" customHeight="true" outlineLevel="0" collapsed="false">
      <c r="B523" s="7"/>
      <c r="H523" s="14"/>
      <c r="I523" s="14"/>
      <c r="J523" s="14"/>
      <c r="K523" s="14"/>
      <c r="L523" s="14"/>
      <c r="M523" s="14"/>
    </row>
    <row r="524" customFormat="false" ht="15.75" hidden="true" customHeight="true" outlineLevel="0" collapsed="false">
      <c r="B524" s="7"/>
      <c r="H524" s="12"/>
      <c r="I524" s="12"/>
      <c r="J524" s="12"/>
      <c r="K524" s="12"/>
      <c r="L524" s="12"/>
      <c r="M524" s="12"/>
    </row>
    <row r="525" customFormat="false" ht="15.75" hidden="true" customHeight="true" outlineLevel="0" collapsed="false">
      <c r="B525" s="7"/>
      <c r="H525" s="14"/>
      <c r="I525" s="14"/>
      <c r="J525" s="14"/>
      <c r="K525" s="14"/>
      <c r="L525" s="14"/>
      <c r="M525" s="14"/>
    </row>
    <row r="526" customFormat="false" ht="15.75" hidden="true" customHeight="true" outlineLevel="0" collapsed="false">
      <c r="B526" s="7"/>
      <c r="H526" s="12"/>
      <c r="I526" s="12"/>
      <c r="J526" s="12"/>
      <c r="K526" s="12"/>
      <c r="L526" s="12"/>
      <c r="M526" s="12"/>
    </row>
    <row r="527" customFormat="false" ht="15.75" hidden="true" customHeight="true" outlineLevel="0" collapsed="false">
      <c r="B527" s="7"/>
      <c r="H527" s="14"/>
      <c r="I527" s="14"/>
      <c r="J527" s="14"/>
      <c r="K527" s="14"/>
      <c r="L527" s="14"/>
      <c r="M527" s="14"/>
    </row>
    <row r="528" customFormat="false" ht="15.75" hidden="true" customHeight="true" outlineLevel="0" collapsed="false">
      <c r="B528" s="7"/>
      <c r="H528" s="12"/>
      <c r="I528" s="12"/>
      <c r="J528" s="12"/>
      <c r="K528" s="12"/>
      <c r="L528" s="12"/>
      <c r="M528" s="12"/>
    </row>
    <row r="529" customFormat="false" ht="15.75" hidden="true" customHeight="true" outlineLevel="0" collapsed="false">
      <c r="B529" s="7"/>
      <c r="H529" s="14"/>
      <c r="I529" s="14"/>
      <c r="J529" s="14"/>
      <c r="K529" s="14"/>
      <c r="L529" s="14"/>
      <c r="M529" s="14"/>
    </row>
    <row r="530" customFormat="false" ht="15.75" hidden="true" customHeight="true" outlineLevel="0" collapsed="false">
      <c r="B530" s="7"/>
      <c r="H530" s="12"/>
      <c r="I530" s="12"/>
      <c r="J530" s="12"/>
      <c r="K530" s="12"/>
      <c r="L530" s="12"/>
      <c r="M530" s="12"/>
    </row>
    <row r="531" customFormat="false" ht="15.75" hidden="true" customHeight="true" outlineLevel="0" collapsed="false">
      <c r="B531" s="7"/>
      <c r="H531" s="14"/>
      <c r="I531" s="14"/>
      <c r="J531" s="14"/>
      <c r="K531" s="14"/>
      <c r="L531" s="14"/>
      <c r="M531" s="14"/>
    </row>
    <row r="532" customFormat="false" ht="15.75" hidden="true" customHeight="true" outlineLevel="0" collapsed="false">
      <c r="B532" s="7"/>
      <c r="H532" s="12"/>
      <c r="I532" s="12"/>
      <c r="J532" s="12"/>
      <c r="K532" s="12"/>
      <c r="L532" s="12"/>
      <c r="M532" s="12"/>
    </row>
    <row r="533" customFormat="false" ht="15.75" hidden="true" customHeight="true" outlineLevel="0" collapsed="false">
      <c r="B533" s="7"/>
      <c r="H533" s="14"/>
      <c r="I533" s="14"/>
      <c r="J533" s="14"/>
      <c r="K533" s="14"/>
      <c r="L533" s="14"/>
      <c r="M533" s="14"/>
    </row>
    <row r="534" customFormat="false" ht="15.75" hidden="true" customHeight="true" outlineLevel="0" collapsed="false">
      <c r="B534" s="7"/>
      <c r="H534" s="12"/>
      <c r="I534" s="12"/>
      <c r="J534" s="12"/>
      <c r="K534" s="12"/>
      <c r="L534" s="12"/>
      <c r="M534" s="12"/>
    </row>
    <row r="535" customFormat="false" ht="15.75" hidden="true" customHeight="true" outlineLevel="0" collapsed="false">
      <c r="B535" s="7"/>
      <c r="H535" s="14"/>
      <c r="I535" s="14"/>
      <c r="J535" s="14"/>
      <c r="K535" s="14"/>
      <c r="L535" s="14"/>
      <c r="M535" s="14"/>
    </row>
    <row r="536" customFormat="false" ht="15.75" hidden="true" customHeight="true" outlineLevel="0" collapsed="false">
      <c r="B536" s="7"/>
      <c r="H536" s="12"/>
      <c r="I536" s="12"/>
      <c r="J536" s="12"/>
      <c r="K536" s="12"/>
      <c r="L536" s="12"/>
      <c r="M536" s="12"/>
    </row>
    <row r="537" customFormat="false" ht="15.75" hidden="true" customHeight="true" outlineLevel="0" collapsed="false">
      <c r="B537" s="7"/>
      <c r="H537" s="14"/>
      <c r="I537" s="14"/>
      <c r="J537" s="14"/>
      <c r="K537" s="14"/>
      <c r="L537" s="14"/>
      <c r="M537" s="14"/>
    </row>
    <row r="538" customFormat="false" ht="15.75" hidden="true" customHeight="true" outlineLevel="0" collapsed="false">
      <c r="B538" s="7"/>
      <c r="H538" s="12"/>
      <c r="I538" s="12"/>
      <c r="J538" s="12"/>
      <c r="K538" s="12"/>
      <c r="L538" s="12"/>
      <c r="M538" s="12"/>
    </row>
    <row r="539" customFormat="false" ht="15.75" hidden="true" customHeight="true" outlineLevel="0" collapsed="false">
      <c r="B539" s="7"/>
      <c r="H539" s="14"/>
      <c r="I539" s="14"/>
      <c r="J539" s="14"/>
      <c r="K539" s="14"/>
      <c r="L539" s="14"/>
      <c r="M539" s="14"/>
    </row>
    <row r="540" customFormat="false" ht="15.75" hidden="true" customHeight="true" outlineLevel="0" collapsed="false">
      <c r="B540" s="7"/>
      <c r="H540" s="12"/>
      <c r="I540" s="12"/>
      <c r="J540" s="12"/>
      <c r="K540" s="12"/>
      <c r="L540" s="12"/>
      <c r="M540" s="12"/>
    </row>
    <row r="541" customFormat="false" ht="15.75" hidden="true" customHeight="true" outlineLevel="0" collapsed="false">
      <c r="B541" s="7"/>
      <c r="H541" s="14"/>
      <c r="I541" s="14"/>
      <c r="J541" s="14"/>
      <c r="K541" s="14"/>
      <c r="L541" s="14"/>
      <c r="M541" s="14"/>
    </row>
    <row r="542" customFormat="false" ht="15.75" hidden="true" customHeight="true" outlineLevel="0" collapsed="false">
      <c r="B542" s="7"/>
      <c r="H542" s="12"/>
      <c r="I542" s="12"/>
      <c r="J542" s="12"/>
      <c r="K542" s="12"/>
      <c r="L542" s="12"/>
      <c r="M542" s="12"/>
    </row>
    <row r="543" customFormat="false" ht="15.75" hidden="true" customHeight="true" outlineLevel="0" collapsed="false">
      <c r="B543" s="7"/>
      <c r="H543" s="14"/>
      <c r="I543" s="14"/>
      <c r="J543" s="14"/>
      <c r="K543" s="14"/>
      <c r="L543" s="14"/>
      <c r="M543" s="14"/>
    </row>
    <row r="544" customFormat="false" ht="15.75" hidden="true" customHeight="true" outlineLevel="0" collapsed="false">
      <c r="B544" s="7"/>
      <c r="H544" s="12"/>
      <c r="I544" s="12"/>
      <c r="J544" s="12"/>
      <c r="K544" s="12"/>
      <c r="L544" s="12"/>
      <c r="M544" s="12"/>
    </row>
    <row r="545" customFormat="false" ht="15.75" hidden="true" customHeight="true" outlineLevel="0" collapsed="false">
      <c r="B545" s="7"/>
      <c r="H545" s="14"/>
      <c r="I545" s="14"/>
      <c r="J545" s="14"/>
      <c r="K545" s="14"/>
      <c r="L545" s="14"/>
      <c r="M545" s="14"/>
    </row>
    <row r="546" customFormat="false" ht="15.75" hidden="true" customHeight="true" outlineLevel="0" collapsed="false">
      <c r="B546" s="7"/>
      <c r="H546" s="12"/>
      <c r="I546" s="12"/>
      <c r="J546" s="12"/>
      <c r="K546" s="12"/>
      <c r="L546" s="12"/>
      <c r="M546" s="12"/>
    </row>
    <row r="547" customFormat="false" ht="15.75" hidden="true" customHeight="true" outlineLevel="0" collapsed="false">
      <c r="B547" s="7"/>
      <c r="H547" s="14"/>
      <c r="I547" s="14"/>
      <c r="J547" s="14"/>
      <c r="K547" s="14"/>
      <c r="L547" s="14"/>
      <c r="M547" s="14"/>
    </row>
    <row r="548" customFormat="false" ht="15.75" hidden="true" customHeight="true" outlineLevel="0" collapsed="false">
      <c r="B548" s="7"/>
      <c r="H548" s="12"/>
      <c r="I548" s="12"/>
      <c r="J548" s="12"/>
      <c r="K548" s="12"/>
      <c r="L548" s="12"/>
      <c r="M548" s="12"/>
    </row>
    <row r="549" customFormat="false" ht="15.75" hidden="true" customHeight="true" outlineLevel="0" collapsed="false">
      <c r="B549" s="7"/>
      <c r="H549" s="14"/>
      <c r="I549" s="14"/>
      <c r="J549" s="14"/>
      <c r="K549" s="14"/>
      <c r="L549" s="14"/>
      <c r="M549" s="14"/>
    </row>
    <row r="550" customFormat="false" ht="15.75" hidden="true" customHeight="true" outlineLevel="0" collapsed="false">
      <c r="B550" s="7"/>
      <c r="H550" s="12"/>
      <c r="I550" s="12"/>
      <c r="J550" s="12"/>
      <c r="K550" s="12"/>
      <c r="L550" s="12"/>
      <c r="M550" s="12"/>
    </row>
    <row r="551" customFormat="false" ht="15.75" hidden="true" customHeight="true" outlineLevel="0" collapsed="false">
      <c r="B551" s="7"/>
      <c r="H551" s="14"/>
      <c r="I551" s="14"/>
      <c r="J551" s="14"/>
      <c r="K551" s="14"/>
      <c r="L551" s="14"/>
      <c r="M551" s="14"/>
    </row>
    <row r="552" customFormat="false" ht="15.75" hidden="true" customHeight="true" outlineLevel="0" collapsed="false">
      <c r="B552" s="7"/>
      <c r="H552" s="12"/>
      <c r="I552" s="12"/>
      <c r="J552" s="12"/>
      <c r="K552" s="12"/>
      <c r="L552" s="12"/>
      <c r="M552" s="12"/>
    </row>
    <row r="553" customFormat="false" ht="15.75" hidden="true" customHeight="true" outlineLevel="0" collapsed="false">
      <c r="B553" s="7"/>
      <c r="H553" s="14"/>
      <c r="I553" s="14"/>
      <c r="J553" s="14"/>
      <c r="K553" s="14"/>
      <c r="L553" s="14"/>
      <c r="M553" s="14"/>
    </row>
    <row r="554" customFormat="false" ht="15.75" hidden="true" customHeight="true" outlineLevel="0" collapsed="false">
      <c r="B554" s="7"/>
      <c r="H554" s="12"/>
      <c r="I554" s="12"/>
      <c r="J554" s="12"/>
      <c r="K554" s="12"/>
      <c r="L554" s="12"/>
      <c r="M554" s="12"/>
    </row>
    <row r="555" customFormat="false" ht="15.75" hidden="true" customHeight="true" outlineLevel="0" collapsed="false">
      <c r="B555" s="7"/>
      <c r="H555" s="14"/>
      <c r="I555" s="14"/>
      <c r="J555" s="14"/>
      <c r="K555" s="14"/>
      <c r="L555" s="14"/>
      <c r="M555" s="14"/>
    </row>
    <row r="556" customFormat="false" ht="15.75" hidden="true" customHeight="true" outlineLevel="0" collapsed="false">
      <c r="B556" s="7"/>
      <c r="H556" s="12"/>
      <c r="I556" s="12"/>
      <c r="J556" s="12"/>
      <c r="K556" s="12"/>
      <c r="L556" s="12"/>
      <c r="M556" s="12"/>
    </row>
    <row r="557" customFormat="false" ht="15.75" hidden="true" customHeight="true" outlineLevel="0" collapsed="false">
      <c r="B557" s="7"/>
      <c r="H557" s="14"/>
      <c r="I557" s="14"/>
      <c r="J557" s="14"/>
      <c r="K557" s="14"/>
      <c r="L557" s="14"/>
      <c r="M557" s="14"/>
    </row>
    <row r="558" customFormat="false" ht="15.75" hidden="true" customHeight="true" outlineLevel="0" collapsed="false">
      <c r="B558" s="7"/>
      <c r="H558" s="12"/>
      <c r="I558" s="12"/>
      <c r="J558" s="12"/>
      <c r="K558" s="12"/>
      <c r="L558" s="12"/>
      <c r="M558" s="12"/>
    </row>
    <row r="559" customFormat="false" ht="15.75" hidden="true" customHeight="true" outlineLevel="0" collapsed="false">
      <c r="B559" s="7"/>
      <c r="H559" s="14"/>
      <c r="I559" s="14"/>
      <c r="J559" s="14"/>
      <c r="K559" s="14"/>
      <c r="L559" s="14"/>
      <c r="M559" s="14"/>
    </row>
    <row r="560" customFormat="false" ht="15.75" hidden="true" customHeight="true" outlineLevel="0" collapsed="false">
      <c r="B560" s="7"/>
      <c r="H560" s="12"/>
      <c r="I560" s="12"/>
      <c r="J560" s="12"/>
      <c r="K560" s="12"/>
      <c r="L560" s="12"/>
      <c r="M560" s="12"/>
    </row>
    <row r="561" customFormat="false" ht="15.75" hidden="true" customHeight="true" outlineLevel="0" collapsed="false">
      <c r="B561" s="7"/>
      <c r="H561" s="14"/>
      <c r="I561" s="14"/>
      <c r="J561" s="14"/>
      <c r="K561" s="14"/>
      <c r="L561" s="14"/>
      <c r="M561" s="14"/>
    </row>
    <row r="562" customFormat="false" ht="15.75" hidden="true" customHeight="true" outlineLevel="0" collapsed="false">
      <c r="B562" s="7"/>
      <c r="H562" s="12"/>
      <c r="I562" s="12"/>
      <c r="J562" s="12"/>
      <c r="K562" s="12"/>
      <c r="L562" s="12"/>
      <c r="M562" s="12"/>
    </row>
    <row r="563" customFormat="false" ht="15.75" hidden="true" customHeight="true" outlineLevel="0" collapsed="false">
      <c r="B563" s="7"/>
      <c r="H563" s="14"/>
      <c r="I563" s="14"/>
      <c r="J563" s="14"/>
      <c r="K563" s="14"/>
      <c r="L563" s="14"/>
      <c r="M563" s="14"/>
    </row>
    <row r="564" customFormat="false" ht="15.75" hidden="true" customHeight="true" outlineLevel="0" collapsed="false">
      <c r="B564" s="7"/>
      <c r="H564" s="12"/>
      <c r="I564" s="12"/>
      <c r="J564" s="12"/>
      <c r="K564" s="12"/>
      <c r="L564" s="12"/>
      <c r="M564" s="12"/>
    </row>
    <row r="565" customFormat="false" ht="15.75" hidden="true" customHeight="true" outlineLevel="0" collapsed="false">
      <c r="B565" s="7"/>
      <c r="H565" s="14"/>
      <c r="I565" s="14"/>
      <c r="J565" s="14"/>
      <c r="K565" s="14"/>
      <c r="L565" s="14"/>
      <c r="M565" s="14"/>
    </row>
    <row r="566" customFormat="false" ht="15.75" hidden="true" customHeight="true" outlineLevel="0" collapsed="false">
      <c r="B566" s="7"/>
      <c r="H566" s="12"/>
      <c r="I566" s="12"/>
      <c r="J566" s="12"/>
      <c r="K566" s="12"/>
      <c r="L566" s="12"/>
      <c r="M566" s="12"/>
    </row>
    <row r="567" customFormat="false" ht="15.75" hidden="true" customHeight="true" outlineLevel="0" collapsed="false">
      <c r="B567" s="7"/>
      <c r="H567" s="14"/>
      <c r="I567" s="14"/>
      <c r="J567" s="14"/>
      <c r="K567" s="14"/>
      <c r="L567" s="14"/>
      <c r="M567" s="14"/>
    </row>
    <row r="568" customFormat="false" ht="15.75" hidden="true" customHeight="true" outlineLevel="0" collapsed="false">
      <c r="B568" s="7"/>
      <c r="H568" s="12"/>
      <c r="I568" s="12"/>
      <c r="J568" s="12"/>
      <c r="K568" s="12"/>
      <c r="L568" s="12"/>
      <c r="M568" s="12"/>
    </row>
    <row r="569" customFormat="false" ht="15.75" hidden="true" customHeight="true" outlineLevel="0" collapsed="false">
      <c r="B569" s="7"/>
      <c r="H569" s="14"/>
      <c r="I569" s="14"/>
      <c r="J569" s="14"/>
      <c r="K569" s="14"/>
      <c r="L569" s="14"/>
      <c r="M569" s="14"/>
    </row>
    <row r="570" customFormat="false" ht="15.75" hidden="true" customHeight="true" outlineLevel="0" collapsed="false">
      <c r="B570" s="7"/>
      <c r="H570" s="12"/>
      <c r="I570" s="12"/>
      <c r="J570" s="12"/>
      <c r="K570" s="12"/>
      <c r="L570" s="12"/>
      <c r="M570" s="12"/>
    </row>
    <row r="571" customFormat="false" ht="15.75" hidden="true" customHeight="true" outlineLevel="0" collapsed="false">
      <c r="B571" s="7"/>
      <c r="H571" s="14"/>
      <c r="I571" s="14"/>
      <c r="J571" s="14"/>
      <c r="K571" s="14"/>
      <c r="L571" s="14"/>
      <c r="M571" s="14"/>
    </row>
    <row r="572" customFormat="false" ht="15.75" hidden="true" customHeight="true" outlineLevel="0" collapsed="false">
      <c r="B572" s="7"/>
      <c r="H572" s="12"/>
      <c r="I572" s="12"/>
      <c r="J572" s="12"/>
      <c r="K572" s="12"/>
      <c r="L572" s="12"/>
      <c r="M572" s="12"/>
    </row>
    <row r="573" customFormat="false" ht="15.75" hidden="true" customHeight="true" outlineLevel="0" collapsed="false">
      <c r="B573" s="7"/>
      <c r="H573" s="14"/>
      <c r="I573" s="14"/>
      <c r="J573" s="14"/>
      <c r="K573" s="14"/>
      <c r="L573" s="14"/>
      <c r="M573" s="14"/>
    </row>
    <row r="574" customFormat="false" ht="15.75" hidden="true" customHeight="true" outlineLevel="0" collapsed="false">
      <c r="B574" s="7"/>
      <c r="H574" s="12"/>
      <c r="I574" s="12"/>
      <c r="J574" s="12"/>
      <c r="K574" s="12"/>
      <c r="L574" s="12"/>
      <c r="M574" s="12"/>
    </row>
    <row r="575" customFormat="false" ht="15.75" hidden="true" customHeight="true" outlineLevel="0" collapsed="false">
      <c r="B575" s="7"/>
      <c r="H575" s="14"/>
      <c r="I575" s="14"/>
      <c r="J575" s="14"/>
      <c r="K575" s="14"/>
      <c r="L575" s="14"/>
      <c r="M575" s="14"/>
    </row>
    <row r="576" customFormat="false" ht="15.75" hidden="true" customHeight="true" outlineLevel="0" collapsed="false">
      <c r="B576" s="7"/>
      <c r="H576" s="12"/>
      <c r="I576" s="12"/>
      <c r="J576" s="12"/>
      <c r="K576" s="12"/>
      <c r="L576" s="12"/>
      <c r="M576" s="12"/>
    </row>
    <row r="577" customFormat="false" ht="15.75" hidden="true" customHeight="true" outlineLevel="0" collapsed="false">
      <c r="B577" s="7"/>
      <c r="H577" s="14"/>
      <c r="I577" s="14"/>
      <c r="J577" s="14"/>
      <c r="K577" s="14"/>
      <c r="L577" s="14"/>
      <c r="M577" s="14"/>
    </row>
    <row r="578" customFormat="false" ht="15.75" hidden="true" customHeight="true" outlineLevel="0" collapsed="false">
      <c r="B578" s="7"/>
      <c r="H578" s="12"/>
      <c r="I578" s="12"/>
      <c r="J578" s="12"/>
      <c r="K578" s="12"/>
      <c r="L578" s="12"/>
      <c r="M578" s="12"/>
    </row>
    <row r="579" customFormat="false" ht="15.75" hidden="true" customHeight="true" outlineLevel="0" collapsed="false">
      <c r="B579" s="7"/>
      <c r="H579" s="14"/>
      <c r="I579" s="14"/>
      <c r="J579" s="14"/>
      <c r="K579" s="14"/>
      <c r="L579" s="14"/>
      <c r="M579" s="14"/>
    </row>
    <row r="580" customFormat="false" ht="15.75" hidden="true" customHeight="true" outlineLevel="0" collapsed="false">
      <c r="B580" s="7"/>
      <c r="H580" s="12"/>
      <c r="I580" s="12"/>
      <c r="J580" s="12"/>
      <c r="K580" s="12"/>
      <c r="L580" s="12"/>
      <c r="M580" s="12"/>
    </row>
    <row r="581" customFormat="false" ht="15.75" hidden="true" customHeight="true" outlineLevel="0" collapsed="false">
      <c r="B581" s="7"/>
      <c r="H581" s="14"/>
      <c r="I581" s="14"/>
      <c r="J581" s="14"/>
      <c r="K581" s="14"/>
      <c r="L581" s="14"/>
      <c r="M581" s="14"/>
    </row>
    <row r="582" customFormat="false" ht="15.75" hidden="true" customHeight="true" outlineLevel="0" collapsed="false">
      <c r="B582" s="7"/>
      <c r="H582" s="12"/>
      <c r="I582" s="12"/>
      <c r="J582" s="12"/>
      <c r="K582" s="12"/>
      <c r="L582" s="12"/>
      <c r="M582" s="12"/>
    </row>
    <row r="583" customFormat="false" ht="15.75" hidden="true" customHeight="true" outlineLevel="0" collapsed="false">
      <c r="B583" s="7"/>
      <c r="H583" s="14"/>
      <c r="I583" s="14"/>
      <c r="J583" s="14"/>
      <c r="K583" s="14"/>
      <c r="L583" s="14"/>
      <c r="M583" s="14"/>
    </row>
    <row r="584" customFormat="false" ht="15.75" hidden="true" customHeight="true" outlineLevel="0" collapsed="false">
      <c r="B584" s="7"/>
      <c r="H584" s="12"/>
      <c r="I584" s="12"/>
      <c r="J584" s="12"/>
      <c r="K584" s="12"/>
      <c r="L584" s="12"/>
      <c r="M584" s="12"/>
    </row>
    <row r="585" customFormat="false" ht="15.75" hidden="true" customHeight="true" outlineLevel="0" collapsed="false">
      <c r="B585" s="7"/>
      <c r="H585" s="14"/>
      <c r="I585" s="14"/>
      <c r="J585" s="14"/>
      <c r="K585" s="14"/>
      <c r="L585" s="14"/>
      <c r="M585" s="14"/>
    </row>
    <row r="586" customFormat="false" ht="15.75" hidden="true" customHeight="true" outlineLevel="0" collapsed="false">
      <c r="B586" s="7"/>
      <c r="H586" s="12"/>
      <c r="I586" s="12"/>
      <c r="J586" s="12"/>
      <c r="K586" s="12"/>
      <c r="L586" s="12"/>
      <c r="M586" s="12"/>
    </row>
    <row r="587" customFormat="false" ht="15.75" hidden="true" customHeight="true" outlineLevel="0" collapsed="false">
      <c r="B587" s="7"/>
      <c r="H587" s="14"/>
      <c r="I587" s="14"/>
      <c r="J587" s="14"/>
      <c r="K587" s="14"/>
      <c r="L587" s="14"/>
      <c r="M587" s="14"/>
    </row>
    <row r="588" customFormat="false" ht="15.75" hidden="true" customHeight="true" outlineLevel="0" collapsed="false">
      <c r="B588" s="7"/>
      <c r="H588" s="12"/>
      <c r="I588" s="12"/>
      <c r="J588" s="12"/>
      <c r="K588" s="12"/>
      <c r="L588" s="12"/>
      <c r="M588" s="12"/>
    </row>
    <row r="589" customFormat="false" ht="15.75" hidden="true" customHeight="true" outlineLevel="0" collapsed="false">
      <c r="B589" s="7"/>
      <c r="H589" s="14"/>
      <c r="I589" s="14"/>
      <c r="J589" s="14"/>
      <c r="K589" s="14"/>
      <c r="L589" s="14"/>
      <c r="M589" s="14"/>
    </row>
    <row r="590" customFormat="false" ht="15.75" hidden="true" customHeight="true" outlineLevel="0" collapsed="false">
      <c r="B590" s="7"/>
      <c r="H590" s="12"/>
      <c r="I590" s="12"/>
      <c r="J590" s="12"/>
      <c r="K590" s="12"/>
      <c r="L590" s="12"/>
      <c r="M590" s="12"/>
    </row>
    <row r="591" customFormat="false" ht="15.75" hidden="true" customHeight="true" outlineLevel="0" collapsed="false">
      <c r="B591" s="7"/>
      <c r="H591" s="14"/>
      <c r="I591" s="14"/>
      <c r="J591" s="14"/>
      <c r="K591" s="14"/>
      <c r="L591" s="14"/>
      <c r="M591" s="14"/>
    </row>
    <row r="592" customFormat="false" ht="15.75" hidden="true" customHeight="true" outlineLevel="0" collapsed="false">
      <c r="B592" s="7"/>
      <c r="H592" s="12"/>
      <c r="I592" s="12"/>
      <c r="J592" s="12"/>
      <c r="K592" s="12"/>
      <c r="L592" s="12"/>
      <c r="M592" s="12"/>
    </row>
    <row r="593" customFormat="false" ht="15.75" hidden="true" customHeight="true" outlineLevel="0" collapsed="false">
      <c r="B593" s="7"/>
      <c r="H593" s="14"/>
      <c r="I593" s="14"/>
      <c r="J593" s="14"/>
      <c r="K593" s="14"/>
      <c r="L593" s="14"/>
      <c r="M593" s="14"/>
    </row>
    <row r="594" customFormat="false" ht="15.75" hidden="true" customHeight="true" outlineLevel="0" collapsed="false">
      <c r="B594" s="7"/>
      <c r="H594" s="12"/>
      <c r="I594" s="12"/>
      <c r="J594" s="12"/>
      <c r="K594" s="12"/>
      <c r="L594" s="12"/>
      <c r="M594" s="12"/>
    </row>
    <row r="595" customFormat="false" ht="15.75" hidden="true" customHeight="true" outlineLevel="0" collapsed="false">
      <c r="B595" s="7"/>
      <c r="H595" s="14"/>
      <c r="I595" s="14"/>
      <c r="J595" s="14"/>
      <c r="K595" s="14"/>
      <c r="L595" s="14"/>
      <c r="M595" s="14"/>
    </row>
    <row r="596" customFormat="false" ht="15.75" hidden="true" customHeight="true" outlineLevel="0" collapsed="false">
      <c r="B596" s="7"/>
      <c r="H596" s="12"/>
      <c r="I596" s="12"/>
      <c r="J596" s="12"/>
      <c r="K596" s="12"/>
      <c r="L596" s="12"/>
      <c r="M596" s="12"/>
    </row>
    <row r="597" customFormat="false" ht="15.75" hidden="true" customHeight="true" outlineLevel="0" collapsed="false">
      <c r="B597" s="7"/>
      <c r="H597" s="14"/>
      <c r="I597" s="14"/>
      <c r="J597" s="14"/>
      <c r="K597" s="14"/>
      <c r="L597" s="14"/>
      <c r="M597" s="14"/>
    </row>
    <row r="598" customFormat="false" ht="15.75" hidden="true" customHeight="true" outlineLevel="0" collapsed="false">
      <c r="B598" s="7"/>
      <c r="H598" s="12"/>
      <c r="I598" s="12"/>
      <c r="J598" s="12"/>
      <c r="K598" s="12"/>
      <c r="L598" s="12"/>
      <c r="M598" s="12"/>
    </row>
    <row r="599" customFormat="false" ht="15.75" hidden="true" customHeight="true" outlineLevel="0" collapsed="false">
      <c r="B599" s="7"/>
      <c r="H599" s="14"/>
      <c r="I599" s="14"/>
      <c r="J599" s="14"/>
      <c r="K599" s="14"/>
      <c r="L599" s="14"/>
      <c r="M599" s="14"/>
    </row>
    <row r="600" customFormat="false" ht="15.75" hidden="true" customHeight="true" outlineLevel="0" collapsed="false">
      <c r="B600" s="7"/>
      <c r="H600" s="12"/>
      <c r="I600" s="12"/>
      <c r="J600" s="12"/>
      <c r="K600" s="12"/>
      <c r="L600" s="12"/>
      <c r="M600" s="12"/>
    </row>
    <row r="601" customFormat="false" ht="15.75" hidden="true" customHeight="true" outlineLevel="0" collapsed="false">
      <c r="B601" s="7"/>
      <c r="H601" s="14"/>
      <c r="I601" s="14"/>
      <c r="J601" s="14"/>
      <c r="K601" s="14"/>
      <c r="L601" s="14"/>
      <c r="M601" s="14"/>
    </row>
    <row r="602" customFormat="false" ht="15.75" hidden="true" customHeight="true" outlineLevel="0" collapsed="false">
      <c r="B602" s="7"/>
      <c r="H602" s="12"/>
      <c r="I602" s="12"/>
      <c r="J602" s="12"/>
      <c r="K602" s="12"/>
      <c r="L602" s="12"/>
      <c r="M602" s="12"/>
    </row>
    <row r="603" customFormat="false" ht="15.75" hidden="true" customHeight="true" outlineLevel="0" collapsed="false">
      <c r="B603" s="7"/>
      <c r="H603" s="14"/>
      <c r="I603" s="14"/>
      <c r="J603" s="14"/>
      <c r="K603" s="14"/>
      <c r="L603" s="14"/>
      <c r="M603" s="14"/>
    </row>
    <row r="604" customFormat="false" ht="15.75" hidden="true" customHeight="true" outlineLevel="0" collapsed="false">
      <c r="B604" s="7"/>
      <c r="H604" s="12"/>
      <c r="I604" s="12"/>
      <c r="J604" s="12"/>
      <c r="K604" s="12"/>
      <c r="L604" s="12"/>
      <c r="M604" s="12"/>
    </row>
    <row r="605" customFormat="false" ht="15.75" hidden="true" customHeight="true" outlineLevel="0" collapsed="false">
      <c r="B605" s="7"/>
      <c r="H605" s="14"/>
      <c r="I605" s="14"/>
      <c r="J605" s="14"/>
      <c r="K605" s="14"/>
      <c r="L605" s="14"/>
      <c r="M605" s="14"/>
    </row>
    <row r="606" customFormat="false" ht="15.75" hidden="true" customHeight="true" outlineLevel="0" collapsed="false">
      <c r="B606" s="7"/>
      <c r="H606" s="12"/>
      <c r="I606" s="12"/>
      <c r="J606" s="12"/>
      <c r="K606" s="12"/>
      <c r="L606" s="12"/>
      <c r="M606" s="12"/>
    </row>
    <row r="607" customFormat="false" ht="15.75" hidden="true" customHeight="true" outlineLevel="0" collapsed="false">
      <c r="B607" s="7"/>
      <c r="H607" s="14"/>
      <c r="I607" s="14"/>
      <c r="J607" s="14"/>
      <c r="K607" s="14"/>
      <c r="L607" s="14"/>
      <c r="M607" s="14"/>
    </row>
    <row r="608" customFormat="false" ht="15.75" hidden="true" customHeight="true" outlineLevel="0" collapsed="false">
      <c r="B608" s="7"/>
      <c r="H608" s="12"/>
      <c r="I608" s="12"/>
      <c r="J608" s="12"/>
      <c r="K608" s="12"/>
      <c r="L608" s="12"/>
      <c r="M608" s="12"/>
    </row>
    <row r="609" customFormat="false" ht="15.75" hidden="true" customHeight="true" outlineLevel="0" collapsed="false">
      <c r="B609" s="7"/>
      <c r="H609" s="14"/>
      <c r="I609" s="14"/>
      <c r="J609" s="14"/>
      <c r="K609" s="14"/>
      <c r="L609" s="14"/>
      <c r="M609" s="14"/>
    </row>
    <row r="610" customFormat="false" ht="15.75" hidden="true" customHeight="true" outlineLevel="0" collapsed="false">
      <c r="B610" s="7"/>
      <c r="H610" s="12"/>
      <c r="I610" s="12"/>
      <c r="J610" s="12"/>
      <c r="K610" s="12"/>
      <c r="L610" s="12"/>
      <c r="M610" s="12"/>
    </row>
    <row r="611" customFormat="false" ht="15.75" hidden="true" customHeight="true" outlineLevel="0" collapsed="false">
      <c r="B611" s="7"/>
      <c r="H611" s="14"/>
      <c r="I611" s="14"/>
      <c r="J611" s="14"/>
      <c r="K611" s="14"/>
      <c r="L611" s="14"/>
      <c r="M611" s="14"/>
    </row>
    <row r="612" customFormat="false" ht="15.75" hidden="true" customHeight="true" outlineLevel="0" collapsed="false">
      <c r="B612" s="7"/>
      <c r="H612" s="12"/>
      <c r="I612" s="12"/>
      <c r="J612" s="12"/>
      <c r="K612" s="12"/>
      <c r="L612" s="12"/>
      <c r="M612" s="12"/>
    </row>
    <row r="613" customFormat="false" ht="15.75" hidden="true" customHeight="true" outlineLevel="0" collapsed="false">
      <c r="B613" s="7"/>
      <c r="H613" s="14"/>
      <c r="I613" s="14"/>
      <c r="J613" s="14"/>
      <c r="K613" s="14"/>
      <c r="L613" s="14"/>
      <c r="M613" s="14"/>
    </row>
    <row r="614" customFormat="false" ht="15.75" hidden="true" customHeight="true" outlineLevel="0" collapsed="false">
      <c r="B614" s="7"/>
      <c r="H614" s="12"/>
      <c r="I614" s="12"/>
      <c r="J614" s="12"/>
      <c r="K614" s="12"/>
      <c r="L614" s="12"/>
      <c r="M614" s="12"/>
    </row>
    <row r="615" customFormat="false" ht="15.75" hidden="true" customHeight="true" outlineLevel="0" collapsed="false">
      <c r="B615" s="7"/>
      <c r="H615" s="14"/>
      <c r="I615" s="14"/>
      <c r="J615" s="14"/>
      <c r="K615" s="14"/>
      <c r="L615" s="14"/>
      <c r="M615" s="14"/>
    </row>
    <row r="616" customFormat="false" ht="15.75" hidden="true" customHeight="true" outlineLevel="0" collapsed="false">
      <c r="B616" s="7"/>
      <c r="H616" s="12"/>
      <c r="I616" s="12"/>
      <c r="J616" s="12"/>
      <c r="K616" s="12"/>
      <c r="L616" s="12"/>
      <c r="M616" s="12"/>
    </row>
    <row r="617" customFormat="false" ht="15.75" hidden="true" customHeight="true" outlineLevel="0" collapsed="false">
      <c r="B617" s="7"/>
      <c r="H617" s="14"/>
      <c r="I617" s="14"/>
      <c r="J617" s="14"/>
      <c r="K617" s="14"/>
      <c r="L617" s="14"/>
      <c r="M617" s="14"/>
    </row>
    <row r="618" customFormat="false" ht="15.75" hidden="true" customHeight="true" outlineLevel="0" collapsed="false">
      <c r="B618" s="7"/>
      <c r="H618" s="12"/>
      <c r="I618" s="12"/>
      <c r="J618" s="12"/>
      <c r="K618" s="12"/>
      <c r="L618" s="12"/>
      <c r="M618" s="12"/>
    </row>
    <row r="619" customFormat="false" ht="15.75" hidden="true" customHeight="true" outlineLevel="0" collapsed="false">
      <c r="B619" s="7"/>
      <c r="H619" s="14"/>
      <c r="I619" s="14"/>
      <c r="J619" s="14"/>
      <c r="K619" s="14"/>
      <c r="L619" s="14"/>
      <c r="M619" s="14"/>
    </row>
    <row r="620" customFormat="false" ht="15.75" hidden="true" customHeight="true" outlineLevel="0" collapsed="false">
      <c r="B620" s="7"/>
      <c r="H620" s="12"/>
      <c r="I620" s="12"/>
      <c r="J620" s="12"/>
      <c r="K620" s="12"/>
      <c r="L620" s="12"/>
      <c r="M620" s="12"/>
    </row>
    <row r="621" customFormat="false" ht="15.75" hidden="true" customHeight="true" outlineLevel="0" collapsed="false">
      <c r="B621" s="7"/>
      <c r="H621" s="14"/>
      <c r="I621" s="14"/>
      <c r="J621" s="14"/>
      <c r="K621" s="14"/>
      <c r="L621" s="14"/>
      <c r="M621" s="14"/>
    </row>
    <row r="622" customFormat="false" ht="15.75" hidden="true" customHeight="true" outlineLevel="0" collapsed="false">
      <c r="B622" s="7"/>
      <c r="H622" s="12"/>
      <c r="I622" s="12"/>
      <c r="J622" s="12"/>
      <c r="K622" s="12"/>
      <c r="L622" s="12"/>
      <c r="M622" s="12"/>
    </row>
    <row r="623" customFormat="false" ht="15.75" hidden="true" customHeight="true" outlineLevel="0" collapsed="false">
      <c r="B623" s="7"/>
      <c r="H623" s="14"/>
      <c r="I623" s="14"/>
      <c r="J623" s="14"/>
      <c r="K623" s="14"/>
      <c r="L623" s="14"/>
      <c r="M623" s="14"/>
    </row>
    <row r="624" customFormat="false" ht="15.75" hidden="true" customHeight="true" outlineLevel="0" collapsed="false">
      <c r="B624" s="7"/>
      <c r="H624" s="12"/>
      <c r="I624" s="12"/>
      <c r="J624" s="12"/>
      <c r="K624" s="12"/>
      <c r="L624" s="12"/>
      <c r="M624" s="12"/>
    </row>
    <row r="625" customFormat="false" ht="15.75" hidden="true" customHeight="true" outlineLevel="0" collapsed="false">
      <c r="B625" s="7"/>
      <c r="H625" s="14"/>
      <c r="I625" s="14"/>
      <c r="J625" s="14"/>
      <c r="K625" s="14"/>
      <c r="L625" s="14"/>
      <c r="M625" s="14"/>
    </row>
    <row r="626" customFormat="false" ht="15.75" hidden="true" customHeight="true" outlineLevel="0" collapsed="false">
      <c r="B626" s="7"/>
      <c r="H626" s="12"/>
      <c r="I626" s="12"/>
      <c r="J626" s="12"/>
      <c r="K626" s="12"/>
      <c r="L626" s="12"/>
      <c r="M626" s="12"/>
    </row>
    <row r="627" customFormat="false" ht="15.75" hidden="true" customHeight="true" outlineLevel="0" collapsed="false">
      <c r="B627" s="7"/>
      <c r="H627" s="14"/>
      <c r="I627" s="14"/>
      <c r="J627" s="14"/>
      <c r="K627" s="14"/>
      <c r="L627" s="14"/>
      <c r="M627" s="14"/>
    </row>
    <row r="628" customFormat="false" ht="15.75" hidden="true" customHeight="true" outlineLevel="0" collapsed="false">
      <c r="B628" s="7"/>
      <c r="H628" s="12"/>
      <c r="I628" s="12"/>
      <c r="J628" s="12"/>
      <c r="K628" s="12"/>
      <c r="L628" s="12"/>
      <c r="M628" s="12"/>
    </row>
    <row r="629" customFormat="false" ht="15.75" hidden="true" customHeight="true" outlineLevel="0" collapsed="false">
      <c r="B629" s="7"/>
      <c r="H629" s="14"/>
      <c r="I629" s="14"/>
      <c r="J629" s="14"/>
      <c r="K629" s="14"/>
      <c r="L629" s="14"/>
      <c r="M629" s="14"/>
    </row>
    <row r="630" customFormat="false" ht="15.75" hidden="true" customHeight="true" outlineLevel="0" collapsed="false">
      <c r="B630" s="7"/>
      <c r="H630" s="12"/>
      <c r="I630" s="12"/>
      <c r="J630" s="12"/>
      <c r="K630" s="12"/>
      <c r="L630" s="12"/>
      <c r="M630" s="12"/>
    </row>
    <row r="631" customFormat="false" ht="15.75" hidden="true" customHeight="true" outlineLevel="0" collapsed="false">
      <c r="B631" s="7"/>
      <c r="H631" s="14"/>
      <c r="I631" s="14"/>
      <c r="J631" s="14"/>
      <c r="K631" s="14"/>
      <c r="L631" s="14"/>
      <c r="M631" s="14"/>
    </row>
    <row r="632" customFormat="false" ht="15.75" hidden="true" customHeight="true" outlineLevel="0" collapsed="false">
      <c r="B632" s="7"/>
      <c r="H632" s="12"/>
      <c r="I632" s="12"/>
      <c r="J632" s="12"/>
      <c r="K632" s="12"/>
      <c r="L632" s="12"/>
      <c r="M632" s="12"/>
    </row>
    <row r="633" customFormat="false" ht="15.75" hidden="true" customHeight="true" outlineLevel="0" collapsed="false">
      <c r="B633" s="7"/>
      <c r="H633" s="14"/>
      <c r="I633" s="14"/>
      <c r="J633" s="14"/>
      <c r="K633" s="14"/>
      <c r="L633" s="14"/>
      <c r="M633" s="14"/>
    </row>
    <row r="634" customFormat="false" ht="15.75" hidden="true" customHeight="true" outlineLevel="0" collapsed="false">
      <c r="B634" s="7"/>
      <c r="H634" s="12"/>
      <c r="I634" s="12"/>
      <c r="J634" s="12"/>
      <c r="K634" s="12"/>
      <c r="L634" s="12"/>
      <c r="M634" s="12"/>
    </row>
    <row r="635" customFormat="false" ht="15.75" hidden="true" customHeight="true" outlineLevel="0" collapsed="false">
      <c r="B635" s="7"/>
      <c r="H635" s="14"/>
      <c r="I635" s="14"/>
      <c r="J635" s="14"/>
      <c r="K635" s="14"/>
      <c r="L635" s="14"/>
      <c r="M635" s="14"/>
    </row>
    <row r="636" customFormat="false" ht="15.75" hidden="true" customHeight="true" outlineLevel="0" collapsed="false">
      <c r="B636" s="7"/>
      <c r="H636" s="12"/>
      <c r="I636" s="12"/>
      <c r="J636" s="12"/>
      <c r="K636" s="12"/>
      <c r="L636" s="12"/>
      <c r="M636" s="12"/>
    </row>
    <row r="637" customFormat="false" ht="15.75" hidden="true" customHeight="true" outlineLevel="0" collapsed="false">
      <c r="B637" s="7"/>
      <c r="H637" s="14"/>
      <c r="I637" s="14"/>
      <c r="J637" s="14"/>
      <c r="K637" s="14"/>
      <c r="L637" s="14"/>
      <c r="M637" s="14"/>
    </row>
    <row r="638" customFormat="false" ht="15.75" hidden="true" customHeight="true" outlineLevel="0" collapsed="false">
      <c r="B638" s="7"/>
      <c r="H638" s="12"/>
      <c r="I638" s="12"/>
      <c r="J638" s="12"/>
      <c r="K638" s="12"/>
      <c r="L638" s="12"/>
      <c r="M638" s="12"/>
    </row>
    <row r="639" customFormat="false" ht="15.75" hidden="true" customHeight="true" outlineLevel="0" collapsed="false">
      <c r="B639" s="7"/>
      <c r="H639" s="14"/>
      <c r="I639" s="14"/>
      <c r="J639" s="14"/>
      <c r="K639" s="14"/>
      <c r="L639" s="14"/>
      <c r="M639" s="14"/>
    </row>
    <row r="640" customFormat="false" ht="15.75" hidden="true" customHeight="true" outlineLevel="0" collapsed="false">
      <c r="B640" s="7"/>
      <c r="H640" s="12"/>
      <c r="I640" s="12"/>
      <c r="J640" s="12"/>
      <c r="K640" s="12"/>
      <c r="L640" s="12"/>
      <c r="M640" s="12"/>
    </row>
    <row r="641" customFormat="false" ht="15.75" hidden="true" customHeight="true" outlineLevel="0" collapsed="false">
      <c r="B641" s="7"/>
      <c r="H641" s="14"/>
      <c r="I641" s="14"/>
      <c r="J641" s="14"/>
      <c r="K641" s="14"/>
      <c r="L641" s="14"/>
      <c r="M641" s="14"/>
    </row>
    <row r="642" customFormat="false" ht="15.75" hidden="true" customHeight="true" outlineLevel="0" collapsed="false">
      <c r="B642" s="7"/>
      <c r="H642" s="12"/>
      <c r="I642" s="12"/>
      <c r="J642" s="12"/>
      <c r="K642" s="12"/>
      <c r="L642" s="12"/>
      <c r="M642" s="12"/>
    </row>
    <row r="643" customFormat="false" ht="15.75" hidden="true" customHeight="true" outlineLevel="0" collapsed="false">
      <c r="B643" s="7"/>
      <c r="H643" s="14"/>
      <c r="I643" s="14"/>
      <c r="J643" s="14"/>
      <c r="K643" s="14"/>
      <c r="L643" s="14"/>
      <c r="M643" s="14"/>
    </row>
    <row r="644" customFormat="false" ht="15.75" hidden="true" customHeight="true" outlineLevel="0" collapsed="false">
      <c r="B644" s="7"/>
      <c r="H644" s="12"/>
      <c r="I644" s="12"/>
      <c r="J644" s="12"/>
      <c r="K644" s="12"/>
      <c r="L644" s="12"/>
      <c r="M644" s="12"/>
    </row>
    <row r="645" customFormat="false" ht="15.75" hidden="true" customHeight="true" outlineLevel="0" collapsed="false">
      <c r="B645" s="7"/>
      <c r="H645" s="14"/>
      <c r="I645" s="14"/>
      <c r="J645" s="14"/>
      <c r="K645" s="14"/>
      <c r="L645" s="14"/>
      <c r="M645" s="14"/>
    </row>
    <row r="646" customFormat="false" ht="15.75" hidden="true" customHeight="true" outlineLevel="0" collapsed="false">
      <c r="B646" s="7"/>
      <c r="H646" s="12"/>
      <c r="I646" s="12"/>
      <c r="J646" s="12"/>
      <c r="K646" s="12"/>
      <c r="L646" s="12"/>
      <c r="M646" s="12"/>
    </row>
    <row r="647" customFormat="false" ht="15.75" hidden="true" customHeight="true" outlineLevel="0" collapsed="false">
      <c r="B647" s="7"/>
      <c r="H647" s="14"/>
      <c r="I647" s="14"/>
      <c r="J647" s="14"/>
      <c r="K647" s="14"/>
      <c r="L647" s="14"/>
      <c r="M647" s="14"/>
    </row>
    <row r="648" customFormat="false" ht="15.75" hidden="true" customHeight="true" outlineLevel="0" collapsed="false">
      <c r="B648" s="7"/>
      <c r="H648" s="12"/>
      <c r="I648" s="12"/>
      <c r="J648" s="12"/>
      <c r="K648" s="12"/>
      <c r="L648" s="12"/>
      <c r="M648" s="12"/>
    </row>
    <row r="649" customFormat="false" ht="15.75" hidden="true" customHeight="true" outlineLevel="0" collapsed="false">
      <c r="B649" s="7"/>
      <c r="H649" s="14"/>
      <c r="I649" s="14"/>
      <c r="J649" s="14"/>
      <c r="K649" s="14"/>
      <c r="L649" s="14"/>
      <c r="M649" s="14"/>
    </row>
    <row r="650" customFormat="false" ht="15.75" hidden="true" customHeight="true" outlineLevel="0" collapsed="false">
      <c r="B650" s="7"/>
      <c r="H650" s="12"/>
      <c r="I650" s="12"/>
      <c r="J650" s="12"/>
      <c r="K650" s="12"/>
      <c r="L650" s="12"/>
      <c r="M650" s="12"/>
    </row>
    <row r="651" customFormat="false" ht="15.75" hidden="true" customHeight="true" outlineLevel="0" collapsed="false">
      <c r="B651" s="7"/>
      <c r="H651" s="14"/>
      <c r="I651" s="14"/>
      <c r="J651" s="14"/>
      <c r="K651" s="14"/>
      <c r="L651" s="14"/>
      <c r="M651" s="14"/>
    </row>
    <row r="652" customFormat="false" ht="15.75" hidden="true" customHeight="true" outlineLevel="0" collapsed="false">
      <c r="B652" s="7"/>
      <c r="H652" s="12"/>
      <c r="I652" s="12"/>
      <c r="J652" s="12"/>
      <c r="K652" s="12"/>
      <c r="L652" s="12"/>
      <c r="M652" s="12"/>
    </row>
    <row r="653" customFormat="false" ht="15.75" hidden="true" customHeight="true" outlineLevel="0" collapsed="false">
      <c r="B653" s="7"/>
      <c r="H653" s="14"/>
      <c r="I653" s="14"/>
      <c r="J653" s="14"/>
      <c r="K653" s="14"/>
      <c r="L653" s="14"/>
      <c r="M653" s="14"/>
    </row>
    <row r="654" customFormat="false" ht="15.75" hidden="true" customHeight="true" outlineLevel="0" collapsed="false">
      <c r="B654" s="7"/>
      <c r="H654" s="12"/>
      <c r="I654" s="12"/>
      <c r="J654" s="12"/>
      <c r="K654" s="12"/>
      <c r="L654" s="12"/>
      <c r="M654" s="12"/>
    </row>
    <row r="655" customFormat="false" ht="15.75" hidden="true" customHeight="true" outlineLevel="0" collapsed="false">
      <c r="B655" s="7"/>
      <c r="H655" s="14"/>
      <c r="I655" s="14"/>
      <c r="J655" s="14"/>
      <c r="K655" s="14"/>
      <c r="L655" s="14"/>
      <c r="M655" s="14"/>
    </row>
    <row r="656" customFormat="false" ht="15.75" hidden="true" customHeight="true" outlineLevel="0" collapsed="false">
      <c r="B656" s="7"/>
      <c r="H656" s="12"/>
      <c r="I656" s="12"/>
      <c r="J656" s="12"/>
      <c r="K656" s="12"/>
      <c r="L656" s="12"/>
      <c r="M656" s="12"/>
    </row>
    <row r="657" customFormat="false" ht="15.75" hidden="true" customHeight="true" outlineLevel="0" collapsed="false">
      <c r="B657" s="7"/>
      <c r="H657" s="14"/>
      <c r="I657" s="14"/>
      <c r="J657" s="14"/>
      <c r="K657" s="14"/>
      <c r="L657" s="14"/>
      <c r="M657" s="14"/>
    </row>
    <row r="658" customFormat="false" ht="15.75" hidden="true" customHeight="true" outlineLevel="0" collapsed="false">
      <c r="B658" s="7"/>
      <c r="H658" s="12"/>
      <c r="I658" s="12"/>
      <c r="J658" s="12"/>
      <c r="K658" s="12"/>
      <c r="L658" s="12"/>
      <c r="M658" s="12"/>
    </row>
    <row r="659" customFormat="false" ht="15.75" hidden="true" customHeight="true" outlineLevel="0" collapsed="false">
      <c r="B659" s="7"/>
      <c r="H659" s="14"/>
      <c r="I659" s="14"/>
      <c r="J659" s="14"/>
      <c r="K659" s="14"/>
      <c r="L659" s="14"/>
      <c r="M659" s="14"/>
    </row>
    <row r="660" customFormat="false" ht="15.75" hidden="true" customHeight="true" outlineLevel="0" collapsed="false">
      <c r="B660" s="7"/>
      <c r="H660" s="12"/>
      <c r="I660" s="12"/>
      <c r="J660" s="12"/>
      <c r="K660" s="12"/>
      <c r="L660" s="12"/>
      <c r="M660" s="12"/>
    </row>
    <row r="661" customFormat="false" ht="15.75" hidden="true" customHeight="true" outlineLevel="0" collapsed="false">
      <c r="B661" s="7"/>
      <c r="H661" s="14"/>
      <c r="I661" s="14"/>
      <c r="J661" s="14"/>
      <c r="K661" s="14"/>
      <c r="L661" s="14"/>
      <c r="M661" s="14"/>
    </row>
    <row r="662" customFormat="false" ht="15.75" hidden="true" customHeight="true" outlineLevel="0" collapsed="false">
      <c r="B662" s="7"/>
      <c r="H662" s="12"/>
      <c r="I662" s="12"/>
      <c r="J662" s="12"/>
      <c r="K662" s="12"/>
      <c r="L662" s="12"/>
      <c r="M662" s="12"/>
    </row>
    <row r="663" customFormat="false" ht="15.75" hidden="true" customHeight="true" outlineLevel="0" collapsed="false">
      <c r="B663" s="7"/>
      <c r="H663" s="14"/>
      <c r="I663" s="14"/>
      <c r="J663" s="14"/>
      <c r="K663" s="14"/>
      <c r="L663" s="14"/>
      <c r="M663" s="14"/>
    </row>
    <row r="664" customFormat="false" ht="15.75" hidden="true" customHeight="true" outlineLevel="0" collapsed="false">
      <c r="B664" s="7"/>
      <c r="H664" s="12"/>
      <c r="I664" s="12"/>
      <c r="J664" s="12"/>
      <c r="K664" s="12"/>
      <c r="L664" s="12"/>
      <c r="M664" s="12"/>
    </row>
    <row r="665" customFormat="false" ht="15.75" hidden="true" customHeight="true" outlineLevel="0" collapsed="false">
      <c r="B665" s="7"/>
      <c r="H665" s="14"/>
      <c r="I665" s="14"/>
      <c r="J665" s="14"/>
      <c r="K665" s="14"/>
      <c r="L665" s="14"/>
      <c r="M665" s="14"/>
    </row>
    <row r="666" customFormat="false" ht="15.75" hidden="true" customHeight="true" outlineLevel="0" collapsed="false">
      <c r="B666" s="7"/>
      <c r="H666" s="12"/>
      <c r="I666" s="12"/>
      <c r="J666" s="12"/>
      <c r="K666" s="12"/>
      <c r="L666" s="12"/>
      <c r="M666" s="12"/>
    </row>
    <row r="667" customFormat="false" ht="15.75" hidden="true" customHeight="true" outlineLevel="0" collapsed="false">
      <c r="B667" s="7"/>
      <c r="H667" s="14"/>
      <c r="I667" s="14"/>
      <c r="J667" s="14"/>
      <c r="K667" s="14"/>
      <c r="L667" s="14"/>
      <c r="M667" s="14"/>
    </row>
    <row r="668" customFormat="false" ht="15.75" hidden="true" customHeight="true" outlineLevel="0" collapsed="false">
      <c r="B668" s="7"/>
      <c r="H668" s="12"/>
      <c r="I668" s="12"/>
      <c r="J668" s="12"/>
      <c r="K668" s="12"/>
      <c r="L668" s="12"/>
      <c r="M668" s="12"/>
    </row>
    <row r="669" customFormat="false" ht="15.75" hidden="true" customHeight="true" outlineLevel="0" collapsed="false">
      <c r="B669" s="7"/>
      <c r="H669" s="14"/>
      <c r="I669" s="14"/>
      <c r="J669" s="14"/>
      <c r="K669" s="14"/>
      <c r="L669" s="14"/>
      <c r="M669" s="14"/>
    </row>
    <row r="670" customFormat="false" ht="15.75" hidden="true" customHeight="true" outlineLevel="0" collapsed="false">
      <c r="B670" s="7"/>
      <c r="H670" s="12"/>
      <c r="I670" s="12"/>
      <c r="J670" s="12"/>
      <c r="K670" s="12"/>
      <c r="L670" s="12"/>
      <c r="M670" s="12"/>
    </row>
    <row r="671" customFormat="false" ht="15.75" hidden="true" customHeight="true" outlineLevel="0" collapsed="false">
      <c r="B671" s="7"/>
      <c r="H671" s="14"/>
      <c r="I671" s="14"/>
      <c r="J671" s="14"/>
      <c r="K671" s="14"/>
      <c r="L671" s="14"/>
      <c r="M671" s="14"/>
    </row>
    <row r="672" customFormat="false" ht="15.75" hidden="true" customHeight="true" outlineLevel="0" collapsed="false">
      <c r="B672" s="7"/>
      <c r="H672" s="12"/>
      <c r="I672" s="12"/>
      <c r="J672" s="12"/>
      <c r="K672" s="12"/>
      <c r="L672" s="12"/>
      <c r="M672" s="12"/>
    </row>
    <row r="673" customFormat="false" ht="15.75" hidden="true" customHeight="true" outlineLevel="0" collapsed="false">
      <c r="B673" s="7"/>
      <c r="H673" s="14"/>
      <c r="I673" s="14"/>
      <c r="J673" s="14"/>
      <c r="K673" s="14"/>
      <c r="L673" s="14"/>
      <c r="M673" s="14"/>
    </row>
    <row r="674" customFormat="false" ht="15.75" hidden="true" customHeight="true" outlineLevel="0" collapsed="false">
      <c r="B674" s="7"/>
      <c r="H674" s="12"/>
      <c r="I674" s="12"/>
      <c r="J674" s="12"/>
      <c r="K674" s="12"/>
      <c r="L674" s="12"/>
      <c r="M674" s="12"/>
    </row>
    <row r="675" customFormat="false" ht="15.75" hidden="true" customHeight="true" outlineLevel="0" collapsed="false">
      <c r="B675" s="7"/>
      <c r="H675" s="14"/>
      <c r="I675" s="14"/>
      <c r="J675" s="14"/>
      <c r="K675" s="14"/>
      <c r="L675" s="14"/>
      <c r="M675" s="14"/>
    </row>
    <row r="676" customFormat="false" ht="15.75" hidden="true" customHeight="true" outlineLevel="0" collapsed="false">
      <c r="B676" s="7"/>
      <c r="H676" s="12"/>
      <c r="I676" s="12"/>
      <c r="J676" s="12"/>
      <c r="K676" s="12"/>
      <c r="L676" s="12"/>
      <c r="M676" s="12"/>
    </row>
    <row r="677" customFormat="false" ht="15.75" hidden="true" customHeight="true" outlineLevel="0" collapsed="false">
      <c r="B677" s="7"/>
      <c r="H677" s="14"/>
      <c r="I677" s="14"/>
      <c r="J677" s="14"/>
      <c r="K677" s="14"/>
      <c r="L677" s="14"/>
      <c r="M677" s="14"/>
    </row>
    <row r="678" customFormat="false" ht="15.75" hidden="true" customHeight="true" outlineLevel="0" collapsed="false">
      <c r="B678" s="7"/>
      <c r="H678" s="12"/>
      <c r="I678" s="12"/>
      <c r="J678" s="12"/>
      <c r="K678" s="12"/>
      <c r="L678" s="12"/>
      <c r="M678" s="12"/>
    </row>
    <row r="679" customFormat="false" ht="15.75" hidden="true" customHeight="true" outlineLevel="0" collapsed="false">
      <c r="B679" s="7"/>
      <c r="H679" s="14"/>
      <c r="I679" s="14"/>
      <c r="J679" s="14"/>
      <c r="K679" s="14"/>
      <c r="L679" s="14"/>
      <c r="M679" s="14"/>
    </row>
    <row r="680" customFormat="false" ht="15.75" hidden="true" customHeight="true" outlineLevel="0" collapsed="false">
      <c r="B680" s="7"/>
      <c r="H680" s="12"/>
      <c r="I680" s="12"/>
      <c r="J680" s="12"/>
      <c r="K680" s="12"/>
      <c r="L680" s="12"/>
      <c r="M680" s="12"/>
    </row>
    <row r="681" customFormat="false" ht="15.75" hidden="true" customHeight="true" outlineLevel="0" collapsed="false">
      <c r="B681" s="7"/>
      <c r="H681" s="14"/>
      <c r="I681" s="14"/>
      <c r="J681" s="14"/>
      <c r="K681" s="14"/>
      <c r="L681" s="14"/>
      <c r="M681" s="14"/>
    </row>
    <row r="682" customFormat="false" ht="15.75" hidden="true" customHeight="true" outlineLevel="0" collapsed="false">
      <c r="B682" s="7"/>
      <c r="H682" s="12"/>
      <c r="I682" s="12"/>
      <c r="J682" s="12"/>
      <c r="K682" s="12"/>
      <c r="L682" s="12"/>
      <c r="M682" s="12"/>
    </row>
    <row r="683" customFormat="false" ht="15.75" hidden="true" customHeight="true" outlineLevel="0" collapsed="false">
      <c r="B683" s="7"/>
      <c r="H683" s="14"/>
      <c r="I683" s="14"/>
      <c r="J683" s="14"/>
      <c r="K683" s="14"/>
      <c r="L683" s="14"/>
      <c r="M683" s="14"/>
    </row>
    <row r="684" customFormat="false" ht="15.75" hidden="true" customHeight="true" outlineLevel="0" collapsed="false">
      <c r="B684" s="7"/>
      <c r="H684" s="12"/>
      <c r="I684" s="12"/>
      <c r="J684" s="12"/>
      <c r="K684" s="12"/>
      <c r="L684" s="12"/>
      <c r="M684" s="12"/>
    </row>
    <row r="685" customFormat="false" ht="15.75" hidden="true" customHeight="true" outlineLevel="0" collapsed="false">
      <c r="B685" s="7"/>
      <c r="H685" s="14"/>
      <c r="I685" s="14"/>
      <c r="J685" s="14"/>
      <c r="K685" s="14"/>
      <c r="L685" s="14"/>
      <c r="M685" s="14"/>
    </row>
    <row r="686" customFormat="false" ht="15.75" hidden="true" customHeight="true" outlineLevel="0" collapsed="false">
      <c r="B686" s="7"/>
      <c r="H686" s="12"/>
      <c r="I686" s="12"/>
      <c r="J686" s="12"/>
      <c r="K686" s="12"/>
      <c r="L686" s="12"/>
      <c r="M686" s="12"/>
    </row>
    <row r="687" customFormat="false" ht="15.75" hidden="true" customHeight="true" outlineLevel="0" collapsed="false">
      <c r="B687" s="7"/>
      <c r="H687" s="14"/>
      <c r="I687" s="14"/>
      <c r="J687" s="14"/>
      <c r="K687" s="14"/>
      <c r="L687" s="14"/>
      <c r="M687" s="14"/>
    </row>
    <row r="688" customFormat="false" ht="15.75" hidden="true" customHeight="true" outlineLevel="0" collapsed="false">
      <c r="B688" s="7"/>
      <c r="H688" s="12"/>
      <c r="I688" s="12"/>
      <c r="J688" s="12"/>
      <c r="K688" s="12"/>
      <c r="L688" s="12"/>
      <c r="M688" s="12"/>
    </row>
    <row r="689" customFormat="false" ht="15.75" hidden="true" customHeight="true" outlineLevel="0" collapsed="false">
      <c r="B689" s="7"/>
      <c r="H689" s="14"/>
      <c r="I689" s="14"/>
      <c r="J689" s="14"/>
      <c r="K689" s="14"/>
      <c r="L689" s="14"/>
      <c r="M689" s="14"/>
    </row>
    <row r="690" customFormat="false" ht="15.75" hidden="true" customHeight="true" outlineLevel="0" collapsed="false">
      <c r="B690" s="7"/>
      <c r="H690" s="12"/>
      <c r="I690" s="12"/>
      <c r="J690" s="12"/>
      <c r="K690" s="12"/>
      <c r="L690" s="12"/>
      <c r="M690" s="12"/>
    </row>
    <row r="691" customFormat="false" ht="15.75" hidden="true" customHeight="true" outlineLevel="0" collapsed="false">
      <c r="B691" s="7"/>
      <c r="H691" s="14"/>
      <c r="I691" s="14"/>
      <c r="J691" s="14"/>
      <c r="K691" s="14"/>
      <c r="L691" s="14"/>
      <c r="M691" s="14"/>
    </row>
    <row r="692" customFormat="false" ht="15.75" hidden="true" customHeight="true" outlineLevel="0" collapsed="false">
      <c r="B692" s="7"/>
      <c r="H692" s="12"/>
      <c r="I692" s="12"/>
      <c r="J692" s="12"/>
      <c r="K692" s="12"/>
      <c r="L692" s="12"/>
      <c r="M692" s="12"/>
    </row>
    <row r="693" customFormat="false" ht="15.75" hidden="true" customHeight="true" outlineLevel="0" collapsed="false">
      <c r="B693" s="7"/>
      <c r="H693" s="14"/>
      <c r="I693" s="14"/>
      <c r="J693" s="14"/>
      <c r="K693" s="14"/>
      <c r="L693" s="14"/>
      <c r="M693" s="14"/>
    </row>
    <row r="694" customFormat="false" ht="15.75" hidden="true" customHeight="true" outlineLevel="0" collapsed="false">
      <c r="B694" s="7"/>
      <c r="H694" s="12"/>
      <c r="I694" s="12"/>
      <c r="J694" s="12"/>
      <c r="K694" s="12"/>
      <c r="L694" s="12"/>
      <c r="M694" s="12"/>
    </row>
    <row r="695" customFormat="false" ht="15.75" hidden="true" customHeight="true" outlineLevel="0" collapsed="false">
      <c r="B695" s="7"/>
      <c r="H695" s="14"/>
      <c r="I695" s="14"/>
      <c r="J695" s="14"/>
      <c r="K695" s="14"/>
      <c r="L695" s="14"/>
      <c r="M695" s="14"/>
    </row>
    <row r="696" customFormat="false" ht="15.75" hidden="true" customHeight="true" outlineLevel="0" collapsed="false">
      <c r="B696" s="7"/>
      <c r="H696" s="12"/>
      <c r="I696" s="12"/>
      <c r="J696" s="12"/>
      <c r="K696" s="12"/>
      <c r="L696" s="12"/>
      <c r="M696" s="12"/>
    </row>
    <row r="697" customFormat="false" ht="15.75" hidden="true" customHeight="true" outlineLevel="0" collapsed="false">
      <c r="B697" s="7"/>
      <c r="H697" s="14"/>
      <c r="I697" s="14"/>
      <c r="J697" s="14"/>
      <c r="K697" s="14"/>
      <c r="L697" s="14"/>
      <c r="M697" s="14"/>
    </row>
    <row r="698" customFormat="false" ht="15.75" hidden="true" customHeight="true" outlineLevel="0" collapsed="false">
      <c r="B698" s="7"/>
      <c r="H698" s="12"/>
      <c r="I698" s="12"/>
      <c r="J698" s="12"/>
      <c r="K698" s="12"/>
      <c r="L698" s="12"/>
      <c r="M698" s="12"/>
    </row>
    <row r="699" customFormat="false" ht="15.75" hidden="true" customHeight="true" outlineLevel="0" collapsed="false">
      <c r="B699" s="7"/>
      <c r="H699" s="14"/>
      <c r="I699" s="14"/>
      <c r="J699" s="14"/>
      <c r="K699" s="14"/>
      <c r="L699" s="14"/>
      <c r="M699" s="14"/>
    </row>
    <row r="700" customFormat="false" ht="15.75" hidden="true" customHeight="true" outlineLevel="0" collapsed="false">
      <c r="B700" s="7"/>
      <c r="H700" s="12"/>
      <c r="I700" s="12"/>
      <c r="J700" s="12"/>
      <c r="K700" s="12"/>
      <c r="L700" s="12"/>
      <c r="M700" s="12"/>
    </row>
    <row r="701" customFormat="false" ht="15.75" hidden="true" customHeight="true" outlineLevel="0" collapsed="false">
      <c r="B701" s="7"/>
      <c r="H701" s="14"/>
      <c r="I701" s="14"/>
      <c r="J701" s="14"/>
      <c r="K701" s="14"/>
      <c r="L701" s="14"/>
      <c r="M701" s="14"/>
    </row>
    <row r="702" customFormat="false" ht="15.75" hidden="true" customHeight="true" outlineLevel="0" collapsed="false">
      <c r="B702" s="7"/>
      <c r="H702" s="12"/>
      <c r="I702" s="12"/>
      <c r="J702" s="12"/>
      <c r="K702" s="12"/>
      <c r="L702" s="12"/>
      <c r="M702" s="12"/>
    </row>
    <row r="703" customFormat="false" ht="15.75" hidden="true" customHeight="true" outlineLevel="0" collapsed="false">
      <c r="B703" s="7"/>
      <c r="H703" s="14"/>
      <c r="I703" s="14"/>
      <c r="J703" s="14"/>
      <c r="K703" s="14"/>
      <c r="L703" s="14"/>
      <c r="M703" s="14"/>
    </row>
    <row r="704" customFormat="false" ht="15.75" hidden="true" customHeight="true" outlineLevel="0" collapsed="false">
      <c r="B704" s="7"/>
      <c r="H704" s="12"/>
      <c r="I704" s="12"/>
      <c r="J704" s="12"/>
      <c r="K704" s="12"/>
      <c r="L704" s="12"/>
      <c r="M704" s="12"/>
    </row>
    <row r="705" customFormat="false" ht="15.75" hidden="true" customHeight="true" outlineLevel="0" collapsed="false">
      <c r="B705" s="7"/>
      <c r="H705" s="14"/>
      <c r="I705" s="14"/>
      <c r="J705" s="14"/>
      <c r="K705" s="14"/>
      <c r="L705" s="14"/>
      <c r="M705" s="14"/>
    </row>
    <row r="706" customFormat="false" ht="15.75" hidden="true" customHeight="true" outlineLevel="0" collapsed="false">
      <c r="B706" s="7"/>
      <c r="H706" s="12"/>
      <c r="I706" s="12"/>
      <c r="J706" s="12"/>
      <c r="K706" s="12"/>
      <c r="L706" s="12"/>
      <c r="M706" s="12"/>
    </row>
    <row r="707" customFormat="false" ht="15.75" hidden="true" customHeight="true" outlineLevel="0" collapsed="false">
      <c r="B707" s="7"/>
      <c r="H707" s="14"/>
      <c r="I707" s="14"/>
      <c r="J707" s="14"/>
      <c r="K707" s="14"/>
      <c r="L707" s="14"/>
      <c r="M707" s="14"/>
    </row>
    <row r="708" customFormat="false" ht="15.75" hidden="true" customHeight="true" outlineLevel="0" collapsed="false">
      <c r="B708" s="7"/>
      <c r="H708" s="12"/>
      <c r="I708" s="12"/>
      <c r="J708" s="12"/>
      <c r="K708" s="12"/>
      <c r="L708" s="12"/>
      <c r="M708" s="12"/>
    </row>
    <row r="709" customFormat="false" ht="15.75" hidden="true" customHeight="true" outlineLevel="0" collapsed="false">
      <c r="B709" s="7"/>
      <c r="H709" s="14"/>
      <c r="I709" s="14"/>
      <c r="J709" s="14"/>
      <c r="K709" s="14"/>
      <c r="L709" s="14"/>
      <c r="M709" s="14"/>
    </row>
    <row r="710" customFormat="false" ht="15.75" hidden="true" customHeight="true" outlineLevel="0" collapsed="false">
      <c r="B710" s="7"/>
      <c r="H710" s="12"/>
      <c r="I710" s="12"/>
      <c r="J710" s="12"/>
      <c r="K710" s="12"/>
      <c r="L710" s="12"/>
      <c r="M710" s="12"/>
    </row>
    <row r="711" customFormat="false" ht="15.75" hidden="true" customHeight="true" outlineLevel="0" collapsed="false">
      <c r="B711" s="7"/>
      <c r="H711" s="14"/>
      <c r="I711" s="14"/>
      <c r="J711" s="14"/>
      <c r="K711" s="14"/>
      <c r="L711" s="14"/>
      <c r="M711" s="14"/>
    </row>
    <row r="712" customFormat="false" ht="15.75" hidden="true" customHeight="true" outlineLevel="0" collapsed="false">
      <c r="B712" s="7"/>
      <c r="H712" s="12"/>
      <c r="I712" s="12"/>
      <c r="J712" s="12"/>
      <c r="K712" s="12"/>
      <c r="L712" s="12"/>
      <c r="M712" s="12"/>
    </row>
    <row r="713" customFormat="false" ht="15.75" hidden="true" customHeight="true" outlineLevel="0" collapsed="false">
      <c r="B713" s="7"/>
      <c r="H713" s="14"/>
      <c r="I713" s="14"/>
      <c r="J713" s="14"/>
      <c r="K713" s="14"/>
      <c r="L713" s="14"/>
      <c r="M713" s="14"/>
    </row>
    <row r="714" customFormat="false" ht="15.75" hidden="true" customHeight="true" outlineLevel="0" collapsed="false">
      <c r="B714" s="7"/>
      <c r="H714" s="12"/>
      <c r="I714" s="12"/>
      <c r="J714" s="12"/>
      <c r="K714" s="12"/>
      <c r="L714" s="12"/>
      <c r="M714" s="12"/>
    </row>
    <row r="715" customFormat="false" ht="15.75" hidden="true" customHeight="true" outlineLevel="0" collapsed="false">
      <c r="B715" s="7"/>
      <c r="H715" s="14"/>
      <c r="I715" s="14"/>
      <c r="J715" s="14"/>
      <c r="K715" s="14"/>
      <c r="L715" s="14"/>
      <c r="M715" s="14"/>
    </row>
    <row r="716" customFormat="false" ht="15.75" hidden="true" customHeight="true" outlineLevel="0" collapsed="false">
      <c r="B716" s="7"/>
      <c r="H716" s="12"/>
      <c r="I716" s="12"/>
      <c r="J716" s="12"/>
      <c r="K716" s="12"/>
      <c r="L716" s="12"/>
      <c r="M716" s="12"/>
    </row>
    <row r="717" customFormat="false" ht="15.75" hidden="true" customHeight="true" outlineLevel="0" collapsed="false">
      <c r="B717" s="7"/>
      <c r="H717" s="14"/>
      <c r="I717" s="14"/>
      <c r="J717" s="14"/>
      <c r="K717" s="14"/>
      <c r="L717" s="14"/>
      <c r="M717" s="14"/>
    </row>
    <row r="718" customFormat="false" ht="15.75" hidden="true" customHeight="true" outlineLevel="0" collapsed="false">
      <c r="B718" s="7"/>
      <c r="H718" s="12"/>
      <c r="I718" s="12"/>
      <c r="J718" s="12"/>
      <c r="K718" s="12"/>
      <c r="L718" s="12"/>
      <c r="M718" s="12"/>
    </row>
    <row r="719" customFormat="false" ht="15.75" hidden="true" customHeight="true" outlineLevel="0" collapsed="false">
      <c r="B719" s="7"/>
      <c r="H719" s="14"/>
      <c r="I719" s="14"/>
      <c r="J719" s="14"/>
      <c r="K719" s="14"/>
      <c r="L719" s="14"/>
      <c r="M719" s="14"/>
    </row>
    <row r="720" customFormat="false" ht="15.75" hidden="true" customHeight="true" outlineLevel="0" collapsed="false">
      <c r="B720" s="7"/>
      <c r="H720" s="12"/>
      <c r="I720" s="12"/>
      <c r="J720" s="12"/>
      <c r="K720" s="12"/>
      <c r="L720" s="12"/>
      <c r="M720" s="12"/>
    </row>
    <row r="721" customFormat="false" ht="15.75" hidden="true" customHeight="true" outlineLevel="0" collapsed="false">
      <c r="B721" s="7"/>
      <c r="H721" s="14"/>
      <c r="I721" s="14"/>
      <c r="J721" s="14"/>
      <c r="K721" s="14"/>
      <c r="L721" s="14"/>
      <c r="M721" s="14"/>
    </row>
    <row r="722" customFormat="false" ht="15.75" hidden="true" customHeight="true" outlineLevel="0" collapsed="false">
      <c r="B722" s="7"/>
      <c r="H722" s="12"/>
      <c r="I722" s="12"/>
      <c r="J722" s="12"/>
      <c r="K722" s="12"/>
      <c r="L722" s="12"/>
      <c r="M722" s="12"/>
    </row>
    <row r="723" customFormat="false" ht="15.75" hidden="true" customHeight="true" outlineLevel="0" collapsed="false">
      <c r="B723" s="7"/>
      <c r="H723" s="14"/>
      <c r="I723" s="14"/>
      <c r="J723" s="14"/>
      <c r="K723" s="14"/>
      <c r="L723" s="14"/>
      <c r="M723" s="14"/>
    </row>
    <row r="724" customFormat="false" ht="15.75" hidden="true" customHeight="true" outlineLevel="0" collapsed="false">
      <c r="B724" s="7"/>
      <c r="H724" s="12"/>
      <c r="I724" s="12"/>
      <c r="J724" s="12"/>
      <c r="K724" s="12"/>
      <c r="L724" s="12"/>
      <c r="M724" s="12"/>
    </row>
    <row r="725" customFormat="false" ht="15.75" hidden="true" customHeight="true" outlineLevel="0" collapsed="false">
      <c r="B725" s="7"/>
      <c r="H725" s="14"/>
      <c r="I725" s="14"/>
      <c r="J725" s="14"/>
      <c r="K725" s="14"/>
      <c r="L725" s="14"/>
      <c r="M725" s="14"/>
    </row>
    <row r="726" customFormat="false" ht="15.75" hidden="true" customHeight="true" outlineLevel="0" collapsed="false">
      <c r="B726" s="7"/>
      <c r="H726" s="12"/>
      <c r="I726" s="12"/>
      <c r="J726" s="12"/>
      <c r="K726" s="12"/>
      <c r="L726" s="12"/>
      <c r="M726" s="12"/>
    </row>
    <row r="727" customFormat="false" ht="15.75" hidden="true" customHeight="true" outlineLevel="0" collapsed="false">
      <c r="B727" s="7"/>
      <c r="H727" s="14"/>
      <c r="I727" s="14"/>
      <c r="J727" s="14"/>
      <c r="K727" s="14"/>
      <c r="L727" s="14"/>
      <c r="M727" s="14"/>
    </row>
    <row r="728" customFormat="false" ht="15.75" hidden="true" customHeight="true" outlineLevel="0" collapsed="false">
      <c r="B728" s="7"/>
      <c r="H728" s="12"/>
      <c r="I728" s="12"/>
      <c r="J728" s="12"/>
      <c r="K728" s="12"/>
      <c r="L728" s="12"/>
      <c r="M728" s="12"/>
    </row>
    <row r="729" customFormat="false" ht="15.75" hidden="true" customHeight="true" outlineLevel="0" collapsed="false">
      <c r="B729" s="7"/>
      <c r="H729" s="14"/>
      <c r="I729" s="14"/>
      <c r="J729" s="14"/>
      <c r="K729" s="14"/>
      <c r="L729" s="14"/>
      <c r="M729" s="14"/>
    </row>
    <row r="730" customFormat="false" ht="15.75" hidden="true" customHeight="true" outlineLevel="0" collapsed="false">
      <c r="B730" s="7"/>
      <c r="H730" s="12"/>
      <c r="I730" s="12"/>
      <c r="J730" s="12"/>
      <c r="K730" s="12"/>
      <c r="L730" s="12"/>
      <c r="M730" s="12"/>
    </row>
    <row r="731" customFormat="false" ht="15.75" hidden="true" customHeight="true" outlineLevel="0" collapsed="false">
      <c r="B731" s="7"/>
      <c r="H731" s="14"/>
      <c r="I731" s="14"/>
      <c r="J731" s="14"/>
      <c r="K731" s="14"/>
      <c r="L731" s="14"/>
      <c r="M731" s="14"/>
    </row>
    <row r="732" customFormat="false" ht="15.75" hidden="true" customHeight="true" outlineLevel="0" collapsed="false">
      <c r="B732" s="7"/>
      <c r="H732" s="12"/>
      <c r="I732" s="12"/>
      <c r="J732" s="12"/>
      <c r="K732" s="12"/>
      <c r="L732" s="12"/>
      <c r="M732" s="12"/>
    </row>
    <row r="733" customFormat="false" ht="15.75" hidden="true" customHeight="true" outlineLevel="0" collapsed="false">
      <c r="B733" s="7"/>
      <c r="H733" s="14"/>
      <c r="I733" s="14"/>
      <c r="J733" s="14"/>
      <c r="K733" s="14"/>
      <c r="L733" s="14"/>
      <c r="M733" s="14"/>
    </row>
    <row r="734" customFormat="false" ht="15.75" hidden="true" customHeight="true" outlineLevel="0" collapsed="false">
      <c r="B734" s="7"/>
      <c r="H734" s="12"/>
      <c r="I734" s="12"/>
      <c r="J734" s="12"/>
      <c r="K734" s="12"/>
      <c r="L734" s="12"/>
      <c r="M734" s="12"/>
    </row>
    <row r="735" customFormat="false" ht="15.75" hidden="true" customHeight="true" outlineLevel="0" collapsed="false">
      <c r="B735" s="7"/>
      <c r="H735" s="14"/>
      <c r="I735" s="14"/>
      <c r="J735" s="14"/>
      <c r="K735" s="14"/>
      <c r="L735" s="14"/>
      <c r="M735" s="14"/>
    </row>
    <row r="736" customFormat="false" ht="15.75" hidden="true" customHeight="true" outlineLevel="0" collapsed="false">
      <c r="B736" s="7"/>
      <c r="H736" s="12"/>
      <c r="I736" s="12"/>
      <c r="J736" s="12"/>
      <c r="K736" s="12"/>
      <c r="L736" s="12"/>
      <c r="M736" s="12"/>
    </row>
    <row r="737" customFormat="false" ht="15.75" hidden="true" customHeight="true" outlineLevel="0" collapsed="false">
      <c r="B737" s="7"/>
      <c r="H737" s="14"/>
      <c r="I737" s="14"/>
      <c r="J737" s="14"/>
      <c r="K737" s="14"/>
      <c r="L737" s="14"/>
      <c r="M737" s="14"/>
    </row>
    <row r="738" customFormat="false" ht="15.75" hidden="true" customHeight="true" outlineLevel="0" collapsed="false">
      <c r="B738" s="7"/>
      <c r="H738" s="12"/>
      <c r="I738" s="12"/>
      <c r="J738" s="12"/>
      <c r="K738" s="12"/>
      <c r="L738" s="12"/>
      <c r="M738" s="12"/>
    </row>
    <row r="739" customFormat="false" ht="15.75" hidden="true" customHeight="true" outlineLevel="0" collapsed="false">
      <c r="B739" s="7"/>
      <c r="H739" s="14"/>
      <c r="I739" s="14"/>
      <c r="J739" s="14"/>
      <c r="K739" s="14"/>
      <c r="L739" s="14"/>
      <c r="M739" s="14"/>
    </row>
    <row r="740" customFormat="false" ht="15.75" hidden="true" customHeight="true" outlineLevel="0" collapsed="false">
      <c r="B740" s="7"/>
      <c r="H740" s="12"/>
      <c r="I740" s="12"/>
      <c r="J740" s="12"/>
      <c r="K740" s="12"/>
      <c r="L740" s="12"/>
      <c r="M740" s="12"/>
    </row>
    <row r="741" customFormat="false" ht="15.75" hidden="true" customHeight="true" outlineLevel="0" collapsed="false">
      <c r="B741" s="7"/>
      <c r="H741" s="14"/>
      <c r="I741" s="14"/>
      <c r="J741" s="14"/>
      <c r="K741" s="14"/>
      <c r="L741" s="14"/>
      <c r="M741" s="14"/>
    </row>
    <row r="742" customFormat="false" ht="15.75" hidden="true" customHeight="true" outlineLevel="0" collapsed="false">
      <c r="B742" s="7"/>
      <c r="H742" s="12"/>
      <c r="I742" s="12"/>
      <c r="J742" s="12"/>
      <c r="K742" s="12"/>
      <c r="L742" s="12"/>
      <c r="M742" s="12"/>
    </row>
    <row r="743" customFormat="false" ht="15.75" hidden="true" customHeight="true" outlineLevel="0" collapsed="false">
      <c r="B743" s="7"/>
      <c r="H743" s="14"/>
      <c r="I743" s="14"/>
      <c r="J743" s="14"/>
      <c r="K743" s="14"/>
      <c r="L743" s="14"/>
      <c r="M743" s="14"/>
    </row>
    <row r="744" customFormat="false" ht="15.75" hidden="true" customHeight="true" outlineLevel="0" collapsed="false">
      <c r="B744" s="7"/>
      <c r="H744" s="12"/>
      <c r="I744" s="12"/>
      <c r="J744" s="12"/>
      <c r="K744" s="12"/>
      <c r="L744" s="12"/>
      <c r="M744" s="12"/>
    </row>
    <row r="745" customFormat="false" ht="15.75" hidden="true" customHeight="true" outlineLevel="0" collapsed="false">
      <c r="B745" s="7"/>
      <c r="H745" s="14"/>
      <c r="I745" s="14"/>
      <c r="J745" s="14"/>
      <c r="K745" s="14"/>
      <c r="L745" s="14"/>
      <c r="M745" s="14"/>
    </row>
    <row r="746" customFormat="false" ht="15.75" hidden="true" customHeight="true" outlineLevel="0" collapsed="false">
      <c r="B746" s="7"/>
      <c r="H746" s="12"/>
      <c r="I746" s="12"/>
      <c r="J746" s="12"/>
      <c r="K746" s="12"/>
      <c r="L746" s="12"/>
      <c r="M746" s="12"/>
    </row>
    <row r="747" customFormat="false" ht="15.75" hidden="true" customHeight="true" outlineLevel="0" collapsed="false">
      <c r="B747" s="7"/>
      <c r="H747" s="14"/>
      <c r="I747" s="14"/>
      <c r="J747" s="14"/>
      <c r="K747" s="14"/>
      <c r="L747" s="14"/>
      <c r="M747" s="14"/>
    </row>
    <row r="748" customFormat="false" ht="15.75" hidden="true" customHeight="true" outlineLevel="0" collapsed="false">
      <c r="B748" s="7"/>
      <c r="H748" s="12"/>
      <c r="I748" s="12"/>
      <c r="J748" s="12"/>
      <c r="K748" s="12"/>
      <c r="L748" s="12"/>
      <c r="M748" s="12"/>
    </row>
    <row r="749" customFormat="false" ht="15.75" hidden="true" customHeight="true" outlineLevel="0" collapsed="false">
      <c r="B749" s="7"/>
      <c r="H749" s="14"/>
      <c r="I749" s="14"/>
      <c r="J749" s="14"/>
      <c r="K749" s="14"/>
      <c r="L749" s="14"/>
      <c r="M749" s="14"/>
    </row>
    <row r="750" customFormat="false" ht="15.75" hidden="true" customHeight="true" outlineLevel="0" collapsed="false">
      <c r="B750" s="7"/>
      <c r="H750" s="12"/>
      <c r="I750" s="12"/>
      <c r="J750" s="12"/>
      <c r="K750" s="12"/>
      <c r="L750" s="12"/>
      <c r="M750" s="12"/>
    </row>
    <row r="751" customFormat="false" ht="15.75" hidden="true" customHeight="true" outlineLevel="0" collapsed="false">
      <c r="B751" s="7"/>
      <c r="H751" s="14"/>
      <c r="I751" s="14"/>
      <c r="J751" s="14"/>
      <c r="K751" s="14"/>
      <c r="L751" s="14"/>
      <c r="M751" s="14"/>
    </row>
    <row r="752" customFormat="false" ht="15.75" hidden="true" customHeight="true" outlineLevel="0" collapsed="false">
      <c r="B752" s="7"/>
      <c r="H752" s="12"/>
      <c r="I752" s="12"/>
      <c r="J752" s="12"/>
      <c r="K752" s="12"/>
      <c r="L752" s="12"/>
      <c r="M752" s="12"/>
    </row>
    <row r="753" customFormat="false" ht="15.75" hidden="true" customHeight="true" outlineLevel="0" collapsed="false">
      <c r="B753" s="7"/>
      <c r="H753" s="14"/>
      <c r="I753" s="14"/>
      <c r="J753" s="14"/>
      <c r="K753" s="14"/>
      <c r="L753" s="14"/>
      <c r="M753" s="14"/>
    </row>
    <row r="754" customFormat="false" ht="15.75" hidden="true" customHeight="true" outlineLevel="0" collapsed="false">
      <c r="B754" s="7"/>
      <c r="H754" s="12"/>
      <c r="I754" s="12"/>
      <c r="J754" s="12"/>
      <c r="K754" s="12"/>
      <c r="L754" s="12"/>
      <c r="M754" s="12"/>
    </row>
    <row r="755" customFormat="false" ht="15.75" hidden="true" customHeight="true" outlineLevel="0" collapsed="false">
      <c r="B755" s="7"/>
      <c r="H755" s="14"/>
      <c r="I755" s="14"/>
      <c r="J755" s="14"/>
      <c r="K755" s="14"/>
      <c r="L755" s="14"/>
      <c r="M755" s="14"/>
    </row>
    <row r="756" customFormat="false" ht="15.75" hidden="true" customHeight="true" outlineLevel="0" collapsed="false">
      <c r="B756" s="7"/>
      <c r="H756" s="12"/>
      <c r="I756" s="12"/>
      <c r="J756" s="12"/>
      <c r="K756" s="12"/>
      <c r="L756" s="12"/>
      <c r="M756" s="12"/>
    </row>
    <row r="757" customFormat="false" ht="15.75" hidden="true" customHeight="true" outlineLevel="0" collapsed="false">
      <c r="B757" s="7"/>
      <c r="H757" s="14"/>
      <c r="I757" s="14"/>
      <c r="J757" s="14"/>
      <c r="K757" s="14"/>
      <c r="L757" s="14"/>
      <c r="M757" s="14"/>
    </row>
    <row r="758" customFormat="false" ht="15.75" hidden="true" customHeight="true" outlineLevel="0" collapsed="false">
      <c r="B758" s="7"/>
      <c r="H758" s="12"/>
      <c r="I758" s="12"/>
      <c r="J758" s="12"/>
      <c r="K758" s="12"/>
      <c r="L758" s="12"/>
      <c r="M758" s="12"/>
    </row>
    <row r="759" customFormat="false" ht="15.75" hidden="true" customHeight="true" outlineLevel="0" collapsed="false">
      <c r="B759" s="7"/>
      <c r="H759" s="14"/>
      <c r="I759" s="14"/>
      <c r="J759" s="14"/>
      <c r="K759" s="14"/>
      <c r="L759" s="14"/>
      <c r="M759" s="14"/>
    </row>
    <row r="760" customFormat="false" ht="15.75" hidden="true" customHeight="true" outlineLevel="0" collapsed="false">
      <c r="B760" s="7"/>
      <c r="H760" s="12"/>
      <c r="I760" s="12"/>
      <c r="J760" s="12"/>
      <c r="K760" s="12"/>
      <c r="L760" s="12"/>
      <c r="M760" s="12"/>
    </row>
    <row r="761" customFormat="false" ht="15.75" hidden="true" customHeight="true" outlineLevel="0" collapsed="false">
      <c r="B761" s="7"/>
      <c r="H761" s="14"/>
      <c r="I761" s="14"/>
      <c r="J761" s="14"/>
      <c r="K761" s="14"/>
      <c r="L761" s="14"/>
      <c r="M761" s="14"/>
    </row>
    <row r="762" customFormat="false" ht="15.75" hidden="true" customHeight="true" outlineLevel="0" collapsed="false">
      <c r="B762" s="7"/>
      <c r="H762" s="12"/>
      <c r="I762" s="12"/>
      <c r="J762" s="12"/>
      <c r="K762" s="12"/>
      <c r="L762" s="12"/>
      <c r="M762" s="12"/>
    </row>
    <row r="763" customFormat="false" ht="15.75" hidden="true" customHeight="true" outlineLevel="0" collapsed="false">
      <c r="B763" s="7"/>
      <c r="H763" s="14"/>
      <c r="I763" s="14"/>
      <c r="J763" s="14"/>
      <c r="K763" s="14"/>
      <c r="L763" s="14"/>
      <c r="M763" s="14"/>
    </row>
    <row r="764" customFormat="false" ht="15.75" hidden="true" customHeight="true" outlineLevel="0" collapsed="false">
      <c r="B764" s="7"/>
      <c r="H764" s="12"/>
      <c r="I764" s="12"/>
      <c r="J764" s="12"/>
      <c r="K764" s="12"/>
      <c r="L764" s="12"/>
      <c r="M764" s="12"/>
    </row>
    <row r="765" customFormat="false" ht="15.75" hidden="true" customHeight="true" outlineLevel="0" collapsed="false">
      <c r="B765" s="7"/>
      <c r="H765" s="14"/>
      <c r="I765" s="14"/>
      <c r="J765" s="14"/>
      <c r="K765" s="14"/>
      <c r="L765" s="14"/>
      <c r="M765" s="14"/>
    </row>
    <row r="766" customFormat="false" ht="15.75" hidden="true" customHeight="true" outlineLevel="0" collapsed="false">
      <c r="B766" s="7"/>
      <c r="H766" s="12"/>
      <c r="I766" s="12"/>
      <c r="J766" s="12"/>
      <c r="K766" s="12"/>
      <c r="L766" s="12"/>
      <c r="M766" s="12"/>
    </row>
    <row r="767" customFormat="false" ht="15.75" hidden="true" customHeight="true" outlineLevel="0" collapsed="false">
      <c r="B767" s="7"/>
      <c r="H767" s="14"/>
      <c r="I767" s="14"/>
      <c r="J767" s="14"/>
      <c r="K767" s="14"/>
      <c r="L767" s="14"/>
      <c r="M767" s="14"/>
    </row>
    <row r="768" customFormat="false" ht="15.75" hidden="true" customHeight="true" outlineLevel="0" collapsed="false">
      <c r="B768" s="7"/>
      <c r="H768" s="12"/>
      <c r="I768" s="12"/>
      <c r="J768" s="12"/>
      <c r="K768" s="12"/>
      <c r="L768" s="12"/>
      <c r="M768" s="12"/>
    </row>
    <row r="769" customFormat="false" ht="15.75" hidden="true" customHeight="true" outlineLevel="0" collapsed="false">
      <c r="B769" s="7"/>
      <c r="H769" s="14"/>
      <c r="I769" s="14"/>
      <c r="J769" s="14"/>
      <c r="K769" s="14"/>
      <c r="L769" s="14"/>
      <c r="M769" s="14"/>
    </row>
    <row r="770" customFormat="false" ht="15.75" hidden="true" customHeight="true" outlineLevel="0" collapsed="false">
      <c r="B770" s="7"/>
      <c r="H770" s="12"/>
      <c r="I770" s="12"/>
      <c r="J770" s="12"/>
      <c r="K770" s="12"/>
      <c r="L770" s="12"/>
      <c r="M770" s="12"/>
    </row>
    <row r="771" customFormat="false" ht="15.75" hidden="true" customHeight="true" outlineLevel="0" collapsed="false">
      <c r="B771" s="7"/>
      <c r="H771" s="14"/>
      <c r="I771" s="14"/>
      <c r="J771" s="14"/>
      <c r="K771" s="14"/>
      <c r="L771" s="14"/>
      <c r="M771" s="14"/>
    </row>
    <row r="772" customFormat="false" ht="15.75" hidden="true" customHeight="true" outlineLevel="0" collapsed="false">
      <c r="B772" s="7"/>
      <c r="H772" s="12"/>
      <c r="I772" s="12"/>
      <c r="J772" s="12"/>
      <c r="K772" s="12"/>
      <c r="L772" s="12"/>
      <c r="M772" s="12"/>
    </row>
    <row r="773" customFormat="false" ht="15.75" hidden="true" customHeight="true" outlineLevel="0" collapsed="false">
      <c r="B773" s="7"/>
      <c r="H773" s="14"/>
      <c r="I773" s="14"/>
      <c r="J773" s="14"/>
      <c r="K773" s="14"/>
      <c r="L773" s="14"/>
      <c r="M773" s="14"/>
    </row>
    <row r="774" customFormat="false" ht="15.75" hidden="true" customHeight="true" outlineLevel="0" collapsed="false">
      <c r="B774" s="7"/>
      <c r="H774" s="12"/>
      <c r="I774" s="12"/>
      <c r="J774" s="12"/>
      <c r="K774" s="12"/>
      <c r="L774" s="12"/>
      <c r="M774" s="12"/>
    </row>
    <row r="775" customFormat="false" ht="15.75" hidden="true" customHeight="true" outlineLevel="0" collapsed="false">
      <c r="B775" s="7"/>
      <c r="H775" s="14"/>
      <c r="I775" s="14"/>
      <c r="J775" s="14"/>
      <c r="K775" s="14"/>
      <c r="L775" s="14"/>
      <c r="M775" s="14"/>
    </row>
    <row r="776" customFormat="false" ht="15.75" hidden="true" customHeight="true" outlineLevel="0" collapsed="false">
      <c r="B776" s="7"/>
      <c r="H776" s="12"/>
      <c r="I776" s="12"/>
      <c r="J776" s="12"/>
      <c r="K776" s="12"/>
      <c r="L776" s="12"/>
      <c r="M776" s="12"/>
    </row>
    <row r="777" customFormat="false" ht="15.75" hidden="true" customHeight="true" outlineLevel="0" collapsed="false">
      <c r="B777" s="7"/>
      <c r="H777" s="14"/>
      <c r="I777" s="14"/>
      <c r="J777" s="14"/>
      <c r="K777" s="14"/>
      <c r="L777" s="14"/>
      <c r="M777" s="14"/>
    </row>
    <row r="778" customFormat="false" ht="15.75" hidden="true" customHeight="true" outlineLevel="0" collapsed="false">
      <c r="B778" s="7"/>
      <c r="H778" s="12"/>
      <c r="I778" s="12"/>
      <c r="J778" s="12"/>
      <c r="K778" s="12"/>
      <c r="L778" s="12"/>
      <c r="M778" s="12"/>
    </row>
    <row r="779" customFormat="false" ht="15.75" hidden="true" customHeight="true" outlineLevel="0" collapsed="false">
      <c r="B779" s="7"/>
      <c r="H779" s="14"/>
      <c r="I779" s="14"/>
      <c r="J779" s="14"/>
      <c r="K779" s="14"/>
      <c r="L779" s="14"/>
      <c r="M779" s="14"/>
    </row>
    <row r="780" customFormat="false" ht="15.75" hidden="true" customHeight="true" outlineLevel="0" collapsed="false">
      <c r="B780" s="7"/>
      <c r="H780" s="12"/>
      <c r="I780" s="12"/>
      <c r="J780" s="12"/>
      <c r="K780" s="12"/>
      <c r="L780" s="12"/>
      <c r="M780" s="12"/>
    </row>
    <row r="781" customFormat="false" ht="15.75" hidden="true" customHeight="true" outlineLevel="0" collapsed="false">
      <c r="B781" s="7"/>
      <c r="H781" s="14"/>
      <c r="I781" s="14"/>
      <c r="J781" s="14"/>
      <c r="K781" s="14"/>
      <c r="L781" s="14"/>
      <c r="M781" s="14"/>
    </row>
    <row r="782" customFormat="false" ht="15.75" hidden="true" customHeight="true" outlineLevel="0" collapsed="false">
      <c r="B782" s="7"/>
      <c r="H782" s="12"/>
      <c r="I782" s="12"/>
      <c r="J782" s="12"/>
      <c r="K782" s="12"/>
      <c r="L782" s="12"/>
      <c r="M782" s="12"/>
    </row>
    <row r="783" customFormat="false" ht="15.75" hidden="true" customHeight="true" outlineLevel="0" collapsed="false">
      <c r="B783" s="7"/>
      <c r="H783" s="14"/>
      <c r="I783" s="14"/>
      <c r="J783" s="14"/>
      <c r="K783" s="14"/>
      <c r="L783" s="14"/>
      <c r="M783" s="14"/>
    </row>
    <row r="784" customFormat="false" ht="15.75" hidden="true" customHeight="true" outlineLevel="0" collapsed="false">
      <c r="B784" s="7"/>
      <c r="H784" s="12"/>
      <c r="I784" s="12"/>
      <c r="J784" s="12"/>
      <c r="K784" s="12"/>
      <c r="L784" s="12"/>
      <c r="M784" s="12"/>
    </row>
    <row r="785" customFormat="false" ht="15.75" hidden="true" customHeight="true" outlineLevel="0" collapsed="false">
      <c r="B785" s="7"/>
      <c r="H785" s="14"/>
      <c r="I785" s="14"/>
      <c r="J785" s="14"/>
      <c r="K785" s="14"/>
      <c r="L785" s="14"/>
      <c r="M785" s="14"/>
    </row>
    <row r="786" customFormat="false" ht="15.75" hidden="true" customHeight="true" outlineLevel="0" collapsed="false">
      <c r="B786" s="7"/>
      <c r="H786" s="12"/>
      <c r="I786" s="12"/>
      <c r="J786" s="12"/>
      <c r="K786" s="12"/>
      <c r="L786" s="12"/>
      <c r="M786" s="12"/>
    </row>
    <row r="787" customFormat="false" ht="15.75" hidden="true" customHeight="true" outlineLevel="0" collapsed="false">
      <c r="B787" s="7"/>
      <c r="H787" s="14"/>
      <c r="I787" s="14"/>
      <c r="J787" s="14"/>
      <c r="K787" s="14"/>
      <c r="L787" s="14"/>
      <c r="M787" s="14"/>
    </row>
    <row r="788" customFormat="false" ht="15.75" hidden="true" customHeight="true" outlineLevel="0" collapsed="false">
      <c r="B788" s="7"/>
      <c r="H788" s="12"/>
      <c r="I788" s="12"/>
      <c r="J788" s="12"/>
      <c r="K788" s="12"/>
      <c r="L788" s="12"/>
      <c r="M788" s="12"/>
    </row>
    <row r="789" customFormat="false" ht="15.75" hidden="true" customHeight="true" outlineLevel="0" collapsed="false">
      <c r="B789" s="7"/>
      <c r="H789" s="14"/>
      <c r="I789" s="14"/>
      <c r="J789" s="14"/>
      <c r="K789" s="14"/>
      <c r="L789" s="14"/>
      <c r="M789" s="14"/>
    </row>
    <row r="790" customFormat="false" ht="15.75" hidden="true" customHeight="true" outlineLevel="0" collapsed="false">
      <c r="B790" s="7"/>
      <c r="H790" s="12"/>
      <c r="I790" s="12"/>
      <c r="J790" s="12"/>
      <c r="K790" s="12"/>
      <c r="L790" s="12"/>
      <c r="M790" s="12"/>
    </row>
    <row r="791" customFormat="false" ht="15.75" hidden="true" customHeight="true" outlineLevel="0" collapsed="false">
      <c r="B791" s="7"/>
      <c r="H791" s="14"/>
      <c r="I791" s="14"/>
      <c r="J791" s="14"/>
      <c r="K791" s="14"/>
      <c r="L791" s="14"/>
      <c r="M791" s="14"/>
    </row>
    <row r="792" customFormat="false" ht="15.75" hidden="true" customHeight="true" outlineLevel="0" collapsed="false">
      <c r="B792" s="7"/>
      <c r="H792" s="12"/>
      <c r="I792" s="12"/>
      <c r="J792" s="12"/>
      <c r="K792" s="12"/>
      <c r="L792" s="12"/>
      <c r="M792" s="12"/>
    </row>
    <row r="793" customFormat="false" ht="15.75" hidden="true" customHeight="true" outlineLevel="0" collapsed="false">
      <c r="B793" s="7"/>
      <c r="H793" s="14"/>
      <c r="I793" s="14"/>
      <c r="J793" s="14"/>
      <c r="K793" s="14"/>
      <c r="L793" s="14"/>
      <c r="M793" s="14"/>
    </row>
    <row r="794" customFormat="false" ht="15.75" hidden="true" customHeight="true" outlineLevel="0" collapsed="false">
      <c r="B794" s="7"/>
      <c r="H794" s="12"/>
      <c r="I794" s="12"/>
      <c r="J794" s="12"/>
      <c r="K794" s="12"/>
      <c r="L794" s="12"/>
      <c r="M794" s="12"/>
    </row>
    <row r="795" customFormat="false" ht="15.75" hidden="true" customHeight="true" outlineLevel="0" collapsed="false">
      <c r="B795" s="7"/>
      <c r="H795" s="14"/>
      <c r="I795" s="14"/>
      <c r="J795" s="14"/>
      <c r="K795" s="14"/>
      <c r="L795" s="14"/>
      <c r="M795" s="14"/>
    </row>
    <row r="796" customFormat="false" ht="15.75" hidden="true" customHeight="true" outlineLevel="0" collapsed="false">
      <c r="B796" s="7"/>
      <c r="H796" s="12"/>
      <c r="I796" s="12"/>
      <c r="J796" s="12"/>
      <c r="K796" s="12"/>
      <c r="L796" s="12"/>
      <c r="M796" s="12"/>
    </row>
    <row r="797" customFormat="false" ht="15.75" hidden="true" customHeight="true" outlineLevel="0" collapsed="false">
      <c r="B797" s="7"/>
      <c r="H797" s="14"/>
      <c r="I797" s="14"/>
      <c r="J797" s="14"/>
      <c r="K797" s="14"/>
      <c r="L797" s="14"/>
      <c r="M797" s="14"/>
    </row>
    <row r="798" customFormat="false" ht="15.75" hidden="true" customHeight="true" outlineLevel="0" collapsed="false">
      <c r="B798" s="7"/>
      <c r="H798" s="12"/>
      <c r="I798" s="12"/>
      <c r="J798" s="12"/>
      <c r="K798" s="12"/>
      <c r="L798" s="12"/>
      <c r="M798" s="12"/>
    </row>
    <row r="799" customFormat="false" ht="15.75" hidden="true" customHeight="true" outlineLevel="0" collapsed="false">
      <c r="B799" s="7"/>
      <c r="H799" s="14"/>
      <c r="I799" s="14"/>
      <c r="J799" s="14"/>
      <c r="K799" s="14"/>
      <c r="L799" s="14"/>
      <c r="M799" s="14"/>
    </row>
    <row r="800" customFormat="false" ht="15.75" hidden="true" customHeight="true" outlineLevel="0" collapsed="false">
      <c r="B800" s="7"/>
      <c r="H800" s="12"/>
      <c r="I800" s="12"/>
      <c r="J800" s="12"/>
      <c r="K800" s="12"/>
      <c r="L800" s="12"/>
      <c r="M800" s="12"/>
    </row>
    <row r="801" customFormat="false" ht="15.75" hidden="true" customHeight="true" outlineLevel="0" collapsed="false">
      <c r="B801" s="7"/>
      <c r="H801" s="14"/>
      <c r="I801" s="14"/>
      <c r="J801" s="14"/>
      <c r="K801" s="14"/>
      <c r="L801" s="14"/>
      <c r="M801" s="14"/>
    </row>
    <row r="802" customFormat="false" ht="15.75" hidden="true" customHeight="true" outlineLevel="0" collapsed="false">
      <c r="B802" s="7"/>
      <c r="H802" s="12"/>
      <c r="I802" s="12"/>
      <c r="J802" s="12"/>
      <c r="K802" s="12"/>
      <c r="L802" s="12"/>
      <c r="M802" s="12"/>
    </row>
    <row r="803" customFormat="false" ht="15.75" hidden="true" customHeight="true" outlineLevel="0" collapsed="false">
      <c r="B803" s="7"/>
      <c r="H803" s="14"/>
      <c r="I803" s="14"/>
      <c r="J803" s="14"/>
      <c r="K803" s="14"/>
      <c r="L803" s="14"/>
      <c r="M803" s="14"/>
    </row>
    <row r="804" customFormat="false" ht="15.75" hidden="true" customHeight="true" outlineLevel="0" collapsed="false">
      <c r="B804" s="7"/>
      <c r="H804" s="12"/>
      <c r="I804" s="12"/>
      <c r="J804" s="12"/>
      <c r="K804" s="12"/>
      <c r="L804" s="12"/>
      <c r="M804" s="12"/>
    </row>
    <row r="805" customFormat="false" ht="15.75" hidden="true" customHeight="true" outlineLevel="0" collapsed="false">
      <c r="B805" s="7"/>
      <c r="H805" s="14"/>
      <c r="I805" s="14"/>
      <c r="J805" s="14"/>
      <c r="K805" s="14"/>
      <c r="L805" s="14"/>
      <c r="M805" s="14"/>
    </row>
    <row r="806" customFormat="false" ht="15.75" hidden="true" customHeight="true" outlineLevel="0" collapsed="false">
      <c r="B806" s="7"/>
      <c r="H806" s="12"/>
      <c r="I806" s="12"/>
      <c r="J806" s="12"/>
      <c r="K806" s="12"/>
      <c r="L806" s="12"/>
      <c r="M806" s="12"/>
    </row>
    <row r="807" customFormat="false" ht="15.75" hidden="true" customHeight="true" outlineLevel="0" collapsed="false">
      <c r="B807" s="7"/>
      <c r="H807" s="14"/>
      <c r="I807" s="14"/>
      <c r="J807" s="14"/>
      <c r="K807" s="14"/>
      <c r="L807" s="14"/>
      <c r="M807" s="14"/>
    </row>
    <row r="808" customFormat="false" ht="15.75" hidden="true" customHeight="true" outlineLevel="0" collapsed="false">
      <c r="B808" s="7"/>
      <c r="H808" s="12"/>
      <c r="I808" s="12"/>
      <c r="J808" s="12"/>
      <c r="K808" s="12"/>
      <c r="L808" s="12"/>
      <c r="M808" s="12"/>
    </row>
    <row r="809" customFormat="false" ht="15.75" hidden="true" customHeight="true" outlineLevel="0" collapsed="false">
      <c r="B809" s="7"/>
      <c r="H809" s="14"/>
      <c r="I809" s="14"/>
      <c r="J809" s="14"/>
      <c r="K809" s="14"/>
      <c r="L809" s="14"/>
      <c r="M809" s="14"/>
    </row>
    <row r="810" customFormat="false" ht="15.75" hidden="true" customHeight="true" outlineLevel="0" collapsed="false">
      <c r="B810" s="7"/>
      <c r="H810" s="12"/>
      <c r="I810" s="12"/>
      <c r="J810" s="12"/>
      <c r="K810" s="12"/>
      <c r="L810" s="12"/>
      <c r="M810" s="12"/>
    </row>
    <row r="811" customFormat="false" ht="15.75" hidden="true" customHeight="true" outlineLevel="0" collapsed="false">
      <c r="B811" s="7"/>
      <c r="H811" s="14"/>
      <c r="I811" s="14"/>
      <c r="J811" s="14"/>
      <c r="K811" s="14"/>
      <c r="L811" s="14"/>
      <c r="M811" s="14"/>
    </row>
    <row r="812" customFormat="false" ht="15.75" hidden="true" customHeight="true" outlineLevel="0" collapsed="false">
      <c r="B812" s="7"/>
      <c r="H812" s="12"/>
      <c r="I812" s="12"/>
      <c r="J812" s="12"/>
      <c r="K812" s="12"/>
      <c r="L812" s="12"/>
      <c r="M812" s="12"/>
    </row>
    <row r="813" customFormat="false" ht="15.75" hidden="true" customHeight="true" outlineLevel="0" collapsed="false">
      <c r="B813" s="7"/>
      <c r="H813" s="14"/>
      <c r="I813" s="14"/>
      <c r="J813" s="14"/>
      <c r="K813" s="14"/>
      <c r="L813" s="14"/>
      <c r="M813" s="14"/>
    </row>
    <row r="814" customFormat="false" ht="15.75" hidden="true" customHeight="true" outlineLevel="0" collapsed="false">
      <c r="B814" s="7"/>
      <c r="H814" s="12"/>
      <c r="I814" s="12"/>
      <c r="J814" s="12"/>
      <c r="K814" s="12"/>
      <c r="L814" s="12"/>
      <c r="M814" s="12"/>
    </row>
    <row r="815" customFormat="false" ht="15.75" hidden="true" customHeight="true" outlineLevel="0" collapsed="false">
      <c r="B815" s="7"/>
      <c r="H815" s="14"/>
      <c r="I815" s="14"/>
      <c r="J815" s="14"/>
      <c r="K815" s="14"/>
      <c r="L815" s="14"/>
      <c r="M815" s="14"/>
    </row>
    <row r="816" customFormat="false" ht="15.75" hidden="true" customHeight="true" outlineLevel="0" collapsed="false">
      <c r="B816" s="7"/>
      <c r="H816" s="12"/>
      <c r="I816" s="12"/>
      <c r="J816" s="12"/>
      <c r="K816" s="12"/>
      <c r="L816" s="12"/>
      <c r="M816" s="12"/>
    </row>
    <row r="817" customFormat="false" ht="15.75" hidden="true" customHeight="true" outlineLevel="0" collapsed="false">
      <c r="B817" s="7"/>
      <c r="H817" s="14"/>
      <c r="I817" s="14"/>
      <c r="J817" s="14"/>
      <c r="K817" s="14"/>
      <c r="L817" s="14"/>
      <c r="M817" s="14"/>
    </row>
    <row r="818" customFormat="false" ht="15.75" hidden="true" customHeight="true" outlineLevel="0" collapsed="false">
      <c r="B818" s="7"/>
      <c r="H818" s="12"/>
      <c r="I818" s="12"/>
      <c r="J818" s="12"/>
      <c r="K818" s="12"/>
      <c r="L818" s="12"/>
      <c r="M818" s="12"/>
    </row>
    <row r="819" customFormat="false" ht="15.75" hidden="true" customHeight="true" outlineLevel="0" collapsed="false">
      <c r="B819" s="7"/>
      <c r="H819" s="14"/>
      <c r="I819" s="14"/>
      <c r="J819" s="14"/>
      <c r="K819" s="14"/>
      <c r="L819" s="14"/>
      <c r="M819" s="14"/>
    </row>
    <row r="820" customFormat="false" ht="15.75" hidden="true" customHeight="true" outlineLevel="0" collapsed="false">
      <c r="B820" s="7"/>
      <c r="H820" s="12"/>
      <c r="I820" s="12"/>
      <c r="J820" s="12"/>
      <c r="K820" s="12"/>
      <c r="L820" s="12"/>
      <c r="M820" s="12"/>
    </row>
    <row r="821" customFormat="false" ht="15.75" hidden="true" customHeight="true" outlineLevel="0" collapsed="false">
      <c r="B821" s="7"/>
      <c r="H821" s="14"/>
      <c r="I821" s="14"/>
      <c r="J821" s="14"/>
      <c r="K821" s="14"/>
      <c r="L821" s="14"/>
      <c r="M821" s="14"/>
    </row>
    <row r="822" customFormat="false" ht="15.75" hidden="true" customHeight="true" outlineLevel="0" collapsed="false">
      <c r="B822" s="7"/>
      <c r="H822" s="12"/>
      <c r="I822" s="12"/>
      <c r="J822" s="12"/>
      <c r="K822" s="12"/>
      <c r="L822" s="12"/>
      <c r="M822" s="12"/>
    </row>
    <row r="823" customFormat="false" ht="15.75" hidden="true" customHeight="true" outlineLevel="0" collapsed="false">
      <c r="B823" s="7"/>
      <c r="H823" s="14"/>
      <c r="I823" s="14"/>
      <c r="J823" s="14"/>
      <c r="K823" s="14"/>
      <c r="L823" s="14"/>
      <c r="M823" s="14"/>
    </row>
    <row r="824" customFormat="false" ht="15.75" hidden="true" customHeight="true" outlineLevel="0" collapsed="false">
      <c r="B824" s="7"/>
      <c r="H824" s="12"/>
      <c r="I824" s="12"/>
      <c r="J824" s="12"/>
      <c r="K824" s="12"/>
      <c r="L824" s="12"/>
      <c r="M824" s="12"/>
    </row>
    <row r="825" customFormat="false" ht="15.75" hidden="true" customHeight="true" outlineLevel="0" collapsed="false">
      <c r="B825" s="7"/>
      <c r="H825" s="14"/>
      <c r="I825" s="14"/>
      <c r="J825" s="14"/>
      <c r="K825" s="14"/>
      <c r="L825" s="14"/>
      <c r="M825" s="14"/>
    </row>
    <row r="826" customFormat="false" ht="15.75" hidden="true" customHeight="true" outlineLevel="0" collapsed="false">
      <c r="B826" s="7"/>
      <c r="H826" s="12"/>
      <c r="I826" s="12"/>
      <c r="J826" s="12"/>
      <c r="K826" s="12"/>
      <c r="L826" s="12"/>
      <c r="M826" s="12"/>
    </row>
    <row r="827" customFormat="false" ht="15.75" hidden="true" customHeight="true" outlineLevel="0" collapsed="false">
      <c r="B827" s="7"/>
      <c r="H827" s="14"/>
      <c r="I827" s="14"/>
      <c r="J827" s="14"/>
      <c r="K827" s="14"/>
      <c r="L827" s="14"/>
      <c r="M827" s="14"/>
    </row>
    <row r="828" customFormat="false" ht="15.75" hidden="true" customHeight="true" outlineLevel="0" collapsed="false">
      <c r="B828" s="7"/>
      <c r="H828" s="12"/>
      <c r="I828" s="12"/>
      <c r="J828" s="12"/>
      <c r="K828" s="12"/>
      <c r="L828" s="12"/>
      <c r="M828" s="12"/>
    </row>
    <row r="829" customFormat="false" ht="15.75" hidden="true" customHeight="true" outlineLevel="0" collapsed="false">
      <c r="B829" s="7"/>
      <c r="H829" s="14"/>
      <c r="I829" s="14"/>
      <c r="J829" s="14"/>
      <c r="K829" s="14"/>
      <c r="L829" s="14"/>
      <c r="M829" s="14"/>
    </row>
    <row r="830" customFormat="false" ht="15.75" hidden="true" customHeight="true" outlineLevel="0" collapsed="false">
      <c r="B830" s="7"/>
      <c r="H830" s="12"/>
      <c r="I830" s="12"/>
      <c r="J830" s="12"/>
      <c r="K830" s="12"/>
      <c r="L830" s="12"/>
      <c r="M830" s="12"/>
    </row>
    <row r="831" customFormat="false" ht="15.75" hidden="true" customHeight="true" outlineLevel="0" collapsed="false">
      <c r="B831" s="7"/>
      <c r="H831" s="14"/>
      <c r="I831" s="14"/>
      <c r="J831" s="14"/>
      <c r="K831" s="14"/>
      <c r="L831" s="14"/>
      <c r="M831" s="14"/>
    </row>
    <row r="832" customFormat="false" ht="15.75" hidden="true" customHeight="true" outlineLevel="0" collapsed="false">
      <c r="B832" s="7"/>
      <c r="H832" s="12"/>
      <c r="I832" s="12"/>
      <c r="J832" s="12"/>
      <c r="K832" s="12"/>
      <c r="L832" s="12"/>
      <c r="M832" s="12"/>
    </row>
    <row r="833" customFormat="false" ht="15.75" hidden="true" customHeight="true" outlineLevel="0" collapsed="false">
      <c r="B833" s="7"/>
      <c r="H833" s="14"/>
      <c r="I833" s="14"/>
      <c r="J833" s="14"/>
      <c r="K833" s="14"/>
      <c r="L833" s="14"/>
      <c r="M833" s="14"/>
    </row>
    <row r="834" customFormat="false" ht="15.75" hidden="true" customHeight="true" outlineLevel="0" collapsed="false">
      <c r="B834" s="7"/>
      <c r="H834" s="12"/>
      <c r="I834" s="12"/>
      <c r="J834" s="12"/>
      <c r="K834" s="12"/>
      <c r="L834" s="12"/>
      <c r="M834" s="12"/>
    </row>
    <row r="835" customFormat="false" ht="15.75" hidden="true" customHeight="true" outlineLevel="0" collapsed="false">
      <c r="B835" s="7"/>
      <c r="H835" s="14"/>
      <c r="I835" s="14"/>
      <c r="J835" s="14"/>
      <c r="K835" s="14"/>
      <c r="L835" s="14"/>
      <c r="M835" s="14"/>
    </row>
    <row r="836" customFormat="false" ht="15.75" hidden="true" customHeight="true" outlineLevel="0" collapsed="false">
      <c r="B836" s="7"/>
      <c r="H836" s="12"/>
      <c r="I836" s="12"/>
      <c r="J836" s="12"/>
      <c r="K836" s="12"/>
      <c r="L836" s="12"/>
      <c r="M836" s="12"/>
    </row>
    <row r="837" customFormat="false" ht="15.75" hidden="true" customHeight="true" outlineLevel="0" collapsed="false">
      <c r="B837" s="7"/>
      <c r="H837" s="14"/>
      <c r="I837" s="14"/>
      <c r="J837" s="14"/>
      <c r="K837" s="14"/>
      <c r="L837" s="14"/>
      <c r="M837" s="14"/>
    </row>
    <row r="838" customFormat="false" ht="15.75" hidden="true" customHeight="true" outlineLevel="0" collapsed="false">
      <c r="B838" s="7"/>
      <c r="H838" s="12"/>
      <c r="I838" s="12"/>
      <c r="J838" s="12"/>
      <c r="K838" s="12"/>
      <c r="L838" s="12"/>
      <c r="M838" s="12"/>
    </row>
    <row r="839" customFormat="false" ht="15.75" hidden="true" customHeight="true" outlineLevel="0" collapsed="false">
      <c r="B839" s="7"/>
      <c r="H839" s="14"/>
      <c r="I839" s="14"/>
      <c r="J839" s="14"/>
      <c r="K839" s="14"/>
      <c r="L839" s="14"/>
      <c r="M839" s="14"/>
    </row>
    <row r="840" customFormat="false" ht="15.75" hidden="true" customHeight="true" outlineLevel="0" collapsed="false">
      <c r="B840" s="7"/>
      <c r="H840" s="12"/>
      <c r="I840" s="12"/>
      <c r="J840" s="12"/>
      <c r="K840" s="12"/>
      <c r="L840" s="12"/>
      <c r="M840" s="12"/>
    </row>
    <row r="841" customFormat="false" ht="15.75" hidden="true" customHeight="true" outlineLevel="0" collapsed="false">
      <c r="B841" s="7"/>
      <c r="H841" s="14"/>
      <c r="I841" s="14"/>
      <c r="J841" s="14"/>
      <c r="K841" s="14"/>
      <c r="L841" s="14"/>
      <c r="M841" s="14"/>
    </row>
    <row r="842" customFormat="false" ht="15.75" hidden="true" customHeight="true" outlineLevel="0" collapsed="false">
      <c r="B842" s="7"/>
      <c r="H842" s="12"/>
      <c r="I842" s="12"/>
      <c r="J842" s="12"/>
      <c r="K842" s="12"/>
      <c r="L842" s="12"/>
      <c r="M842" s="12"/>
    </row>
    <row r="843" customFormat="false" ht="15.75" hidden="true" customHeight="true" outlineLevel="0" collapsed="false">
      <c r="B843" s="7"/>
      <c r="H843" s="14"/>
      <c r="I843" s="14"/>
      <c r="J843" s="14"/>
      <c r="K843" s="14"/>
      <c r="L843" s="14"/>
      <c r="M843" s="14"/>
    </row>
    <row r="844" customFormat="false" ht="15.75" hidden="true" customHeight="true" outlineLevel="0" collapsed="false">
      <c r="B844" s="7"/>
      <c r="H844" s="12"/>
      <c r="I844" s="12"/>
      <c r="J844" s="12"/>
      <c r="K844" s="12"/>
      <c r="L844" s="12"/>
      <c r="M844" s="12"/>
    </row>
    <row r="845" customFormat="false" ht="15.75" hidden="true" customHeight="true" outlineLevel="0" collapsed="false">
      <c r="B845" s="7"/>
      <c r="H845" s="14"/>
      <c r="I845" s="14"/>
      <c r="J845" s="14"/>
      <c r="K845" s="14"/>
      <c r="L845" s="14"/>
      <c r="M845" s="14"/>
    </row>
    <row r="846" customFormat="false" ht="15.75" hidden="true" customHeight="true" outlineLevel="0" collapsed="false">
      <c r="B846" s="7"/>
      <c r="H846" s="12"/>
      <c r="I846" s="12"/>
      <c r="J846" s="12"/>
      <c r="K846" s="12"/>
      <c r="L846" s="12"/>
      <c r="M846" s="12"/>
    </row>
    <row r="847" customFormat="false" ht="15.75" hidden="true" customHeight="true" outlineLevel="0" collapsed="false">
      <c r="B847" s="7"/>
      <c r="H847" s="14"/>
      <c r="I847" s="14"/>
      <c r="J847" s="14"/>
      <c r="K847" s="14"/>
      <c r="L847" s="14"/>
      <c r="M847" s="14"/>
    </row>
    <row r="848" customFormat="false" ht="15.75" hidden="true" customHeight="true" outlineLevel="0" collapsed="false">
      <c r="B848" s="7"/>
      <c r="H848" s="12"/>
      <c r="I848" s="12"/>
      <c r="J848" s="12"/>
      <c r="K848" s="12"/>
      <c r="L848" s="12"/>
      <c r="M848" s="12"/>
    </row>
    <row r="849" customFormat="false" ht="15.75" hidden="true" customHeight="true" outlineLevel="0" collapsed="false">
      <c r="B849" s="7"/>
      <c r="H849" s="14"/>
      <c r="I849" s="14"/>
      <c r="J849" s="14"/>
      <c r="K849" s="14"/>
      <c r="L849" s="14"/>
      <c r="M849" s="14"/>
    </row>
    <row r="850" customFormat="false" ht="15.75" hidden="true" customHeight="true" outlineLevel="0" collapsed="false">
      <c r="B850" s="7"/>
      <c r="H850" s="12"/>
      <c r="I850" s="12"/>
      <c r="J850" s="12"/>
      <c r="K850" s="12"/>
      <c r="L850" s="12"/>
      <c r="M850" s="12"/>
    </row>
    <row r="851" customFormat="false" ht="15.75" hidden="true" customHeight="true" outlineLevel="0" collapsed="false">
      <c r="B851" s="7"/>
      <c r="H851" s="14"/>
      <c r="I851" s="14"/>
      <c r="J851" s="14"/>
      <c r="K851" s="14"/>
      <c r="L851" s="14"/>
      <c r="M851" s="14"/>
    </row>
    <row r="852" customFormat="false" ht="15.75" hidden="true" customHeight="true" outlineLevel="0" collapsed="false">
      <c r="B852" s="7"/>
      <c r="H852" s="12"/>
      <c r="I852" s="12"/>
      <c r="J852" s="12"/>
      <c r="K852" s="12"/>
      <c r="L852" s="12"/>
      <c r="M852" s="12"/>
    </row>
    <row r="853" customFormat="false" ht="15.75" hidden="true" customHeight="true" outlineLevel="0" collapsed="false">
      <c r="B853" s="7"/>
      <c r="H853" s="14"/>
      <c r="I853" s="14"/>
      <c r="J853" s="14"/>
      <c r="K853" s="14"/>
      <c r="L853" s="14"/>
      <c r="M853" s="14"/>
    </row>
    <row r="854" customFormat="false" ht="15.75" hidden="true" customHeight="true" outlineLevel="0" collapsed="false">
      <c r="B854" s="7"/>
      <c r="H854" s="12"/>
      <c r="I854" s="12"/>
      <c r="J854" s="12"/>
      <c r="K854" s="12"/>
      <c r="L854" s="12"/>
      <c r="M854" s="12"/>
    </row>
    <row r="855" customFormat="false" ht="15.75" hidden="true" customHeight="true" outlineLevel="0" collapsed="false">
      <c r="B855" s="7"/>
      <c r="H855" s="14"/>
      <c r="I855" s="14"/>
      <c r="J855" s="14"/>
      <c r="K855" s="14"/>
      <c r="L855" s="14"/>
      <c r="M855" s="14"/>
    </row>
    <row r="856" customFormat="false" ht="15.75" hidden="true" customHeight="true" outlineLevel="0" collapsed="false">
      <c r="B856" s="7"/>
      <c r="H856" s="12"/>
      <c r="I856" s="12"/>
      <c r="J856" s="12"/>
      <c r="K856" s="12"/>
      <c r="L856" s="12"/>
      <c r="M856" s="12"/>
    </row>
    <row r="857" customFormat="false" ht="15.75" hidden="true" customHeight="true" outlineLevel="0" collapsed="false">
      <c r="B857" s="7"/>
      <c r="H857" s="14"/>
      <c r="I857" s="14"/>
      <c r="J857" s="14"/>
      <c r="K857" s="14"/>
      <c r="L857" s="14"/>
      <c r="M857" s="14"/>
    </row>
    <row r="858" customFormat="false" ht="15.75" hidden="true" customHeight="true" outlineLevel="0" collapsed="false">
      <c r="B858" s="7"/>
      <c r="H858" s="12"/>
      <c r="I858" s="12"/>
      <c r="J858" s="12"/>
      <c r="K858" s="12"/>
      <c r="L858" s="12"/>
      <c r="M858" s="12"/>
    </row>
    <row r="859" customFormat="false" ht="15.75" hidden="true" customHeight="true" outlineLevel="0" collapsed="false">
      <c r="B859" s="7"/>
      <c r="H859" s="14"/>
      <c r="I859" s="14"/>
      <c r="J859" s="14"/>
      <c r="K859" s="14"/>
      <c r="L859" s="14"/>
      <c r="M859" s="14"/>
    </row>
    <row r="860" customFormat="false" ht="15.75" hidden="true" customHeight="true" outlineLevel="0" collapsed="false">
      <c r="B860" s="7"/>
      <c r="H860" s="12"/>
      <c r="I860" s="12"/>
      <c r="J860" s="12"/>
      <c r="K860" s="12"/>
      <c r="L860" s="12"/>
      <c r="M860" s="12"/>
    </row>
    <row r="861" customFormat="false" ht="15.75" hidden="true" customHeight="true" outlineLevel="0" collapsed="false">
      <c r="B861" s="7"/>
      <c r="H861" s="14"/>
      <c r="I861" s="14"/>
      <c r="J861" s="14"/>
      <c r="K861" s="14"/>
      <c r="L861" s="14"/>
      <c r="M861" s="14"/>
    </row>
    <row r="862" customFormat="false" ht="15.75" hidden="true" customHeight="true" outlineLevel="0" collapsed="false">
      <c r="B862" s="7"/>
      <c r="H862" s="12"/>
      <c r="I862" s="12"/>
      <c r="J862" s="12"/>
      <c r="K862" s="12"/>
      <c r="L862" s="12"/>
      <c r="M862" s="12"/>
    </row>
    <row r="863" customFormat="false" ht="15.75" hidden="true" customHeight="true" outlineLevel="0" collapsed="false">
      <c r="B863" s="7"/>
      <c r="H863" s="14"/>
      <c r="I863" s="14"/>
      <c r="J863" s="14"/>
      <c r="K863" s="14"/>
      <c r="L863" s="14"/>
      <c r="M863" s="14"/>
    </row>
    <row r="864" customFormat="false" ht="15.75" hidden="true" customHeight="true" outlineLevel="0" collapsed="false">
      <c r="B864" s="7"/>
      <c r="H864" s="12"/>
      <c r="I864" s="12"/>
      <c r="J864" s="12"/>
      <c r="K864" s="12"/>
      <c r="L864" s="12"/>
      <c r="M864" s="12"/>
    </row>
    <row r="865" customFormat="false" ht="15.75" hidden="true" customHeight="true" outlineLevel="0" collapsed="false">
      <c r="B865" s="7"/>
      <c r="H865" s="14"/>
      <c r="I865" s="14"/>
      <c r="J865" s="14"/>
      <c r="K865" s="14"/>
      <c r="L865" s="14"/>
      <c r="M865" s="14"/>
    </row>
    <row r="866" customFormat="false" ht="15.75" hidden="true" customHeight="true" outlineLevel="0" collapsed="false">
      <c r="B866" s="7"/>
      <c r="H866" s="12"/>
      <c r="I866" s="12"/>
      <c r="J866" s="12"/>
      <c r="K866" s="12"/>
      <c r="L866" s="12"/>
      <c r="M866" s="12"/>
    </row>
    <row r="867" customFormat="false" ht="15.75" hidden="true" customHeight="true" outlineLevel="0" collapsed="false">
      <c r="B867" s="7"/>
      <c r="H867" s="14"/>
      <c r="I867" s="14"/>
      <c r="J867" s="14"/>
      <c r="K867" s="14"/>
      <c r="L867" s="14"/>
      <c r="M867" s="14"/>
    </row>
    <row r="868" customFormat="false" ht="15.75" hidden="true" customHeight="true" outlineLevel="0" collapsed="false">
      <c r="B868" s="7"/>
      <c r="H868" s="12"/>
      <c r="I868" s="12"/>
      <c r="J868" s="12"/>
      <c r="K868" s="12"/>
      <c r="L868" s="12"/>
      <c r="M868" s="12"/>
    </row>
    <row r="869" customFormat="false" ht="15.75" hidden="true" customHeight="true" outlineLevel="0" collapsed="false">
      <c r="B869" s="7"/>
      <c r="H869" s="14"/>
      <c r="I869" s="14"/>
      <c r="J869" s="14"/>
      <c r="K869" s="14"/>
      <c r="L869" s="14"/>
      <c r="M869" s="14"/>
    </row>
    <row r="870" customFormat="false" ht="15.75" hidden="true" customHeight="true" outlineLevel="0" collapsed="false">
      <c r="B870" s="7"/>
      <c r="H870" s="12"/>
      <c r="I870" s="12"/>
      <c r="J870" s="12"/>
      <c r="K870" s="12"/>
      <c r="L870" s="12"/>
      <c r="M870" s="12"/>
    </row>
    <row r="871" customFormat="false" ht="15.75" hidden="true" customHeight="true" outlineLevel="0" collapsed="false">
      <c r="B871" s="7"/>
      <c r="H871" s="14"/>
      <c r="I871" s="14"/>
      <c r="J871" s="14"/>
      <c r="K871" s="14"/>
      <c r="L871" s="14"/>
      <c r="M871" s="14"/>
    </row>
    <row r="872" customFormat="false" ht="15.75" hidden="true" customHeight="true" outlineLevel="0" collapsed="false">
      <c r="B872" s="7"/>
      <c r="H872" s="12"/>
      <c r="I872" s="12"/>
      <c r="J872" s="12"/>
      <c r="K872" s="12"/>
      <c r="L872" s="12"/>
      <c r="M872" s="12"/>
    </row>
    <row r="873" customFormat="false" ht="15.75" hidden="true" customHeight="true" outlineLevel="0" collapsed="false">
      <c r="B873" s="7"/>
      <c r="H873" s="14"/>
      <c r="I873" s="14"/>
      <c r="J873" s="14"/>
      <c r="K873" s="14"/>
      <c r="L873" s="14"/>
      <c r="M873" s="14"/>
    </row>
    <row r="874" customFormat="false" ht="15.75" hidden="true" customHeight="true" outlineLevel="0" collapsed="false">
      <c r="B874" s="7"/>
      <c r="H874" s="12"/>
      <c r="I874" s="12"/>
      <c r="J874" s="12"/>
      <c r="K874" s="12"/>
      <c r="L874" s="12"/>
      <c r="M874" s="12"/>
    </row>
    <row r="875" customFormat="false" ht="15.75" hidden="true" customHeight="true" outlineLevel="0" collapsed="false">
      <c r="B875" s="7"/>
      <c r="H875" s="14"/>
      <c r="I875" s="14"/>
      <c r="J875" s="14"/>
      <c r="K875" s="14"/>
      <c r="L875" s="14"/>
      <c r="M875" s="14"/>
    </row>
    <row r="876" customFormat="false" ht="15.75" hidden="true" customHeight="true" outlineLevel="0" collapsed="false">
      <c r="B876" s="7"/>
      <c r="H876" s="12"/>
      <c r="I876" s="12"/>
      <c r="J876" s="12"/>
      <c r="K876" s="12"/>
      <c r="L876" s="12"/>
      <c r="M876" s="12"/>
    </row>
    <row r="877" customFormat="false" ht="15.75" hidden="true" customHeight="true" outlineLevel="0" collapsed="false">
      <c r="B877" s="7"/>
      <c r="H877" s="14"/>
      <c r="I877" s="14"/>
      <c r="J877" s="14"/>
      <c r="K877" s="14"/>
      <c r="L877" s="14"/>
      <c r="M877" s="14"/>
    </row>
    <row r="878" customFormat="false" ht="15.75" hidden="true" customHeight="true" outlineLevel="0" collapsed="false">
      <c r="B878" s="7"/>
      <c r="H878" s="12"/>
      <c r="I878" s="12"/>
      <c r="J878" s="12"/>
      <c r="K878" s="12"/>
      <c r="L878" s="12"/>
      <c r="M878" s="12"/>
    </row>
    <row r="879" customFormat="false" ht="15.75" hidden="true" customHeight="true" outlineLevel="0" collapsed="false">
      <c r="B879" s="7"/>
      <c r="H879" s="14"/>
      <c r="I879" s="14"/>
      <c r="J879" s="14"/>
      <c r="K879" s="14"/>
      <c r="L879" s="14"/>
      <c r="M879" s="14"/>
    </row>
    <row r="880" customFormat="false" ht="15.75" hidden="true" customHeight="true" outlineLevel="0" collapsed="false">
      <c r="B880" s="7"/>
      <c r="H880" s="12"/>
      <c r="I880" s="12"/>
      <c r="J880" s="12"/>
      <c r="K880" s="12"/>
      <c r="L880" s="12"/>
      <c r="M880" s="12"/>
    </row>
    <row r="881" customFormat="false" ht="15.75" hidden="true" customHeight="true" outlineLevel="0" collapsed="false">
      <c r="B881" s="7"/>
      <c r="H881" s="14"/>
      <c r="I881" s="14"/>
      <c r="J881" s="14"/>
      <c r="K881" s="14"/>
      <c r="L881" s="14"/>
      <c r="M881" s="14"/>
    </row>
    <row r="882" customFormat="false" ht="15.75" hidden="true" customHeight="true" outlineLevel="0" collapsed="false">
      <c r="B882" s="7"/>
      <c r="H882" s="12"/>
      <c r="I882" s="12"/>
      <c r="J882" s="12"/>
      <c r="K882" s="12"/>
      <c r="L882" s="12"/>
      <c r="M882" s="12"/>
    </row>
    <row r="883" customFormat="false" ht="15.75" hidden="true" customHeight="true" outlineLevel="0" collapsed="false">
      <c r="B883" s="7"/>
      <c r="H883" s="14"/>
      <c r="I883" s="14"/>
      <c r="J883" s="14"/>
      <c r="K883" s="14"/>
      <c r="L883" s="14"/>
      <c r="M883" s="14"/>
    </row>
    <row r="884" customFormat="false" ht="15.75" hidden="true" customHeight="true" outlineLevel="0" collapsed="false">
      <c r="B884" s="7"/>
      <c r="H884" s="12"/>
      <c r="I884" s="12"/>
      <c r="J884" s="12"/>
      <c r="K884" s="12"/>
      <c r="L884" s="12"/>
      <c r="M884" s="12"/>
    </row>
    <row r="885" customFormat="false" ht="15.75" hidden="true" customHeight="true" outlineLevel="0" collapsed="false">
      <c r="B885" s="7"/>
      <c r="H885" s="14"/>
      <c r="I885" s="14"/>
      <c r="J885" s="14"/>
      <c r="K885" s="14"/>
      <c r="L885" s="14"/>
      <c r="M885" s="14"/>
    </row>
    <row r="886" customFormat="false" ht="15.75" hidden="true" customHeight="true" outlineLevel="0" collapsed="false">
      <c r="B886" s="7"/>
      <c r="H886" s="12"/>
      <c r="I886" s="12"/>
      <c r="J886" s="12"/>
      <c r="K886" s="12"/>
      <c r="L886" s="12"/>
      <c r="M886" s="12"/>
    </row>
    <row r="887" customFormat="false" ht="15.75" hidden="true" customHeight="true" outlineLevel="0" collapsed="false">
      <c r="B887" s="7"/>
      <c r="H887" s="14"/>
      <c r="I887" s="14"/>
      <c r="J887" s="14"/>
      <c r="K887" s="14"/>
      <c r="L887" s="14"/>
      <c r="M887" s="14"/>
    </row>
    <row r="888" customFormat="false" ht="15.75" hidden="true" customHeight="true" outlineLevel="0" collapsed="false">
      <c r="B888" s="7"/>
      <c r="H888" s="12"/>
      <c r="I888" s="12"/>
      <c r="J888" s="12"/>
      <c r="K888" s="12"/>
      <c r="L888" s="12"/>
      <c r="M888" s="12"/>
    </row>
    <row r="889" customFormat="false" ht="15.75" hidden="true" customHeight="true" outlineLevel="0" collapsed="false">
      <c r="B889" s="7"/>
      <c r="H889" s="14"/>
      <c r="I889" s="14"/>
      <c r="J889" s="14"/>
      <c r="K889" s="14"/>
      <c r="L889" s="14"/>
      <c r="M889" s="14"/>
    </row>
    <row r="890" customFormat="false" ht="15.75" hidden="true" customHeight="true" outlineLevel="0" collapsed="false">
      <c r="B890" s="7"/>
      <c r="H890" s="12"/>
      <c r="I890" s="12"/>
      <c r="J890" s="12"/>
      <c r="K890" s="12"/>
      <c r="L890" s="12"/>
      <c r="M890" s="12"/>
    </row>
    <row r="891" customFormat="false" ht="15.75" hidden="true" customHeight="true" outlineLevel="0" collapsed="false">
      <c r="B891" s="7"/>
      <c r="H891" s="14"/>
      <c r="I891" s="14"/>
      <c r="J891" s="14"/>
      <c r="K891" s="14"/>
      <c r="L891" s="14"/>
      <c r="M891" s="14"/>
    </row>
    <row r="892" customFormat="false" ht="15.75" hidden="true" customHeight="true" outlineLevel="0" collapsed="false">
      <c r="B892" s="7"/>
      <c r="H892" s="12"/>
      <c r="I892" s="12"/>
      <c r="J892" s="12"/>
      <c r="K892" s="12"/>
      <c r="L892" s="12"/>
      <c r="M892" s="12"/>
    </row>
    <row r="893" customFormat="false" ht="15.75" hidden="true" customHeight="true" outlineLevel="0" collapsed="false">
      <c r="B893" s="7"/>
      <c r="H893" s="14"/>
      <c r="I893" s="14"/>
      <c r="J893" s="14"/>
      <c r="K893" s="14"/>
      <c r="L893" s="14"/>
      <c r="M893" s="14"/>
    </row>
    <row r="894" customFormat="false" ht="15.75" hidden="true" customHeight="true" outlineLevel="0" collapsed="false">
      <c r="B894" s="7"/>
      <c r="H894" s="12"/>
      <c r="I894" s="12"/>
      <c r="J894" s="12"/>
      <c r="K894" s="12"/>
      <c r="L894" s="12"/>
      <c r="M894" s="12"/>
    </row>
    <row r="895" customFormat="false" ht="15.75" hidden="true" customHeight="true" outlineLevel="0" collapsed="false">
      <c r="B895" s="7"/>
      <c r="H895" s="14"/>
      <c r="I895" s="14"/>
      <c r="J895" s="14"/>
      <c r="K895" s="14"/>
      <c r="L895" s="14"/>
      <c r="M895" s="14"/>
    </row>
    <row r="896" customFormat="false" ht="15.75" hidden="true" customHeight="true" outlineLevel="0" collapsed="false">
      <c r="B896" s="7"/>
      <c r="H896" s="12"/>
      <c r="I896" s="12"/>
      <c r="J896" s="12"/>
      <c r="K896" s="12"/>
      <c r="L896" s="12"/>
      <c r="M896" s="12"/>
    </row>
    <row r="897" customFormat="false" ht="15.75" hidden="true" customHeight="true" outlineLevel="0" collapsed="false">
      <c r="B897" s="7"/>
      <c r="H897" s="14"/>
      <c r="I897" s="14"/>
      <c r="J897" s="14"/>
      <c r="K897" s="14"/>
      <c r="L897" s="14"/>
      <c r="M897" s="14"/>
    </row>
    <row r="898" customFormat="false" ht="15.75" hidden="true" customHeight="true" outlineLevel="0" collapsed="false">
      <c r="B898" s="7"/>
      <c r="H898" s="12"/>
      <c r="I898" s="12"/>
      <c r="J898" s="12"/>
      <c r="K898" s="12"/>
      <c r="L898" s="12"/>
      <c r="M898" s="12"/>
    </row>
    <row r="899" customFormat="false" ht="15.75" hidden="true" customHeight="true" outlineLevel="0" collapsed="false">
      <c r="B899" s="7"/>
      <c r="H899" s="14"/>
      <c r="I899" s="14"/>
      <c r="J899" s="14"/>
      <c r="K899" s="14"/>
      <c r="L899" s="14"/>
      <c r="M899" s="14"/>
    </row>
    <row r="900" customFormat="false" ht="15.75" hidden="true" customHeight="true" outlineLevel="0" collapsed="false">
      <c r="B900" s="7"/>
      <c r="H900" s="12"/>
      <c r="I900" s="12"/>
      <c r="J900" s="12"/>
      <c r="K900" s="12"/>
      <c r="L900" s="12"/>
      <c r="M900" s="12"/>
    </row>
    <row r="901" customFormat="false" ht="15.75" hidden="true" customHeight="true" outlineLevel="0" collapsed="false">
      <c r="B901" s="7"/>
      <c r="H901" s="14"/>
      <c r="I901" s="14"/>
      <c r="J901" s="14"/>
      <c r="K901" s="14"/>
      <c r="L901" s="14"/>
      <c r="M901" s="14"/>
    </row>
    <row r="902" customFormat="false" ht="15.75" hidden="true" customHeight="true" outlineLevel="0" collapsed="false">
      <c r="B902" s="7"/>
      <c r="H902" s="12"/>
      <c r="I902" s="12"/>
      <c r="J902" s="12"/>
      <c r="K902" s="12"/>
      <c r="L902" s="12"/>
      <c r="M902" s="12"/>
    </row>
    <row r="903" customFormat="false" ht="15.75" hidden="true" customHeight="true" outlineLevel="0" collapsed="false">
      <c r="B903" s="7"/>
      <c r="H903" s="14"/>
      <c r="I903" s="14"/>
      <c r="J903" s="14"/>
      <c r="K903" s="14"/>
      <c r="L903" s="14"/>
      <c r="M903" s="14"/>
    </row>
    <row r="904" customFormat="false" ht="15.75" hidden="true" customHeight="true" outlineLevel="0" collapsed="false">
      <c r="B904" s="7"/>
      <c r="H904" s="12"/>
      <c r="I904" s="12"/>
      <c r="J904" s="12"/>
      <c r="K904" s="12"/>
      <c r="L904" s="12"/>
      <c r="M904" s="12"/>
    </row>
    <row r="905" customFormat="false" ht="15.75" hidden="true" customHeight="true" outlineLevel="0" collapsed="false">
      <c r="B905" s="7"/>
      <c r="H905" s="14"/>
      <c r="I905" s="14"/>
      <c r="J905" s="14"/>
      <c r="K905" s="14"/>
      <c r="L905" s="14"/>
      <c r="M905" s="14"/>
    </row>
    <row r="906" customFormat="false" ht="15.75" hidden="true" customHeight="true" outlineLevel="0" collapsed="false">
      <c r="B906" s="7"/>
      <c r="H906" s="12"/>
      <c r="I906" s="12"/>
      <c r="J906" s="12"/>
      <c r="K906" s="12"/>
      <c r="L906" s="12"/>
      <c r="M906" s="12"/>
    </row>
    <row r="907" customFormat="false" ht="15.75" hidden="true" customHeight="true" outlineLevel="0" collapsed="false">
      <c r="B907" s="7"/>
      <c r="H907" s="14"/>
      <c r="I907" s="14"/>
      <c r="J907" s="14"/>
      <c r="K907" s="14"/>
      <c r="L907" s="14"/>
      <c r="M907" s="14"/>
    </row>
    <row r="908" customFormat="false" ht="15.75" hidden="true" customHeight="true" outlineLevel="0" collapsed="false">
      <c r="B908" s="7"/>
      <c r="H908" s="12"/>
      <c r="I908" s="12"/>
      <c r="J908" s="12"/>
      <c r="K908" s="12"/>
      <c r="L908" s="12"/>
      <c r="M908" s="12"/>
    </row>
    <row r="909" customFormat="false" ht="15.75" hidden="true" customHeight="true" outlineLevel="0" collapsed="false">
      <c r="B909" s="7"/>
      <c r="H909" s="14"/>
      <c r="I909" s="14"/>
      <c r="J909" s="14"/>
      <c r="K909" s="14"/>
      <c r="L909" s="14"/>
      <c r="M909" s="14"/>
    </row>
    <row r="910" customFormat="false" ht="15.75" hidden="true" customHeight="true" outlineLevel="0" collapsed="false">
      <c r="B910" s="7"/>
      <c r="H910" s="12"/>
      <c r="I910" s="12"/>
      <c r="J910" s="12"/>
      <c r="K910" s="12"/>
      <c r="L910" s="12"/>
      <c r="M910" s="12"/>
    </row>
    <row r="911" customFormat="false" ht="15.75" hidden="true" customHeight="true" outlineLevel="0" collapsed="false">
      <c r="B911" s="7"/>
      <c r="H911" s="14"/>
      <c r="I911" s="14"/>
      <c r="J911" s="14"/>
      <c r="K911" s="14"/>
      <c r="L911" s="14"/>
      <c r="M911" s="14"/>
    </row>
    <row r="912" customFormat="false" ht="15.75" hidden="true" customHeight="true" outlineLevel="0" collapsed="false">
      <c r="B912" s="7"/>
      <c r="H912" s="12"/>
      <c r="I912" s="12"/>
      <c r="J912" s="12"/>
      <c r="K912" s="12"/>
      <c r="L912" s="12"/>
      <c r="M912" s="12"/>
    </row>
    <row r="913" customFormat="false" ht="15.75" hidden="true" customHeight="true" outlineLevel="0" collapsed="false">
      <c r="B913" s="7"/>
      <c r="H913" s="14"/>
      <c r="I913" s="14"/>
      <c r="J913" s="14"/>
      <c r="K913" s="14"/>
      <c r="L913" s="14"/>
      <c r="M913" s="14"/>
    </row>
    <row r="914" customFormat="false" ht="15.75" hidden="true" customHeight="true" outlineLevel="0" collapsed="false">
      <c r="B914" s="7"/>
      <c r="H914" s="12"/>
      <c r="I914" s="12"/>
      <c r="J914" s="12"/>
      <c r="K914" s="12"/>
      <c r="L914" s="12"/>
      <c r="M914" s="12"/>
    </row>
    <row r="915" customFormat="false" ht="15.75" hidden="true" customHeight="true" outlineLevel="0" collapsed="false">
      <c r="B915" s="7"/>
      <c r="H915" s="14"/>
      <c r="I915" s="14"/>
      <c r="J915" s="14"/>
      <c r="K915" s="14"/>
      <c r="L915" s="14"/>
      <c r="M915" s="14"/>
    </row>
    <row r="916" customFormat="false" ht="15.75" hidden="true" customHeight="true" outlineLevel="0" collapsed="false">
      <c r="B916" s="7"/>
      <c r="H916" s="12"/>
      <c r="I916" s="12"/>
      <c r="J916" s="12"/>
      <c r="K916" s="12"/>
      <c r="L916" s="12"/>
      <c r="M916" s="12"/>
    </row>
    <row r="917" customFormat="false" ht="15.75" hidden="true" customHeight="true" outlineLevel="0" collapsed="false">
      <c r="B917" s="7"/>
      <c r="H917" s="14"/>
      <c r="I917" s="14"/>
      <c r="J917" s="14"/>
      <c r="K917" s="14"/>
      <c r="L917" s="14"/>
      <c r="M917" s="14"/>
    </row>
    <row r="918" customFormat="false" ht="15.75" hidden="true" customHeight="true" outlineLevel="0" collapsed="false">
      <c r="B918" s="7"/>
      <c r="H918" s="12"/>
      <c r="I918" s="12"/>
      <c r="J918" s="12"/>
      <c r="K918" s="12"/>
      <c r="L918" s="12"/>
      <c r="M918" s="12"/>
    </row>
    <row r="919" customFormat="false" ht="15.75" hidden="true" customHeight="true" outlineLevel="0" collapsed="false">
      <c r="B919" s="7"/>
      <c r="H919" s="14"/>
      <c r="I919" s="14"/>
      <c r="J919" s="14"/>
      <c r="K919" s="14"/>
      <c r="L919" s="14"/>
      <c r="M919" s="14"/>
    </row>
    <row r="920" customFormat="false" ht="15.75" hidden="true" customHeight="true" outlineLevel="0" collapsed="false">
      <c r="B920" s="7"/>
      <c r="H920" s="12"/>
      <c r="I920" s="12"/>
      <c r="J920" s="12"/>
      <c r="K920" s="12"/>
      <c r="L920" s="12"/>
      <c r="M920" s="12"/>
    </row>
    <row r="921" customFormat="false" ht="15.75" hidden="true" customHeight="true" outlineLevel="0" collapsed="false">
      <c r="B921" s="7"/>
      <c r="H921" s="14"/>
      <c r="I921" s="14"/>
      <c r="J921" s="14"/>
      <c r="K921" s="14"/>
      <c r="L921" s="14"/>
      <c r="M921" s="14"/>
    </row>
    <row r="922" customFormat="false" ht="15.75" hidden="true" customHeight="true" outlineLevel="0" collapsed="false">
      <c r="B922" s="7"/>
      <c r="H922" s="12"/>
      <c r="I922" s="12"/>
      <c r="J922" s="12"/>
      <c r="K922" s="12"/>
      <c r="L922" s="12"/>
      <c r="M922" s="12"/>
    </row>
    <row r="923" customFormat="false" ht="15.75" hidden="true" customHeight="true" outlineLevel="0" collapsed="false">
      <c r="B923" s="7"/>
      <c r="H923" s="14"/>
      <c r="I923" s="14"/>
      <c r="J923" s="14"/>
      <c r="K923" s="14"/>
      <c r="L923" s="14"/>
      <c r="M923" s="14"/>
    </row>
    <row r="924" customFormat="false" ht="15.75" hidden="true" customHeight="true" outlineLevel="0" collapsed="false">
      <c r="B924" s="7"/>
      <c r="H924" s="12"/>
      <c r="I924" s="12"/>
      <c r="J924" s="12"/>
      <c r="K924" s="12"/>
      <c r="L924" s="12"/>
      <c r="M924" s="12"/>
    </row>
    <row r="925" customFormat="false" ht="15.75" hidden="true" customHeight="true" outlineLevel="0" collapsed="false">
      <c r="B925" s="7"/>
      <c r="H925" s="14"/>
      <c r="I925" s="14"/>
      <c r="J925" s="14"/>
      <c r="K925" s="14"/>
      <c r="L925" s="14"/>
      <c r="M925" s="14"/>
    </row>
    <row r="926" customFormat="false" ht="15.75" hidden="true" customHeight="true" outlineLevel="0" collapsed="false">
      <c r="B926" s="7"/>
      <c r="H926" s="12"/>
      <c r="I926" s="12"/>
      <c r="J926" s="12"/>
      <c r="K926" s="12"/>
      <c r="L926" s="12"/>
      <c r="M926" s="12"/>
    </row>
    <row r="927" customFormat="false" ht="15.75" hidden="true" customHeight="true" outlineLevel="0" collapsed="false">
      <c r="B927" s="7"/>
      <c r="H927" s="14"/>
      <c r="I927" s="14"/>
      <c r="J927" s="14"/>
      <c r="K927" s="14"/>
      <c r="L927" s="14"/>
      <c r="M927" s="14"/>
    </row>
    <row r="928" customFormat="false" ht="15.75" hidden="true" customHeight="true" outlineLevel="0" collapsed="false">
      <c r="B928" s="7"/>
      <c r="H928" s="12"/>
      <c r="I928" s="12"/>
      <c r="J928" s="12"/>
      <c r="K928" s="12"/>
      <c r="L928" s="12"/>
      <c r="M928" s="12"/>
    </row>
    <row r="929" customFormat="false" ht="15.75" hidden="true" customHeight="true" outlineLevel="0" collapsed="false">
      <c r="B929" s="7"/>
      <c r="H929" s="14"/>
      <c r="I929" s="14"/>
      <c r="J929" s="14"/>
      <c r="K929" s="14"/>
      <c r="L929" s="14"/>
      <c r="M929" s="14"/>
    </row>
    <row r="930" customFormat="false" ht="15.75" hidden="true" customHeight="true" outlineLevel="0" collapsed="false">
      <c r="B930" s="7"/>
      <c r="H930" s="12"/>
      <c r="I930" s="12"/>
      <c r="J930" s="12"/>
      <c r="K930" s="12"/>
      <c r="L930" s="12"/>
      <c r="M930" s="12"/>
    </row>
    <row r="931" customFormat="false" ht="15.75" hidden="true" customHeight="true" outlineLevel="0" collapsed="false">
      <c r="B931" s="7"/>
      <c r="H931" s="14"/>
      <c r="I931" s="14"/>
      <c r="J931" s="14"/>
      <c r="K931" s="14"/>
      <c r="L931" s="14"/>
      <c r="M931" s="14"/>
    </row>
    <row r="932" customFormat="false" ht="15.75" hidden="true" customHeight="true" outlineLevel="0" collapsed="false">
      <c r="B932" s="7"/>
      <c r="H932" s="12"/>
      <c r="I932" s="12"/>
      <c r="J932" s="12"/>
      <c r="K932" s="12"/>
      <c r="L932" s="12"/>
      <c r="M932" s="12"/>
    </row>
    <row r="933" customFormat="false" ht="15.75" hidden="true" customHeight="true" outlineLevel="0" collapsed="false">
      <c r="B933" s="7"/>
      <c r="H933" s="14"/>
      <c r="I933" s="14"/>
      <c r="J933" s="14"/>
      <c r="K933" s="14"/>
      <c r="L933" s="14"/>
      <c r="M933" s="14"/>
    </row>
    <row r="934" customFormat="false" ht="15.75" hidden="true" customHeight="true" outlineLevel="0" collapsed="false">
      <c r="B934" s="7"/>
      <c r="H934" s="12"/>
      <c r="I934" s="12"/>
      <c r="J934" s="12"/>
      <c r="K934" s="12"/>
      <c r="L934" s="12"/>
      <c r="M934" s="12"/>
    </row>
    <row r="935" customFormat="false" ht="15.75" hidden="true" customHeight="true" outlineLevel="0" collapsed="false">
      <c r="B935" s="7"/>
      <c r="H935" s="14"/>
      <c r="I935" s="14"/>
      <c r="J935" s="14"/>
      <c r="K935" s="14"/>
      <c r="L935" s="14"/>
      <c r="M935" s="14"/>
    </row>
    <row r="936" customFormat="false" ht="15.75" hidden="true" customHeight="true" outlineLevel="0" collapsed="false">
      <c r="B936" s="7"/>
      <c r="H936" s="12"/>
      <c r="I936" s="12"/>
      <c r="J936" s="12"/>
      <c r="K936" s="12"/>
      <c r="L936" s="12"/>
      <c r="M936" s="12"/>
    </row>
    <row r="937" customFormat="false" ht="15.75" hidden="true" customHeight="true" outlineLevel="0" collapsed="false">
      <c r="B937" s="7"/>
      <c r="H937" s="14"/>
      <c r="I937" s="14"/>
      <c r="J937" s="14"/>
      <c r="K937" s="14"/>
      <c r="L937" s="14"/>
      <c r="M937" s="14"/>
    </row>
    <row r="938" customFormat="false" ht="15.75" hidden="true" customHeight="true" outlineLevel="0" collapsed="false">
      <c r="B938" s="7"/>
      <c r="H938" s="12"/>
      <c r="I938" s="12"/>
      <c r="J938" s="12"/>
      <c r="K938" s="12"/>
      <c r="L938" s="12"/>
      <c r="M938" s="12"/>
    </row>
    <row r="939" customFormat="false" ht="15.75" hidden="true" customHeight="true" outlineLevel="0" collapsed="false">
      <c r="B939" s="7"/>
      <c r="H939" s="14"/>
      <c r="I939" s="14"/>
      <c r="J939" s="14"/>
      <c r="K939" s="14"/>
      <c r="L939" s="14"/>
      <c r="M939" s="14"/>
    </row>
    <row r="940" customFormat="false" ht="15.75" hidden="true" customHeight="true" outlineLevel="0" collapsed="false">
      <c r="B940" s="7"/>
      <c r="H940" s="12"/>
      <c r="I940" s="12"/>
      <c r="J940" s="12"/>
      <c r="K940" s="12"/>
      <c r="L940" s="12"/>
      <c r="M940" s="12"/>
    </row>
    <row r="941" customFormat="false" ht="15.75" hidden="true" customHeight="true" outlineLevel="0" collapsed="false">
      <c r="B941" s="7"/>
      <c r="H941" s="14"/>
      <c r="I941" s="14"/>
      <c r="J941" s="14"/>
      <c r="K941" s="14"/>
      <c r="L941" s="14"/>
      <c r="M941" s="14"/>
    </row>
    <row r="942" customFormat="false" ht="15.75" hidden="true" customHeight="true" outlineLevel="0" collapsed="false">
      <c r="B942" s="7"/>
      <c r="H942" s="12"/>
      <c r="I942" s="12"/>
      <c r="J942" s="12"/>
      <c r="K942" s="12"/>
      <c r="L942" s="12"/>
      <c r="M942" s="12"/>
    </row>
    <row r="943" customFormat="false" ht="15.75" hidden="true" customHeight="true" outlineLevel="0" collapsed="false">
      <c r="B943" s="7"/>
      <c r="H943" s="14"/>
      <c r="I943" s="14"/>
      <c r="J943" s="14"/>
      <c r="K943" s="14"/>
      <c r="L943" s="14"/>
      <c r="M943" s="14"/>
    </row>
    <row r="944" customFormat="false" ht="15.75" hidden="true" customHeight="true" outlineLevel="0" collapsed="false">
      <c r="B944" s="7"/>
      <c r="H944" s="12"/>
      <c r="I944" s="12"/>
      <c r="J944" s="12"/>
      <c r="K944" s="12"/>
      <c r="L944" s="12"/>
      <c r="M944" s="12"/>
    </row>
    <row r="945" customFormat="false" ht="15.75" hidden="true" customHeight="true" outlineLevel="0" collapsed="false">
      <c r="B945" s="7"/>
      <c r="H945" s="14"/>
      <c r="I945" s="14"/>
      <c r="J945" s="14"/>
      <c r="K945" s="14"/>
      <c r="L945" s="14"/>
      <c r="M945" s="14"/>
    </row>
    <row r="946" customFormat="false" ht="15.75" hidden="true" customHeight="true" outlineLevel="0" collapsed="false">
      <c r="B946" s="7"/>
      <c r="H946" s="12"/>
      <c r="I946" s="12"/>
      <c r="J946" s="12"/>
      <c r="K946" s="12"/>
      <c r="L946" s="12"/>
      <c r="M946" s="12"/>
    </row>
    <row r="947" customFormat="false" ht="15.75" hidden="true" customHeight="true" outlineLevel="0" collapsed="false">
      <c r="B947" s="7"/>
      <c r="H947" s="14"/>
      <c r="I947" s="14"/>
      <c r="J947" s="14"/>
      <c r="K947" s="14"/>
      <c r="L947" s="14"/>
      <c r="M947" s="14"/>
    </row>
    <row r="948" customFormat="false" ht="15.75" hidden="true" customHeight="true" outlineLevel="0" collapsed="false">
      <c r="B948" s="7"/>
      <c r="H948" s="12"/>
      <c r="I948" s="12"/>
      <c r="J948" s="12"/>
      <c r="K948" s="12"/>
      <c r="L948" s="12"/>
      <c r="M948" s="12"/>
    </row>
    <row r="949" customFormat="false" ht="15.75" hidden="true" customHeight="true" outlineLevel="0" collapsed="false">
      <c r="B949" s="7"/>
      <c r="H949" s="14"/>
      <c r="I949" s="14"/>
      <c r="J949" s="14"/>
      <c r="K949" s="14"/>
      <c r="L949" s="14"/>
      <c r="M949" s="14"/>
    </row>
    <row r="950" customFormat="false" ht="15.75" hidden="true" customHeight="true" outlineLevel="0" collapsed="false">
      <c r="B950" s="7"/>
      <c r="H950" s="12"/>
      <c r="I950" s="12"/>
      <c r="J950" s="12"/>
      <c r="K950" s="12"/>
      <c r="L950" s="12"/>
      <c r="M950" s="12"/>
    </row>
    <row r="951" customFormat="false" ht="15.75" hidden="true" customHeight="true" outlineLevel="0" collapsed="false">
      <c r="B951" s="7"/>
      <c r="H951" s="14"/>
      <c r="I951" s="14"/>
      <c r="J951" s="14"/>
      <c r="K951" s="14"/>
      <c r="L951" s="14"/>
      <c r="M951" s="14"/>
    </row>
    <row r="952" customFormat="false" ht="15.75" hidden="true" customHeight="true" outlineLevel="0" collapsed="false">
      <c r="B952" s="7"/>
      <c r="H952" s="12"/>
      <c r="I952" s="12"/>
      <c r="J952" s="12"/>
      <c r="K952" s="12"/>
      <c r="L952" s="12"/>
      <c r="M952" s="12"/>
    </row>
    <row r="953" customFormat="false" ht="15.75" hidden="true" customHeight="true" outlineLevel="0" collapsed="false">
      <c r="B953" s="7"/>
      <c r="H953" s="14"/>
      <c r="I953" s="14"/>
      <c r="J953" s="14"/>
      <c r="K953" s="14"/>
      <c r="L953" s="14"/>
      <c r="M953" s="14"/>
    </row>
    <row r="954" customFormat="false" ht="15.75" hidden="true" customHeight="true" outlineLevel="0" collapsed="false">
      <c r="B954" s="7"/>
      <c r="H954" s="12"/>
      <c r="I954" s="12"/>
      <c r="J954" s="12"/>
      <c r="K954" s="12"/>
      <c r="L954" s="12"/>
      <c r="M954" s="12"/>
    </row>
    <row r="955" customFormat="false" ht="15.75" hidden="true" customHeight="true" outlineLevel="0" collapsed="false">
      <c r="B955" s="7"/>
      <c r="H955" s="14"/>
      <c r="I955" s="14"/>
      <c r="J955" s="14"/>
      <c r="K955" s="14"/>
      <c r="L955" s="14"/>
      <c r="M955" s="14"/>
    </row>
    <row r="956" customFormat="false" ht="15.75" hidden="true" customHeight="true" outlineLevel="0" collapsed="false">
      <c r="B956" s="7"/>
      <c r="H956" s="12"/>
      <c r="I956" s="12"/>
      <c r="J956" s="12"/>
      <c r="K956" s="12"/>
      <c r="L956" s="12"/>
      <c r="M956" s="12"/>
    </row>
    <row r="957" customFormat="false" ht="15.75" hidden="true" customHeight="true" outlineLevel="0" collapsed="false">
      <c r="B957" s="7"/>
      <c r="H957" s="14"/>
      <c r="I957" s="14"/>
      <c r="J957" s="14"/>
      <c r="K957" s="14"/>
      <c r="L957" s="14"/>
      <c r="M957" s="14"/>
    </row>
    <row r="958" customFormat="false" ht="15.75" hidden="true" customHeight="true" outlineLevel="0" collapsed="false">
      <c r="B958" s="7"/>
      <c r="H958" s="12"/>
      <c r="I958" s="12"/>
      <c r="J958" s="12"/>
      <c r="K958" s="12"/>
      <c r="L958" s="12"/>
      <c r="M958" s="12"/>
    </row>
    <row r="959" customFormat="false" ht="15.75" hidden="true" customHeight="true" outlineLevel="0" collapsed="false">
      <c r="B959" s="7"/>
      <c r="H959" s="14"/>
      <c r="I959" s="14"/>
      <c r="J959" s="14"/>
      <c r="K959" s="14"/>
      <c r="L959" s="14"/>
      <c r="M959" s="14"/>
    </row>
    <row r="960" customFormat="false" ht="15.75" hidden="true" customHeight="true" outlineLevel="0" collapsed="false">
      <c r="B960" s="7"/>
      <c r="H960" s="12"/>
      <c r="I960" s="12"/>
      <c r="J960" s="12"/>
      <c r="K960" s="12"/>
      <c r="L960" s="12"/>
      <c r="M960" s="12"/>
    </row>
    <row r="961" customFormat="false" ht="15.75" hidden="true" customHeight="true" outlineLevel="0" collapsed="false">
      <c r="B961" s="7"/>
      <c r="H961" s="14"/>
      <c r="I961" s="14"/>
      <c r="J961" s="14"/>
      <c r="K961" s="14"/>
      <c r="L961" s="14"/>
      <c r="M961" s="14"/>
    </row>
    <row r="962" customFormat="false" ht="15.75" hidden="true" customHeight="true" outlineLevel="0" collapsed="false">
      <c r="B962" s="7"/>
      <c r="H962" s="12"/>
      <c r="I962" s="12"/>
      <c r="J962" s="12"/>
      <c r="K962" s="12"/>
      <c r="L962" s="12"/>
      <c r="M962" s="12"/>
    </row>
    <row r="963" customFormat="false" ht="15.75" hidden="true" customHeight="true" outlineLevel="0" collapsed="false">
      <c r="B963" s="7"/>
      <c r="H963" s="14"/>
      <c r="I963" s="14"/>
      <c r="J963" s="14"/>
      <c r="K963" s="14"/>
      <c r="L963" s="14"/>
      <c r="M963" s="14"/>
    </row>
    <row r="964" customFormat="false" ht="15.75" hidden="true" customHeight="true" outlineLevel="0" collapsed="false">
      <c r="B964" s="7"/>
      <c r="H964" s="12"/>
      <c r="I964" s="12"/>
      <c r="J964" s="12"/>
      <c r="K964" s="12"/>
      <c r="L964" s="12"/>
      <c r="M964" s="12"/>
    </row>
    <row r="965" customFormat="false" ht="15.75" hidden="true" customHeight="true" outlineLevel="0" collapsed="false">
      <c r="B965" s="7"/>
      <c r="H965" s="14"/>
      <c r="I965" s="14"/>
      <c r="J965" s="14"/>
      <c r="K965" s="14"/>
      <c r="L965" s="14"/>
      <c r="M965" s="14"/>
    </row>
    <row r="966" customFormat="false" ht="15.75" hidden="true" customHeight="true" outlineLevel="0" collapsed="false">
      <c r="B966" s="7"/>
      <c r="H966" s="12"/>
      <c r="I966" s="12"/>
      <c r="J966" s="12"/>
      <c r="K966" s="12"/>
      <c r="L966" s="12"/>
      <c r="M966" s="12"/>
    </row>
    <row r="967" customFormat="false" ht="15.75" hidden="true" customHeight="true" outlineLevel="0" collapsed="false">
      <c r="B967" s="7"/>
      <c r="H967" s="14"/>
      <c r="I967" s="14"/>
      <c r="J967" s="14"/>
      <c r="K967" s="14"/>
      <c r="L967" s="14"/>
      <c r="M967" s="14"/>
    </row>
    <row r="968" customFormat="false" ht="15.75" hidden="true" customHeight="true" outlineLevel="0" collapsed="false">
      <c r="B968" s="7"/>
      <c r="H968" s="12"/>
      <c r="I968" s="12"/>
      <c r="J968" s="12"/>
      <c r="K968" s="12"/>
      <c r="L968" s="12"/>
      <c r="M968" s="12"/>
    </row>
    <row r="969" customFormat="false" ht="15.75" hidden="true" customHeight="true" outlineLevel="0" collapsed="false">
      <c r="B969" s="7"/>
      <c r="H969" s="14"/>
      <c r="I969" s="14"/>
      <c r="J969" s="14"/>
      <c r="K969" s="14"/>
      <c r="L969" s="14"/>
      <c r="M969" s="14"/>
    </row>
    <row r="970" customFormat="false" ht="15.75" hidden="true" customHeight="true" outlineLevel="0" collapsed="false">
      <c r="B970" s="7"/>
      <c r="H970" s="12"/>
      <c r="I970" s="12"/>
      <c r="J970" s="12"/>
      <c r="K970" s="12"/>
      <c r="L970" s="12"/>
      <c r="M970" s="12"/>
    </row>
    <row r="971" customFormat="false" ht="15.75" hidden="true" customHeight="true" outlineLevel="0" collapsed="false">
      <c r="B971" s="7"/>
      <c r="H971" s="14"/>
      <c r="I971" s="14"/>
      <c r="J971" s="14"/>
      <c r="K971" s="14"/>
      <c r="L971" s="14"/>
      <c r="M971" s="14"/>
    </row>
    <row r="972" customFormat="false" ht="15.75" hidden="true" customHeight="true" outlineLevel="0" collapsed="false">
      <c r="B972" s="7"/>
      <c r="H972" s="12"/>
      <c r="I972" s="12"/>
      <c r="J972" s="12"/>
      <c r="K972" s="12"/>
      <c r="L972" s="12"/>
      <c r="M972" s="12"/>
    </row>
    <row r="973" customFormat="false" ht="15.75" hidden="true" customHeight="true" outlineLevel="0" collapsed="false">
      <c r="B973" s="7"/>
      <c r="H973" s="14"/>
      <c r="I973" s="14"/>
      <c r="J973" s="14"/>
      <c r="K973" s="14"/>
      <c r="L973" s="14"/>
      <c r="M973" s="14"/>
    </row>
    <row r="974" customFormat="false" ht="15.75" hidden="true" customHeight="true" outlineLevel="0" collapsed="false">
      <c r="B974" s="7"/>
      <c r="H974" s="12"/>
      <c r="I974" s="12"/>
      <c r="J974" s="12"/>
      <c r="K974" s="12"/>
      <c r="L974" s="12"/>
      <c r="M974" s="12"/>
    </row>
    <row r="975" customFormat="false" ht="15.75" hidden="true" customHeight="true" outlineLevel="0" collapsed="false">
      <c r="B975" s="7"/>
      <c r="H975" s="14"/>
      <c r="I975" s="14"/>
      <c r="J975" s="14"/>
      <c r="K975" s="14"/>
      <c r="L975" s="14"/>
      <c r="M975" s="14"/>
    </row>
    <row r="976" customFormat="false" ht="15.75" hidden="true" customHeight="true" outlineLevel="0" collapsed="false">
      <c r="B976" s="7"/>
      <c r="H976" s="12"/>
      <c r="I976" s="12"/>
      <c r="J976" s="12"/>
      <c r="K976" s="12"/>
      <c r="L976" s="12"/>
      <c r="M976" s="12"/>
    </row>
    <row r="977" customFormat="false" ht="15.75" hidden="true" customHeight="true" outlineLevel="0" collapsed="false">
      <c r="B977" s="7"/>
      <c r="H977" s="14"/>
      <c r="I977" s="14"/>
      <c r="J977" s="14"/>
      <c r="K977" s="14"/>
      <c r="L977" s="14"/>
      <c r="M977" s="14"/>
    </row>
    <row r="978" customFormat="false" ht="15.75" hidden="true" customHeight="true" outlineLevel="0" collapsed="false">
      <c r="B978" s="7"/>
      <c r="H978" s="12"/>
      <c r="I978" s="12"/>
      <c r="J978" s="12"/>
      <c r="K978" s="12"/>
      <c r="L978" s="12"/>
      <c r="M978" s="12"/>
    </row>
    <row r="979" customFormat="false" ht="15.75" hidden="true" customHeight="true" outlineLevel="0" collapsed="false">
      <c r="B979" s="7"/>
      <c r="H979" s="14"/>
      <c r="I979" s="14"/>
      <c r="J979" s="14"/>
      <c r="K979" s="14"/>
      <c r="L979" s="14"/>
      <c r="M979" s="14"/>
    </row>
    <row r="980" customFormat="false" ht="15.75" hidden="true" customHeight="true" outlineLevel="0" collapsed="false">
      <c r="B980" s="7"/>
      <c r="H980" s="12"/>
      <c r="I980" s="12"/>
      <c r="J980" s="12"/>
      <c r="K980" s="12"/>
      <c r="L980" s="12"/>
      <c r="M980" s="12"/>
    </row>
    <row r="981" customFormat="false" ht="15.75" hidden="true" customHeight="true" outlineLevel="0" collapsed="false">
      <c r="B981" s="7"/>
      <c r="H981" s="14"/>
      <c r="I981" s="14"/>
      <c r="J981" s="14"/>
      <c r="K981" s="14"/>
      <c r="L981" s="14"/>
      <c r="M981" s="14"/>
    </row>
    <row r="982" customFormat="false" ht="15.75" hidden="true" customHeight="true" outlineLevel="0" collapsed="false">
      <c r="B982" s="7"/>
      <c r="H982" s="12"/>
      <c r="I982" s="12"/>
      <c r="J982" s="12"/>
      <c r="K982" s="12"/>
      <c r="L982" s="12"/>
      <c r="M982" s="12"/>
    </row>
    <row r="983" customFormat="false" ht="15.75" hidden="true" customHeight="true" outlineLevel="0" collapsed="false">
      <c r="B983" s="7"/>
      <c r="H983" s="14"/>
      <c r="I983" s="14"/>
      <c r="J983" s="14"/>
      <c r="K983" s="14"/>
      <c r="L983" s="14"/>
      <c r="M983" s="14"/>
    </row>
    <row r="984" customFormat="false" ht="15.75" hidden="true" customHeight="true" outlineLevel="0" collapsed="false">
      <c r="B984" s="7"/>
      <c r="H984" s="12"/>
      <c r="I984" s="12"/>
      <c r="J984" s="12"/>
      <c r="K984" s="12"/>
      <c r="L984" s="12"/>
      <c r="M984" s="12"/>
    </row>
    <row r="985" customFormat="false" ht="15.75" hidden="true" customHeight="true" outlineLevel="0" collapsed="false">
      <c r="B985" s="7"/>
      <c r="H985" s="14"/>
      <c r="I985" s="14"/>
      <c r="J985" s="14"/>
      <c r="K985" s="14"/>
      <c r="L985" s="14"/>
      <c r="M985" s="14"/>
    </row>
    <row r="986" customFormat="false" ht="15.75" hidden="true" customHeight="true" outlineLevel="0" collapsed="false">
      <c r="B986" s="7"/>
      <c r="H986" s="12"/>
      <c r="I986" s="12"/>
      <c r="J986" s="12"/>
      <c r="K986" s="12"/>
      <c r="L986" s="12"/>
      <c r="M986" s="12"/>
    </row>
    <row r="987" customFormat="false" ht="15.75" hidden="true" customHeight="true" outlineLevel="0" collapsed="false">
      <c r="B987" s="7"/>
      <c r="H987" s="14"/>
      <c r="I987" s="14"/>
      <c r="J987" s="14"/>
      <c r="K987" s="14"/>
      <c r="L987" s="14"/>
      <c r="M987" s="14"/>
    </row>
    <row r="988" customFormat="false" ht="15.75" hidden="true" customHeight="true" outlineLevel="0" collapsed="false">
      <c r="B988" s="7"/>
      <c r="H988" s="12"/>
      <c r="I988" s="12"/>
      <c r="J988" s="12"/>
      <c r="K988" s="12"/>
      <c r="L988" s="12"/>
      <c r="M988" s="12"/>
    </row>
    <row r="989" customFormat="false" ht="15.75" hidden="true" customHeight="true" outlineLevel="0" collapsed="false">
      <c r="B989" s="7"/>
      <c r="H989" s="14"/>
      <c r="I989" s="14"/>
      <c r="J989" s="14"/>
      <c r="K989" s="14"/>
      <c r="L989" s="14"/>
      <c r="M989" s="14"/>
    </row>
    <row r="990" customFormat="false" ht="15.75" hidden="true" customHeight="true" outlineLevel="0" collapsed="false">
      <c r="B990" s="7"/>
      <c r="H990" s="12"/>
      <c r="I990" s="12"/>
      <c r="J990" s="12"/>
      <c r="K990" s="12"/>
      <c r="L990" s="12"/>
      <c r="M990" s="12"/>
    </row>
    <row r="991" customFormat="false" ht="15.75" hidden="true" customHeight="true" outlineLevel="0" collapsed="false">
      <c r="B991" s="7"/>
      <c r="H991" s="14"/>
      <c r="I991" s="14"/>
      <c r="J991" s="14"/>
      <c r="K991" s="14"/>
      <c r="L991" s="14"/>
      <c r="M991" s="14"/>
    </row>
    <row r="992" customFormat="false" ht="15.75" hidden="true" customHeight="true" outlineLevel="0" collapsed="false">
      <c r="B992" s="7"/>
      <c r="H992" s="12"/>
      <c r="I992" s="12"/>
      <c r="J992" s="12"/>
      <c r="K992" s="12"/>
      <c r="L992" s="12"/>
      <c r="M992" s="12"/>
    </row>
    <row r="993" customFormat="false" ht="15.75" hidden="true" customHeight="true" outlineLevel="0" collapsed="false">
      <c r="B993" s="7"/>
      <c r="H993" s="14"/>
      <c r="I993" s="14"/>
      <c r="J993" s="14"/>
      <c r="K993" s="14"/>
      <c r="L993" s="14"/>
      <c r="M993" s="14"/>
    </row>
    <row r="994" customFormat="false" ht="15.75" hidden="true" customHeight="true" outlineLevel="0" collapsed="false">
      <c r="B994" s="7"/>
      <c r="H994" s="12"/>
      <c r="I994" s="12"/>
      <c r="J994" s="12"/>
      <c r="K994" s="12"/>
      <c r="L994" s="12"/>
      <c r="M994" s="12"/>
    </row>
    <row r="995" customFormat="false" ht="15.75" hidden="true" customHeight="true" outlineLevel="0" collapsed="false">
      <c r="B995" s="7"/>
      <c r="H995" s="14"/>
      <c r="I995" s="14"/>
      <c r="J995" s="14"/>
      <c r="K995" s="14"/>
      <c r="L995" s="14"/>
      <c r="M995" s="14"/>
    </row>
    <row r="996" customFormat="false" ht="15.75" hidden="true" customHeight="true" outlineLevel="0" collapsed="false">
      <c r="B996" s="7"/>
      <c r="H996" s="12"/>
      <c r="I996" s="12"/>
      <c r="J996" s="12"/>
      <c r="K996" s="12"/>
      <c r="L996" s="12"/>
      <c r="M996" s="12"/>
    </row>
    <row r="997" customFormat="false" ht="15.75" hidden="true" customHeight="true" outlineLevel="0" collapsed="false">
      <c r="B997" s="7"/>
      <c r="H997" s="14"/>
      <c r="I997" s="14"/>
      <c r="J997" s="14"/>
      <c r="K997" s="14"/>
      <c r="L997" s="14"/>
      <c r="M997" s="14"/>
    </row>
    <row r="998" customFormat="false" ht="15.75" hidden="true" customHeight="true" outlineLevel="0" collapsed="false">
      <c r="B998" s="7"/>
      <c r="H998" s="12"/>
      <c r="I998" s="12"/>
      <c r="J998" s="12"/>
      <c r="K998" s="12"/>
      <c r="L998" s="12"/>
      <c r="M998" s="12"/>
    </row>
    <row r="999" customFormat="false" ht="15.75" hidden="true" customHeight="true" outlineLevel="0" collapsed="false">
      <c r="B999" s="7"/>
      <c r="H999" s="14"/>
      <c r="I999" s="14"/>
      <c r="J999" s="14"/>
      <c r="K999" s="14"/>
      <c r="L999" s="14"/>
      <c r="M999" s="14"/>
    </row>
    <row r="1000" customFormat="false" ht="15.75" hidden="true" customHeight="true" outlineLevel="0" collapsed="false">
      <c r="B1000" s="7"/>
      <c r="H1000" s="12"/>
      <c r="I1000" s="12"/>
      <c r="J1000" s="12"/>
      <c r="K1000" s="12"/>
      <c r="L1000" s="12"/>
      <c r="M1000" s="12"/>
    </row>
    <row r="1001" customFormat="false" ht="15.75" hidden="true" customHeight="true" outlineLevel="0" collapsed="false">
      <c r="B1001" s="7"/>
      <c r="H1001" s="14"/>
      <c r="I1001" s="14"/>
      <c r="J1001" s="14"/>
      <c r="K1001" s="14"/>
      <c r="L1001" s="14"/>
      <c r="M1001" s="14"/>
    </row>
    <row r="1002" customFormat="false" ht="15.75" hidden="true" customHeight="true" outlineLevel="0" collapsed="false">
      <c r="B1002" s="7"/>
      <c r="H1002" s="12"/>
      <c r="I1002" s="12"/>
      <c r="J1002" s="12"/>
      <c r="K1002" s="12"/>
      <c r="L1002" s="12"/>
      <c r="M1002" s="12"/>
    </row>
    <row r="1003" customFormat="false" ht="15.75" hidden="true" customHeight="true" outlineLevel="0" collapsed="false">
      <c r="B1003" s="7"/>
      <c r="H1003" s="14"/>
      <c r="I1003" s="14"/>
      <c r="J1003" s="14"/>
      <c r="K1003" s="14"/>
      <c r="L1003" s="14"/>
      <c r="M1003" s="14"/>
    </row>
    <row r="1004" customFormat="false" ht="15.75" hidden="true" customHeight="true" outlineLevel="0" collapsed="false">
      <c r="B1004" s="7"/>
      <c r="H1004" s="12"/>
      <c r="I1004" s="12"/>
      <c r="J1004" s="12"/>
      <c r="K1004" s="12"/>
      <c r="L1004" s="12"/>
      <c r="M1004" s="12"/>
    </row>
    <row r="1005" customFormat="false" ht="15.75" hidden="true" customHeight="true" outlineLevel="0" collapsed="false">
      <c r="B1005" s="7"/>
      <c r="H1005" s="14"/>
      <c r="I1005" s="14"/>
      <c r="J1005" s="14"/>
      <c r="K1005" s="14"/>
      <c r="L1005" s="14"/>
      <c r="M1005" s="14"/>
    </row>
    <row r="1006" customFormat="false" ht="15.75" hidden="true" customHeight="true" outlineLevel="0" collapsed="false">
      <c r="B1006" s="7"/>
      <c r="H1006" s="12"/>
      <c r="I1006" s="12"/>
      <c r="J1006" s="12"/>
      <c r="K1006" s="12"/>
      <c r="L1006" s="12"/>
      <c r="M1006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421875" defaultRowHeight="15" zeroHeight="false" outlineLevelRow="0" outlineLevelCol="0"/>
  <cols>
    <col collapsed="false" customWidth="true" hidden="false" outlineLevel="0" max="1" min="1" style="0" width="11.86"/>
    <col collapsed="false" customWidth="true" hidden="false" outlineLevel="0" max="5" min="2" style="0" width="30.14"/>
    <col collapsed="false" customWidth="true" hidden="false" outlineLevel="0" max="6" min="6" style="0" width="11.86"/>
  </cols>
  <sheetData>
    <row r="1" customFormat="false" ht="15" hidden="false" customHeight="false" outlineLevel="0" collapsed="false">
      <c r="A1" s="25" t="s">
        <v>55</v>
      </c>
      <c r="B1" s="25" t="s">
        <v>56</v>
      </c>
      <c r="C1" s="25" t="s">
        <v>57</v>
      </c>
      <c r="D1" s="25" t="s">
        <v>58</v>
      </c>
      <c r="E1" s="25" t="s">
        <v>59</v>
      </c>
      <c r="F1" s="25" t="s">
        <v>60</v>
      </c>
    </row>
    <row r="2" customFormat="false" ht="15" hidden="false" customHeight="false" outlineLevel="0" collapsed="false">
      <c r="A2" s="26" t="n">
        <v>1</v>
      </c>
      <c r="B2" s="26" t="s">
        <v>15</v>
      </c>
      <c r="C2" s="26" t="s">
        <v>38</v>
      </c>
      <c r="D2" s="26" t="s">
        <v>17</v>
      </c>
      <c r="E2" s="26" t="s">
        <v>18</v>
      </c>
      <c r="F2" s="26" t="s">
        <v>61</v>
      </c>
    </row>
    <row r="3" customFormat="false" ht="15" hidden="false" customHeight="false" outlineLevel="0" collapsed="false">
      <c r="A3" s="26" t="n">
        <v>2</v>
      </c>
      <c r="B3" s="26" t="s">
        <v>46</v>
      </c>
      <c r="C3" s="26" t="s">
        <v>51</v>
      </c>
      <c r="D3" s="26" t="s">
        <v>34</v>
      </c>
      <c r="E3" s="26" t="s">
        <v>54</v>
      </c>
      <c r="F3" s="26" t="s">
        <v>62</v>
      </c>
    </row>
    <row r="4" customFormat="false" ht="15" hidden="false" customHeight="false" outlineLevel="0" collapsed="false">
      <c r="A4" s="26" t="n">
        <v>3</v>
      </c>
      <c r="B4" s="26" t="s">
        <v>23</v>
      </c>
      <c r="C4" s="26" t="s">
        <v>17</v>
      </c>
      <c r="D4" s="26" t="s">
        <v>15</v>
      </c>
      <c r="E4" s="26" t="s">
        <v>24</v>
      </c>
      <c r="F4" s="26" t="s">
        <v>61</v>
      </c>
    </row>
    <row r="5" customFormat="false" ht="15" hidden="false" customHeight="false" outlineLevel="0" collapsed="false">
      <c r="A5" s="26" t="n">
        <v>4</v>
      </c>
      <c r="B5" s="26" t="s">
        <v>37</v>
      </c>
      <c r="C5" s="26" t="s">
        <v>30</v>
      </c>
      <c r="D5" s="26" t="s">
        <v>24</v>
      </c>
      <c r="E5" s="26" t="s">
        <v>23</v>
      </c>
      <c r="F5" s="26" t="s">
        <v>62</v>
      </c>
    </row>
    <row r="6" customFormat="false" ht="15" hidden="false" customHeight="false" outlineLevel="0" collapsed="false">
      <c r="A6" s="26" t="n">
        <v>5</v>
      </c>
      <c r="B6" s="26" t="s">
        <v>25</v>
      </c>
      <c r="C6" s="26" t="s">
        <v>26</v>
      </c>
      <c r="D6" s="26" t="s">
        <v>27</v>
      </c>
      <c r="E6" s="26" t="s">
        <v>28</v>
      </c>
      <c r="F6" s="26" t="s">
        <v>61</v>
      </c>
    </row>
    <row r="7" customFormat="false" ht="15" hidden="false" customHeight="false" outlineLevel="0" collapsed="false">
      <c r="A7" s="26" t="n">
        <v>6</v>
      </c>
      <c r="B7" s="26" t="s">
        <v>49</v>
      </c>
      <c r="C7" s="26" t="s">
        <v>39</v>
      </c>
      <c r="D7" s="26" t="s">
        <v>41</v>
      </c>
      <c r="E7" s="26" t="s">
        <v>38</v>
      </c>
      <c r="F7" s="26" t="s">
        <v>62</v>
      </c>
    </row>
    <row r="8" customFormat="false" ht="15" hidden="false" customHeight="false" outlineLevel="0" collapsed="false">
      <c r="A8" s="26" t="n">
        <v>7</v>
      </c>
      <c r="B8" s="26" t="s">
        <v>29</v>
      </c>
      <c r="C8" s="26" t="s">
        <v>30</v>
      </c>
      <c r="D8" s="26" t="s">
        <v>31</v>
      </c>
      <c r="E8" s="26" t="s">
        <v>37</v>
      </c>
      <c r="F8" s="26" t="s">
        <v>61</v>
      </c>
    </row>
    <row r="9" customFormat="false" ht="15" hidden="false" customHeight="false" outlineLevel="0" collapsed="false">
      <c r="A9" s="26" t="n">
        <v>8</v>
      </c>
      <c r="B9" s="26" t="s">
        <v>50</v>
      </c>
      <c r="C9" s="26" t="s">
        <v>26</v>
      </c>
      <c r="D9" s="26" t="s">
        <v>18</v>
      </c>
      <c r="E9" s="26" t="s">
        <v>32</v>
      </c>
      <c r="F9" s="26" t="s">
        <v>62</v>
      </c>
    </row>
    <row r="10" customFormat="false" ht="15" hidden="false" customHeight="false" outlineLevel="0" collapsed="false">
      <c r="A10" s="26" t="n">
        <v>9</v>
      </c>
      <c r="B10" s="26" t="s">
        <v>54</v>
      </c>
      <c r="C10" s="26" t="s">
        <v>31</v>
      </c>
      <c r="D10" s="26" t="s">
        <v>33</v>
      </c>
      <c r="E10" s="26" t="s">
        <v>34</v>
      </c>
      <c r="F10" s="26" t="s">
        <v>61</v>
      </c>
    </row>
    <row r="11" customFormat="false" ht="15" hidden="false" customHeight="false" outlineLevel="0" collapsed="false">
      <c r="A11" s="26" t="n">
        <v>10</v>
      </c>
      <c r="B11" s="26" t="s">
        <v>40</v>
      </c>
      <c r="C11" s="26" t="s">
        <v>53</v>
      </c>
      <c r="D11" s="26" t="s">
        <v>51</v>
      </c>
      <c r="E11" s="26" t="s">
        <v>43</v>
      </c>
      <c r="F11" s="26" t="s">
        <v>62</v>
      </c>
    </row>
    <row r="12" customFormat="false" ht="15" hidden="false" customHeight="false" outlineLevel="0" collapsed="false">
      <c r="A12" s="26" t="n">
        <v>11</v>
      </c>
      <c r="B12" s="26" t="s">
        <v>31</v>
      </c>
      <c r="C12" s="26" t="s">
        <v>35</v>
      </c>
      <c r="D12" s="26" t="s">
        <v>36</v>
      </c>
      <c r="E12" s="26" t="s">
        <v>25</v>
      </c>
      <c r="F12" s="26" t="s">
        <v>61</v>
      </c>
    </row>
    <row r="13" customFormat="false" ht="15" hidden="false" customHeight="false" outlineLevel="0" collapsed="false">
      <c r="A13" s="26" t="n">
        <v>12</v>
      </c>
      <c r="B13" s="26" t="s">
        <v>54</v>
      </c>
      <c r="C13" s="26" t="s">
        <v>33</v>
      </c>
      <c r="D13" s="26" t="s">
        <v>53</v>
      </c>
      <c r="E13" s="26" t="s">
        <v>32</v>
      </c>
      <c r="F13" s="26" t="s">
        <v>62</v>
      </c>
    </row>
    <row r="14" customFormat="false" ht="15" hidden="false" customHeight="false" outlineLevel="0" collapsed="false">
      <c r="A14" s="26" t="n">
        <v>13</v>
      </c>
      <c r="B14" s="26" t="s">
        <v>17</v>
      </c>
      <c r="C14" s="26" t="s">
        <v>37</v>
      </c>
      <c r="D14" s="26" t="s">
        <v>38</v>
      </c>
      <c r="E14" s="26" t="s">
        <v>39</v>
      </c>
      <c r="F14" s="26" t="s">
        <v>61</v>
      </c>
    </row>
    <row r="15" customFormat="false" ht="15" hidden="false" customHeight="false" outlineLevel="0" collapsed="false">
      <c r="A15" s="26" t="n">
        <v>14</v>
      </c>
      <c r="B15" s="26" t="s">
        <v>42</v>
      </c>
      <c r="C15" s="26" t="s">
        <v>47</v>
      </c>
      <c r="D15" s="26" t="s">
        <v>17</v>
      </c>
      <c r="E15" s="26" t="s">
        <v>39</v>
      </c>
      <c r="F15" s="26" t="s">
        <v>62</v>
      </c>
    </row>
    <row r="16" customFormat="false" ht="15" hidden="false" customHeight="false" outlineLevel="0" collapsed="false">
      <c r="A16" s="26" t="n">
        <v>15</v>
      </c>
      <c r="B16" s="26" t="s">
        <v>40</v>
      </c>
      <c r="C16" s="26" t="s">
        <v>41</v>
      </c>
      <c r="D16" s="26" t="s">
        <v>33</v>
      </c>
      <c r="E16" s="26" t="s">
        <v>36</v>
      </c>
      <c r="F16" s="26" t="s">
        <v>61</v>
      </c>
    </row>
    <row r="17" customFormat="false" ht="15" hidden="false" customHeight="false" outlineLevel="0" collapsed="false">
      <c r="A17" s="26" t="n">
        <v>16</v>
      </c>
      <c r="B17" s="26" t="s">
        <v>48</v>
      </c>
      <c r="C17" s="26" t="s">
        <v>40</v>
      </c>
      <c r="D17" s="26" t="s">
        <v>53</v>
      </c>
      <c r="E17" s="26" t="s">
        <v>25</v>
      </c>
      <c r="F17" s="26" t="s">
        <v>62</v>
      </c>
    </row>
    <row r="18" customFormat="false" ht="15" hidden="false" customHeight="false" outlineLevel="0" collapsed="false">
      <c r="A18" s="26" t="n">
        <v>17</v>
      </c>
      <c r="B18" s="26" t="s">
        <v>23</v>
      </c>
      <c r="C18" s="26" t="s">
        <v>18</v>
      </c>
      <c r="D18" s="26" t="s">
        <v>25</v>
      </c>
      <c r="E18" s="26" t="s">
        <v>35</v>
      </c>
      <c r="F18" s="26" t="s">
        <v>61</v>
      </c>
    </row>
    <row r="19" customFormat="false" ht="15" hidden="false" customHeight="false" outlineLevel="0" collapsed="false">
      <c r="A19" s="26" t="n">
        <v>18</v>
      </c>
      <c r="B19" s="26" t="s">
        <v>50</v>
      </c>
      <c r="C19" s="26" t="s">
        <v>51</v>
      </c>
      <c r="D19" s="26" t="s">
        <v>63</v>
      </c>
      <c r="E19" s="26" t="s">
        <v>48</v>
      </c>
      <c r="F19" s="26" t="s">
        <v>62</v>
      </c>
    </row>
    <row r="20" customFormat="false" ht="15" hidden="false" customHeight="false" outlineLevel="0" collapsed="false">
      <c r="A20" s="26" t="n">
        <v>19</v>
      </c>
      <c r="B20" s="26" t="s">
        <v>28</v>
      </c>
      <c r="C20" s="26" t="s">
        <v>41</v>
      </c>
      <c r="D20" s="26" t="s">
        <v>27</v>
      </c>
      <c r="E20" s="26" t="s">
        <v>43</v>
      </c>
      <c r="F20" s="26" t="s">
        <v>61</v>
      </c>
    </row>
    <row r="21" customFormat="false" ht="15.75" hidden="false" customHeight="true" outlineLevel="0" collapsed="false">
      <c r="A21" s="26" t="n">
        <v>20</v>
      </c>
      <c r="B21" s="26" t="s">
        <v>49</v>
      </c>
      <c r="C21" s="26" t="s">
        <v>30</v>
      </c>
      <c r="D21" s="26" t="s">
        <v>35</v>
      </c>
      <c r="E21" s="26" t="s">
        <v>24</v>
      </c>
      <c r="F21" s="26" t="s">
        <v>62</v>
      </c>
    </row>
    <row r="22" customFormat="false" ht="15.75" hidden="false" customHeight="true" outlineLevel="0" collapsed="false">
      <c r="A22" s="26" t="n">
        <v>21</v>
      </c>
      <c r="B22" s="26" t="s">
        <v>63</v>
      </c>
      <c r="C22" s="26" t="s">
        <v>30</v>
      </c>
      <c r="D22" s="26" t="s">
        <v>28</v>
      </c>
      <c r="E22" s="26" t="s">
        <v>26</v>
      </c>
      <c r="F22" s="26" t="s">
        <v>61</v>
      </c>
    </row>
    <row r="23" customFormat="false" ht="15.75" hidden="false" customHeight="true" outlineLevel="0" collapsed="false">
      <c r="A23" s="26" t="n">
        <v>22</v>
      </c>
      <c r="B23" s="26" t="s">
        <v>41</v>
      </c>
      <c r="C23" s="26" t="s">
        <v>46</v>
      </c>
      <c r="D23" s="26" t="s">
        <v>27</v>
      </c>
      <c r="E23" s="26" t="s">
        <v>32</v>
      </c>
      <c r="F23" s="26" t="s">
        <v>62</v>
      </c>
    </row>
    <row r="24" customFormat="false" ht="15.75" hidden="false" customHeight="true" outlineLevel="0" collapsed="false">
      <c r="A24" s="26" t="n">
        <v>23</v>
      </c>
      <c r="B24" s="26" t="s">
        <v>32</v>
      </c>
      <c r="C24" s="26" t="s">
        <v>34</v>
      </c>
      <c r="D24" s="26" t="s">
        <v>38</v>
      </c>
      <c r="E24" s="26" t="s">
        <v>33</v>
      </c>
      <c r="F24" s="26" t="s">
        <v>61</v>
      </c>
    </row>
    <row r="25" customFormat="false" ht="15.75" hidden="false" customHeight="true" outlineLevel="0" collapsed="false">
      <c r="A25" s="26" t="n">
        <v>24</v>
      </c>
      <c r="B25" s="26" t="s">
        <v>43</v>
      </c>
      <c r="C25" s="26" t="s">
        <v>29</v>
      </c>
      <c r="D25" s="26" t="s">
        <v>34</v>
      </c>
      <c r="E25" s="26" t="s">
        <v>49</v>
      </c>
      <c r="F25" s="26" t="s">
        <v>62</v>
      </c>
    </row>
    <row r="26" customFormat="false" ht="15.75" hidden="false" customHeight="true" outlineLevel="0" collapsed="false">
      <c r="A26" s="26" t="n">
        <v>25</v>
      </c>
      <c r="B26" s="26" t="s">
        <v>36</v>
      </c>
      <c r="C26" s="26" t="s">
        <v>24</v>
      </c>
      <c r="D26" s="26" t="s">
        <v>46</v>
      </c>
      <c r="E26" s="26" t="s">
        <v>63</v>
      </c>
      <c r="F26" s="26" t="s">
        <v>61</v>
      </c>
    </row>
    <row r="27" customFormat="false" ht="15.75" hidden="false" customHeight="true" outlineLevel="0" collapsed="false">
      <c r="A27" s="26" t="n">
        <v>26</v>
      </c>
      <c r="B27" s="26" t="s">
        <v>29</v>
      </c>
      <c r="C27" s="26" t="s">
        <v>51</v>
      </c>
      <c r="D27" s="26" t="s">
        <v>54</v>
      </c>
      <c r="E27" s="26" t="s">
        <v>48</v>
      </c>
      <c r="F27" s="26" t="s">
        <v>62</v>
      </c>
    </row>
    <row r="28" customFormat="false" ht="15.75" hidden="false" customHeight="true" outlineLevel="0" collapsed="false">
      <c r="A28" s="26" t="n">
        <v>27</v>
      </c>
      <c r="B28" s="26" t="s">
        <v>29</v>
      </c>
      <c r="C28" s="26" t="s">
        <v>27</v>
      </c>
      <c r="D28" s="26" t="s">
        <v>36</v>
      </c>
      <c r="E28" s="26" t="s">
        <v>35</v>
      </c>
      <c r="F28" s="26" t="s">
        <v>61</v>
      </c>
    </row>
    <row r="29" customFormat="false" ht="15.75" hidden="false" customHeight="true" outlineLevel="0" collapsed="false">
      <c r="A29" s="26" t="n">
        <v>28</v>
      </c>
      <c r="B29" s="26" t="s">
        <v>47</v>
      </c>
      <c r="C29" s="26" t="s">
        <v>46</v>
      </c>
      <c r="D29" s="26" t="s">
        <v>42</v>
      </c>
      <c r="E29" s="26" t="s">
        <v>31</v>
      </c>
      <c r="F29" s="26" t="s">
        <v>62</v>
      </c>
    </row>
    <row r="30" customFormat="false" ht="15.75" hidden="false" customHeight="true" outlineLevel="0" collapsed="false">
      <c r="A30" s="26" t="n">
        <v>29</v>
      </c>
      <c r="B30" s="26" t="s">
        <v>53</v>
      </c>
      <c r="C30" s="26" t="s">
        <v>15</v>
      </c>
      <c r="D30" s="26" t="s">
        <v>18</v>
      </c>
      <c r="E30" s="26" t="s">
        <v>26</v>
      </c>
      <c r="F30" s="26" t="s">
        <v>61</v>
      </c>
    </row>
    <row r="31" customFormat="false" ht="15.75" hidden="false" customHeight="true" outlineLevel="0" collapsed="false">
      <c r="A31" s="26" t="n">
        <v>30</v>
      </c>
      <c r="B31" s="26" t="s">
        <v>47</v>
      </c>
      <c r="C31" s="26" t="s">
        <v>39</v>
      </c>
      <c r="D31" s="26" t="s">
        <v>40</v>
      </c>
      <c r="E31" s="26" t="s">
        <v>42</v>
      </c>
      <c r="F31" s="26" t="s">
        <v>62</v>
      </c>
    </row>
    <row r="32" customFormat="false" ht="15.75" hidden="false" customHeight="true" outlineLevel="0" collapsed="false">
      <c r="A32" s="26" t="n">
        <v>31</v>
      </c>
      <c r="B32" s="26" t="s">
        <v>35</v>
      </c>
      <c r="C32" s="26" t="s">
        <v>63</v>
      </c>
      <c r="D32" s="26" t="s">
        <v>49</v>
      </c>
      <c r="E32" s="26" t="s">
        <v>24</v>
      </c>
      <c r="F32" s="26" t="s">
        <v>61</v>
      </c>
    </row>
    <row r="33" customFormat="false" ht="15.75" hidden="false" customHeight="true" outlineLevel="0" collapsed="false">
      <c r="A33" s="26" t="n">
        <v>32</v>
      </c>
      <c r="B33" s="26" t="s">
        <v>37</v>
      </c>
      <c r="C33" s="26" t="s">
        <v>42</v>
      </c>
      <c r="D33" s="26" t="s">
        <v>46</v>
      </c>
      <c r="E33" s="26" t="s">
        <v>50</v>
      </c>
      <c r="F33" s="26" t="s">
        <v>62</v>
      </c>
    </row>
    <row r="34" customFormat="false" ht="15.75" hidden="false" customHeight="true" outlineLevel="0" collapsed="false">
      <c r="A34" s="26" t="n">
        <v>33</v>
      </c>
      <c r="B34" s="26" t="s">
        <v>17</v>
      </c>
      <c r="C34" s="26" t="s">
        <v>30</v>
      </c>
      <c r="D34" s="26" t="s">
        <v>48</v>
      </c>
      <c r="E34" s="26" t="s">
        <v>53</v>
      </c>
      <c r="F34" s="26" t="s">
        <v>61</v>
      </c>
    </row>
    <row r="35" customFormat="false" ht="15.75" hidden="false" customHeight="true" outlineLevel="0" collapsed="false">
      <c r="A35" s="26" t="n">
        <v>34</v>
      </c>
      <c r="B35" s="26" t="s">
        <v>42</v>
      </c>
      <c r="C35" s="26" t="s">
        <v>15</v>
      </c>
      <c r="D35" s="26" t="s">
        <v>33</v>
      </c>
      <c r="E35" s="26" t="s">
        <v>23</v>
      </c>
      <c r="F35" s="26" t="s">
        <v>62</v>
      </c>
    </row>
    <row r="36" customFormat="false" ht="15.75" hidden="false" customHeight="true" outlineLevel="0" collapsed="false">
      <c r="A36" s="26" t="n">
        <v>35</v>
      </c>
      <c r="B36" s="26" t="s">
        <v>23</v>
      </c>
      <c r="C36" s="26" t="s">
        <v>63</v>
      </c>
      <c r="D36" s="26" t="s">
        <v>40</v>
      </c>
      <c r="E36" s="26" t="s">
        <v>47</v>
      </c>
      <c r="F36" s="26" t="s">
        <v>61</v>
      </c>
    </row>
    <row r="37" customFormat="false" ht="15.75" hidden="false" customHeight="true" outlineLevel="0" collapsed="false">
      <c r="A37" s="26" t="n">
        <v>36</v>
      </c>
      <c r="B37" s="26" t="s">
        <v>47</v>
      </c>
      <c r="C37" s="26" t="s">
        <v>36</v>
      </c>
      <c r="D37" s="26" t="s">
        <v>31</v>
      </c>
      <c r="E37" s="26" t="s">
        <v>51</v>
      </c>
      <c r="F37" s="26" t="s">
        <v>62</v>
      </c>
    </row>
    <row r="38" customFormat="false" ht="15.75" hidden="false" customHeight="true" outlineLevel="0" collapsed="false">
      <c r="A38" s="26" t="n">
        <v>37</v>
      </c>
      <c r="B38" s="26" t="s">
        <v>50</v>
      </c>
      <c r="C38" s="26" t="s">
        <v>27</v>
      </c>
      <c r="D38" s="26" t="s">
        <v>39</v>
      </c>
      <c r="E38" s="26" t="s">
        <v>43</v>
      </c>
      <c r="F38" s="26" t="s">
        <v>61</v>
      </c>
    </row>
    <row r="39" customFormat="false" ht="15.75" hidden="false" customHeight="true" outlineLevel="0" collapsed="false">
      <c r="A39" s="26" t="n">
        <v>38</v>
      </c>
      <c r="B39" s="26" t="s">
        <v>54</v>
      </c>
      <c r="C39" s="26" t="s">
        <v>37</v>
      </c>
      <c r="D39" s="26" t="s">
        <v>48</v>
      </c>
      <c r="E39" s="26" t="s">
        <v>28</v>
      </c>
      <c r="F39" s="26" t="s">
        <v>62</v>
      </c>
    </row>
    <row r="40" customFormat="false" ht="15.75" hidden="false" customHeight="true" outlineLevel="0" collapsed="false">
      <c r="A40" s="26" t="n">
        <v>39</v>
      </c>
      <c r="B40" s="26" t="s">
        <v>34</v>
      </c>
      <c r="C40" s="26" t="s">
        <v>38</v>
      </c>
      <c r="D40" s="26" t="s">
        <v>17</v>
      </c>
      <c r="E40" s="26" t="s">
        <v>49</v>
      </c>
      <c r="F40" s="26" t="s">
        <v>61</v>
      </c>
    </row>
    <row r="41" customFormat="false" ht="15.75" hidden="false" customHeight="true" outlineLevel="0" collapsed="false">
      <c r="A41" s="26" t="n">
        <v>40</v>
      </c>
      <c r="B41" s="26" t="s">
        <v>50</v>
      </c>
      <c r="C41" s="26" t="s">
        <v>18</v>
      </c>
      <c r="D41" s="26" t="s">
        <v>43</v>
      </c>
      <c r="E41" s="26" t="s">
        <v>33</v>
      </c>
      <c r="F41" s="26" t="s">
        <v>62</v>
      </c>
    </row>
    <row r="42" customFormat="false" ht="15.75" hidden="false" customHeight="true" outlineLevel="0" collapsed="false">
      <c r="A42" s="26" t="n">
        <v>41</v>
      </c>
      <c r="B42" s="26" t="s">
        <v>26</v>
      </c>
      <c r="C42" s="26" t="s">
        <v>41</v>
      </c>
      <c r="D42" s="26" t="s">
        <v>28</v>
      </c>
      <c r="E42" s="26" t="s">
        <v>25</v>
      </c>
      <c r="F42" s="26" t="s">
        <v>61</v>
      </c>
    </row>
    <row r="43" customFormat="false" ht="15.75" hidden="false" customHeight="true" outlineLevel="0" collapsed="false">
      <c r="A43" s="26" t="n">
        <v>42</v>
      </c>
      <c r="B43" s="26" t="s">
        <v>15</v>
      </c>
      <c r="C43" s="26" t="s">
        <v>29</v>
      </c>
      <c r="D43" s="26" t="s">
        <v>32</v>
      </c>
      <c r="E43" s="26" t="s">
        <v>42</v>
      </c>
      <c r="F43" s="26" t="s">
        <v>62</v>
      </c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T51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S30" activeCellId="0" sqref="S30"/>
    </sheetView>
  </sheetViews>
  <sheetFormatPr defaultColWidth="11.4296875" defaultRowHeight="14.25" zeroHeight="false" outlineLevelRow="0" outlineLevelCol="0"/>
  <cols>
    <col collapsed="false" customWidth="true" hidden="false" outlineLevel="0" max="1" min="1" style="0" width="27.72"/>
    <col collapsed="false" customWidth="true" hidden="false" outlineLevel="0" max="2" min="2" style="0" width="25.14"/>
    <col collapsed="false" customWidth="true" hidden="false" outlineLevel="0" max="4" min="3" style="0" width="19.28"/>
    <col collapsed="false" customWidth="true" hidden="false" outlineLevel="0" max="5" min="5" style="0" width="20.72"/>
    <col collapsed="false" customWidth="true" hidden="false" outlineLevel="0" max="7" min="7" style="0" width="30.86"/>
    <col collapsed="false" customWidth="true" hidden="false" outlineLevel="0" max="8" min="8" style="0" width="25.14"/>
    <col collapsed="false" customWidth="true" hidden="false" outlineLevel="0" max="10" min="9" style="0" width="19.28"/>
    <col collapsed="false" customWidth="true" hidden="false" outlineLevel="0" max="11" min="11" style="0" width="25.14"/>
    <col collapsed="false" customWidth="true" hidden="false" outlineLevel="0" max="13" min="13" style="0" width="32"/>
    <col collapsed="false" customWidth="true" hidden="false" outlineLevel="0" max="14" min="14" style="0" width="25.14"/>
    <col collapsed="false" customWidth="true" hidden="false" outlineLevel="0" max="16" min="15" style="0" width="19.28"/>
    <col collapsed="false" customWidth="true" hidden="false" outlineLevel="0" max="17" min="17" style="0" width="25.14"/>
    <col collapsed="false" customWidth="true" hidden="false" outlineLevel="0" max="19" min="19" style="0" width="32"/>
    <col collapsed="false" customWidth="true" hidden="false" outlineLevel="0" max="20" min="20" style="0" width="25.14"/>
    <col collapsed="false" customWidth="true" hidden="false" outlineLevel="0" max="22" min="21" style="0" width="19.28"/>
  </cols>
  <sheetData>
    <row r="3" customFormat="false" ht="14.25" hidden="false" customHeight="false" outlineLevel="0" collapsed="false">
      <c r="A3" s="27" t="s">
        <v>3</v>
      </c>
      <c r="B3" s="28" t="s">
        <v>64</v>
      </c>
      <c r="G3" s="27" t="s">
        <v>4</v>
      </c>
      <c r="H3" s="28" t="s">
        <v>64</v>
      </c>
      <c r="K3" s="29"/>
      <c r="M3" s="27" t="s">
        <v>5</v>
      </c>
      <c r="N3" s="28" t="s">
        <v>64</v>
      </c>
      <c r="Q3" s="29"/>
      <c r="S3" s="27" t="s">
        <v>6</v>
      </c>
      <c r="T3" s="28" t="s">
        <v>64</v>
      </c>
    </row>
    <row r="4" customFormat="false" ht="14.25" hidden="false" customHeight="false" outlineLevel="0" collapsed="false">
      <c r="A4" s="30" t="s">
        <v>15</v>
      </c>
      <c r="B4" s="31" t="n">
        <v>11</v>
      </c>
      <c r="G4" s="30" t="s">
        <v>15</v>
      </c>
      <c r="H4" s="31" t="n">
        <v>12</v>
      </c>
      <c r="K4" s="29"/>
      <c r="M4" s="30" t="s">
        <v>15</v>
      </c>
      <c r="N4" s="31" t="n">
        <v>11</v>
      </c>
      <c r="Q4" s="29"/>
      <c r="S4" s="30" t="s">
        <v>16</v>
      </c>
      <c r="T4" s="31" t="n">
        <v>21</v>
      </c>
    </row>
    <row r="5" customFormat="false" ht="14.25" hidden="false" customHeight="false" outlineLevel="0" collapsed="false">
      <c r="A5" s="32" t="s">
        <v>36</v>
      </c>
      <c r="B5" s="33" t="n">
        <v>9</v>
      </c>
      <c r="G5" s="32" t="s">
        <v>37</v>
      </c>
      <c r="H5" s="33" t="n">
        <v>11</v>
      </c>
      <c r="K5" s="29"/>
      <c r="M5" s="32" t="s">
        <v>38</v>
      </c>
      <c r="N5" s="33" t="n">
        <v>11</v>
      </c>
      <c r="Q5" s="29"/>
      <c r="S5" s="32" t="s">
        <v>36</v>
      </c>
      <c r="T5" s="33" t="n">
        <v>11</v>
      </c>
    </row>
    <row r="6" customFormat="false" ht="14.25" hidden="false" customHeight="false" outlineLevel="0" collapsed="false">
      <c r="A6" s="32" t="s">
        <v>32</v>
      </c>
      <c r="B6" s="33" t="n">
        <v>41</v>
      </c>
      <c r="G6" s="32" t="s">
        <v>31</v>
      </c>
      <c r="H6" s="33" t="n">
        <v>9</v>
      </c>
      <c r="K6" s="29"/>
      <c r="M6" s="32" t="s">
        <v>49</v>
      </c>
      <c r="N6" s="33" t="n">
        <v>12</v>
      </c>
      <c r="Q6" s="29"/>
      <c r="S6" s="32" t="s">
        <v>33</v>
      </c>
      <c r="T6" s="33" t="n">
        <v>13</v>
      </c>
    </row>
    <row r="7" customFormat="false" ht="14.25" hidden="false" customHeight="false" outlineLevel="0" collapsed="false">
      <c r="A7" s="32" t="s">
        <v>31</v>
      </c>
      <c r="B7" s="33" t="n">
        <v>9</v>
      </c>
      <c r="G7" s="32" t="s">
        <v>41</v>
      </c>
      <c r="H7" s="33" t="n">
        <v>21</v>
      </c>
      <c r="K7" s="29"/>
      <c r="M7" s="32" t="s">
        <v>36</v>
      </c>
      <c r="N7" s="33" t="n">
        <v>18</v>
      </c>
      <c r="Q7" s="29"/>
      <c r="S7" s="32" t="s">
        <v>25</v>
      </c>
      <c r="T7" s="33" t="n">
        <v>9</v>
      </c>
    </row>
    <row r="8" customFormat="false" ht="14.25" hidden="false" customHeight="false" outlineLevel="0" collapsed="false">
      <c r="A8" s="32" t="s">
        <v>25</v>
      </c>
      <c r="B8" s="33" t="n">
        <v>11</v>
      </c>
      <c r="G8" s="32" t="s">
        <v>34</v>
      </c>
      <c r="H8" s="33" t="n">
        <v>23</v>
      </c>
      <c r="K8" s="29"/>
      <c r="M8" s="32" t="s">
        <v>33</v>
      </c>
      <c r="N8" s="33" t="n">
        <v>20</v>
      </c>
      <c r="Q8" s="29"/>
      <c r="S8" s="32" t="s">
        <v>39</v>
      </c>
      <c r="T8" s="33" t="n">
        <v>11</v>
      </c>
    </row>
    <row r="9" customFormat="false" ht="14.25" hidden="false" customHeight="false" outlineLevel="0" collapsed="false">
      <c r="A9" s="32" t="s">
        <v>40</v>
      </c>
      <c r="B9" s="33" t="n">
        <v>11</v>
      </c>
      <c r="G9" s="32" t="s">
        <v>24</v>
      </c>
      <c r="H9" s="33" t="n">
        <v>9</v>
      </c>
      <c r="K9" s="29"/>
      <c r="M9" s="32" t="s">
        <v>31</v>
      </c>
      <c r="N9" s="33" t="n">
        <v>9</v>
      </c>
      <c r="Q9" s="29"/>
      <c r="S9" s="32" t="s">
        <v>34</v>
      </c>
      <c r="T9" s="33" t="n">
        <v>9</v>
      </c>
    </row>
    <row r="10" customFormat="false" ht="14.25" hidden="false" customHeight="false" outlineLevel="0" collapsed="false">
      <c r="A10" s="32" t="s">
        <v>23</v>
      </c>
      <c r="B10" s="33" t="n">
        <v>32</v>
      </c>
      <c r="G10" s="32" t="s">
        <v>48</v>
      </c>
      <c r="H10" s="33" t="n">
        <v>24</v>
      </c>
      <c r="K10" s="29"/>
      <c r="M10" s="32" t="s">
        <v>25</v>
      </c>
      <c r="N10" s="33" t="n">
        <v>9</v>
      </c>
      <c r="Q10" s="29"/>
      <c r="S10" s="32" t="s">
        <v>47</v>
      </c>
      <c r="T10" s="33" t="n">
        <v>9</v>
      </c>
    </row>
    <row r="11" customFormat="false" ht="14.25" hidden="false" customHeight="false" outlineLevel="0" collapsed="false">
      <c r="A11" s="32" t="s">
        <v>29</v>
      </c>
      <c r="B11" s="33" t="n">
        <v>9</v>
      </c>
      <c r="G11" s="32" t="s">
        <v>27</v>
      </c>
      <c r="H11" s="33" t="n">
        <v>21</v>
      </c>
      <c r="K11" s="29"/>
      <c r="M11" s="32" t="s">
        <v>39</v>
      </c>
      <c r="N11" s="33" t="n">
        <v>12</v>
      </c>
      <c r="Q11" s="29"/>
      <c r="S11" s="32" t="s">
        <v>24</v>
      </c>
      <c r="T11" s="33" t="n">
        <v>23</v>
      </c>
    </row>
    <row r="12" customFormat="false" ht="14.25" hidden="false" customHeight="false" outlineLevel="0" collapsed="false">
      <c r="A12" s="32" t="s">
        <v>50</v>
      </c>
      <c r="B12" s="33" t="n">
        <v>12</v>
      </c>
      <c r="G12" s="32" t="s">
        <v>35</v>
      </c>
      <c r="H12" s="33" t="n">
        <v>9</v>
      </c>
      <c r="K12" s="29"/>
      <c r="M12" s="32" t="s">
        <v>24</v>
      </c>
      <c r="N12" s="33" t="n">
        <v>12</v>
      </c>
      <c r="Q12" s="29"/>
      <c r="S12" s="32" t="s">
        <v>28</v>
      </c>
      <c r="T12" s="33" t="n">
        <v>11</v>
      </c>
    </row>
    <row r="13" customFormat="false" ht="14.25" hidden="false" customHeight="false" outlineLevel="0" collapsed="false">
      <c r="A13" s="32" t="s">
        <v>47</v>
      </c>
      <c r="B13" s="33" t="n">
        <v>12</v>
      </c>
      <c r="G13" s="32" t="s">
        <v>18</v>
      </c>
      <c r="H13" s="33" t="n">
        <v>9</v>
      </c>
      <c r="K13" s="29"/>
      <c r="M13" s="32" t="s">
        <v>48</v>
      </c>
      <c r="N13" s="33" t="n">
        <v>10</v>
      </c>
      <c r="Q13" s="29"/>
      <c r="S13" s="32" t="s">
        <v>27</v>
      </c>
      <c r="T13" s="33" t="n">
        <v>10</v>
      </c>
    </row>
    <row r="14" customFormat="false" ht="14.25" hidden="false" customHeight="false" outlineLevel="0" collapsed="false">
      <c r="A14" s="32" t="s">
        <v>42</v>
      </c>
      <c r="B14" s="33" t="n">
        <v>10</v>
      </c>
      <c r="G14" s="32" t="s">
        <v>26</v>
      </c>
      <c r="H14" s="33" t="n">
        <v>11</v>
      </c>
      <c r="K14" s="29"/>
      <c r="M14" s="32" t="s">
        <v>27</v>
      </c>
      <c r="N14" s="33" t="n">
        <v>21</v>
      </c>
      <c r="Q14" s="29"/>
      <c r="S14" s="32" t="s">
        <v>43</v>
      </c>
      <c r="T14" s="33" t="n">
        <v>22</v>
      </c>
    </row>
    <row r="15" customFormat="false" ht="14.25" hidden="false" customHeight="false" outlineLevel="0" collapsed="false">
      <c r="A15" s="32" t="s">
        <v>44</v>
      </c>
      <c r="B15" s="33" t="n">
        <v>10</v>
      </c>
      <c r="G15" s="32" t="s">
        <v>17</v>
      </c>
      <c r="H15" s="33" t="n">
        <v>11</v>
      </c>
      <c r="K15" s="29"/>
      <c r="M15" s="32" t="s">
        <v>18</v>
      </c>
      <c r="N15" s="33" t="n">
        <v>12</v>
      </c>
      <c r="Q15" s="29"/>
      <c r="S15" s="32" t="s">
        <v>35</v>
      </c>
      <c r="T15" s="33" t="n">
        <v>18</v>
      </c>
    </row>
    <row r="16" customFormat="false" ht="14.25" hidden="false" customHeight="false" outlineLevel="0" collapsed="false">
      <c r="A16" s="32" t="s">
        <v>35</v>
      </c>
      <c r="B16" s="33" t="n">
        <v>12</v>
      </c>
      <c r="G16" s="32" t="s">
        <v>30</v>
      </c>
      <c r="H16" s="33" t="n">
        <v>19</v>
      </c>
      <c r="K16" s="29"/>
      <c r="M16" s="32" t="s">
        <v>17</v>
      </c>
      <c r="N16" s="33" t="n">
        <v>11</v>
      </c>
      <c r="Q16" s="29"/>
      <c r="S16" s="32" t="s">
        <v>18</v>
      </c>
      <c r="T16" s="33" t="n">
        <v>11</v>
      </c>
    </row>
    <row r="17" customFormat="false" ht="14.25" hidden="false" customHeight="false" outlineLevel="0" collapsed="false">
      <c r="A17" s="32" t="s">
        <v>17</v>
      </c>
      <c r="B17" s="33" t="n">
        <v>11</v>
      </c>
      <c r="G17" s="32" t="s">
        <v>65</v>
      </c>
      <c r="H17" s="34"/>
      <c r="K17" s="29"/>
      <c r="M17" s="32" t="s">
        <v>46</v>
      </c>
      <c r="N17" s="33" t="n">
        <v>9</v>
      </c>
      <c r="Q17" s="29"/>
      <c r="S17" s="32" t="s">
        <v>26</v>
      </c>
      <c r="T17" s="33" t="n">
        <v>22</v>
      </c>
    </row>
    <row r="18" customFormat="false" ht="14.25" hidden="false" customHeight="false" outlineLevel="0" collapsed="false">
      <c r="A18" s="32" t="s">
        <v>65</v>
      </c>
      <c r="B18" s="35"/>
      <c r="G18" s="32" t="s">
        <v>16</v>
      </c>
      <c r="H18" s="36" t="n">
        <v>11</v>
      </c>
      <c r="K18" s="29"/>
      <c r="M18" s="32" t="s">
        <v>45</v>
      </c>
      <c r="N18" s="33" t="n">
        <v>23</v>
      </c>
      <c r="Q18" s="29"/>
      <c r="S18" s="32" t="s">
        <v>65</v>
      </c>
      <c r="T18" s="35"/>
    </row>
    <row r="19" customFormat="false" ht="14.25" hidden="false" customHeight="false" outlineLevel="0" collapsed="false">
      <c r="A19" s="37" t="s">
        <v>66</v>
      </c>
      <c r="B19" s="38" t="n">
        <v>200</v>
      </c>
      <c r="G19" s="37" t="s">
        <v>66</v>
      </c>
      <c r="H19" s="38" t="n">
        <v>200</v>
      </c>
      <c r="K19" s="29"/>
      <c r="M19" s="32" t="s">
        <v>65</v>
      </c>
      <c r="N19" s="35"/>
      <c r="Q19" s="29"/>
      <c r="S19" s="37" t="s">
        <v>66</v>
      </c>
      <c r="T19" s="38" t="n">
        <v>200</v>
      </c>
    </row>
    <row r="20" customFormat="false" ht="14.25" hidden="false" customHeight="false" outlineLevel="0" collapsed="false">
      <c r="K20" s="29"/>
      <c r="M20" s="37" t="s">
        <v>66</v>
      </c>
      <c r="N20" s="38" t="n">
        <v>200</v>
      </c>
      <c r="Q20" s="29"/>
    </row>
    <row r="21" customFormat="false" ht="14.25" hidden="false" customHeight="false" outlineLevel="0" collapsed="false">
      <c r="K21" s="29"/>
      <c r="Q21" s="29"/>
    </row>
    <row r="22" customFormat="false" ht="14.25" hidden="false" customHeight="false" outlineLevel="0" collapsed="false">
      <c r="K22" s="29"/>
      <c r="Q22" s="29"/>
    </row>
    <row r="23" customFormat="false" ht="14.25" hidden="false" customHeight="false" outlineLevel="0" collapsed="false">
      <c r="K23" s="29"/>
      <c r="Q23" s="29"/>
    </row>
    <row r="24" customFormat="false" ht="14.25" hidden="false" customHeight="false" outlineLevel="0" collapsed="false">
      <c r="K24" s="29"/>
      <c r="Q24" s="29"/>
    </row>
    <row r="30" customFormat="false" ht="14.25" hidden="false" customHeight="false" outlineLevel="0" collapsed="false">
      <c r="A30" s="27" t="s">
        <v>3</v>
      </c>
      <c r="B30" s="28" t="s">
        <v>64</v>
      </c>
      <c r="E30" s="29"/>
      <c r="G30" s="27" t="s">
        <v>4</v>
      </c>
      <c r="H30" s="28" t="s">
        <v>64</v>
      </c>
      <c r="K30" s="29"/>
      <c r="M30" s="27" t="s">
        <v>5</v>
      </c>
      <c r="N30" s="28" t="s">
        <v>64</v>
      </c>
      <c r="Q30" s="29"/>
      <c r="S30" s="27" t="s">
        <v>6</v>
      </c>
      <c r="T30" s="28" t="s">
        <v>64</v>
      </c>
    </row>
    <row r="31" customFormat="false" ht="14.25" hidden="false" customHeight="false" outlineLevel="0" collapsed="false">
      <c r="A31" s="30" t="s">
        <v>65</v>
      </c>
      <c r="B31" s="39"/>
      <c r="E31" s="29"/>
      <c r="G31" s="30" t="s">
        <v>15</v>
      </c>
      <c r="H31" s="31" t="n">
        <v>8</v>
      </c>
      <c r="K31" s="29"/>
      <c r="M31" s="30" t="s">
        <v>33</v>
      </c>
      <c r="N31" s="31" t="n">
        <v>8</v>
      </c>
      <c r="Q31" s="29"/>
      <c r="S31" s="30" t="s">
        <v>49</v>
      </c>
      <c r="T31" s="31" t="n">
        <v>10</v>
      </c>
    </row>
    <row r="32" customFormat="false" ht="14.25" hidden="false" customHeight="false" outlineLevel="0" collapsed="false">
      <c r="A32" s="32" t="s">
        <v>37</v>
      </c>
      <c r="B32" s="33" t="n">
        <v>13</v>
      </c>
      <c r="E32" s="29"/>
      <c r="G32" s="32" t="s">
        <v>36</v>
      </c>
      <c r="H32" s="33" t="n">
        <v>13</v>
      </c>
      <c r="K32" s="29"/>
      <c r="M32" s="32" t="s">
        <v>31</v>
      </c>
      <c r="N32" s="33" t="n">
        <v>13</v>
      </c>
      <c r="Q32" s="29"/>
      <c r="S32" s="32" t="s">
        <v>32</v>
      </c>
      <c r="T32" s="33" t="n">
        <v>30</v>
      </c>
    </row>
    <row r="33" customFormat="false" ht="14.25" hidden="false" customHeight="false" outlineLevel="0" collapsed="false">
      <c r="A33" s="32" t="s">
        <v>49</v>
      </c>
      <c r="B33" s="33" t="n">
        <v>18</v>
      </c>
      <c r="E33" s="29"/>
      <c r="G33" s="32" t="s">
        <v>33</v>
      </c>
      <c r="H33" s="33" t="n">
        <v>10</v>
      </c>
      <c r="K33" s="29"/>
      <c r="M33" s="32" t="s">
        <v>40</v>
      </c>
      <c r="N33" s="33" t="n">
        <v>13</v>
      </c>
      <c r="Q33" s="29"/>
      <c r="S33" s="32" t="s">
        <v>33</v>
      </c>
      <c r="T33" s="33" t="n">
        <v>10</v>
      </c>
    </row>
    <row r="34" customFormat="false" ht="14.25" hidden="false" customHeight="false" outlineLevel="0" collapsed="false">
      <c r="A34" s="32" t="s">
        <v>40</v>
      </c>
      <c r="B34" s="33" t="n">
        <v>26</v>
      </c>
      <c r="E34" s="29"/>
      <c r="G34" s="32" t="s">
        <v>53</v>
      </c>
      <c r="H34" s="33" t="n">
        <v>13</v>
      </c>
      <c r="K34" s="29"/>
      <c r="M34" s="32" t="s">
        <v>54</v>
      </c>
      <c r="N34" s="33" t="n">
        <v>12</v>
      </c>
      <c r="Q34" s="29"/>
      <c r="S34" s="32" t="s">
        <v>31</v>
      </c>
      <c r="T34" s="33" t="n">
        <v>8</v>
      </c>
    </row>
    <row r="35" customFormat="false" ht="14.25" hidden="false" customHeight="false" outlineLevel="0" collapsed="false">
      <c r="A35" s="32" t="s">
        <v>54</v>
      </c>
      <c r="B35" s="33" t="n">
        <v>10</v>
      </c>
      <c r="E35" s="29"/>
      <c r="G35" s="32" t="s">
        <v>40</v>
      </c>
      <c r="H35" s="33" t="n">
        <v>12</v>
      </c>
      <c r="K35" s="29"/>
      <c r="M35" s="32" t="s">
        <v>41</v>
      </c>
      <c r="N35" s="33" t="n">
        <v>11</v>
      </c>
      <c r="Q35" s="29"/>
      <c r="S35" s="32" t="s">
        <v>25</v>
      </c>
      <c r="T35" s="33" t="n">
        <v>12</v>
      </c>
    </row>
    <row r="36" customFormat="false" ht="14.25" hidden="false" customHeight="false" outlineLevel="0" collapsed="false">
      <c r="A36" s="32" t="s">
        <v>41</v>
      </c>
      <c r="B36" s="33" t="n">
        <v>10</v>
      </c>
      <c r="E36" s="29"/>
      <c r="G36" s="32" t="s">
        <v>39</v>
      </c>
      <c r="H36" s="33" t="n">
        <v>24</v>
      </c>
      <c r="K36" s="29"/>
      <c r="M36" s="32" t="s">
        <v>34</v>
      </c>
      <c r="N36" s="33" t="n">
        <v>35</v>
      </c>
      <c r="Q36" s="29"/>
      <c r="S36" s="32" t="s">
        <v>39</v>
      </c>
      <c r="T36" s="33" t="n">
        <v>10</v>
      </c>
    </row>
    <row r="37" customFormat="false" ht="14.25" hidden="false" customHeight="false" outlineLevel="0" collapsed="false">
      <c r="A37" s="32" t="s">
        <v>29</v>
      </c>
      <c r="B37" s="33" t="n">
        <v>12</v>
      </c>
      <c r="E37" s="29"/>
      <c r="G37" s="32" t="s">
        <v>29</v>
      </c>
      <c r="H37" s="33" t="n">
        <v>20</v>
      </c>
      <c r="K37" s="29"/>
      <c r="M37" s="32" t="s">
        <v>42</v>
      </c>
      <c r="N37" s="33" t="n">
        <v>18</v>
      </c>
      <c r="Q37" s="29"/>
      <c r="S37" s="32" t="s">
        <v>23</v>
      </c>
      <c r="T37" s="33" t="n">
        <v>21</v>
      </c>
    </row>
    <row r="38" customFormat="false" ht="14.25" hidden="false" customHeight="false" outlineLevel="0" collapsed="false">
      <c r="A38" s="32" t="s">
        <v>50</v>
      </c>
      <c r="B38" s="33" t="n">
        <v>20</v>
      </c>
      <c r="E38" s="29"/>
      <c r="G38" s="32" t="s">
        <v>47</v>
      </c>
      <c r="H38" s="33" t="n">
        <v>10</v>
      </c>
      <c r="K38" s="29"/>
      <c r="M38" s="32" t="s">
        <v>24</v>
      </c>
      <c r="N38" s="33" t="n">
        <v>13</v>
      </c>
      <c r="Q38" s="29"/>
      <c r="S38" s="32" t="s">
        <v>50</v>
      </c>
      <c r="T38" s="33" t="n">
        <v>37</v>
      </c>
    </row>
    <row r="39" customFormat="false" ht="14.25" hidden="false" customHeight="false" outlineLevel="0" collapsed="false">
      <c r="A39" s="32" t="s">
        <v>47</v>
      </c>
      <c r="B39" s="33" t="n">
        <v>21</v>
      </c>
      <c r="E39" s="29"/>
      <c r="G39" s="32" t="s">
        <v>42</v>
      </c>
      <c r="H39" s="33" t="n">
        <v>13</v>
      </c>
      <c r="K39" s="29"/>
      <c r="M39" s="32" t="s">
        <v>48</v>
      </c>
      <c r="N39" s="33" t="n">
        <v>10</v>
      </c>
      <c r="Q39" s="29"/>
      <c r="S39" s="32" t="s">
        <v>42</v>
      </c>
      <c r="T39" s="33" t="n">
        <v>13</v>
      </c>
    </row>
    <row r="40" customFormat="false" ht="14.25" hidden="false" customHeight="false" outlineLevel="0" collapsed="false">
      <c r="A40" s="32" t="s">
        <v>42</v>
      </c>
      <c r="B40" s="33" t="n">
        <v>18</v>
      </c>
      <c r="E40" s="29"/>
      <c r="G40" s="32" t="s">
        <v>26</v>
      </c>
      <c r="H40" s="33" t="n">
        <v>10</v>
      </c>
      <c r="K40" s="29"/>
      <c r="M40" s="32" t="s">
        <v>52</v>
      </c>
      <c r="N40" s="33" t="n">
        <v>10</v>
      </c>
      <c r="Q40" s="29"/>
      <c r="S40" s="32" t="s">
        <v>24</v>
      </c>
      <c r="T40" s="33" t="n">
        <v>7</v>
      </c>
    </row>
    <row r="41" customFormat="false" ht="14.25" hidden="false" customHeight="false" outlineLevel="0" collapsed="false">
      <c r="A41" s="32" t="s">
        <v>24</v>
      </c>
      <c r="B41" s="33" t="n">
        <v>13</v>
      </c>
      <c r="E41" s="29"/>
      <c r="G41" s="32" t="s">
        <v>46</v>
      </c>
      <c r="H41" s="33" t="n">
        <v>18</v>
      </c>
      <c r="K41" s="29"/>
      <c r="M41" s="32" t="s">
        <v>27</v>
      </c>
      <c r="N41" s="33" t="n">
        <v>10</v>
      </c>
      <c r="Q41" s="29"/>
      <c r="S41" s="32" t="s">
        <v>48</v>
      </c>
      <c r="T41" s="33" t="n">
        <v>22</v>
      </c>
    </row>
    <row r="42" customFormat="false" ht="14.25" hidden="false" customHeight="false" outlineLevel="0" collapsed="false">
      <c r="A42" s="32" t="s">
        <v>48</v>
      </c>
      <c r="B42" s="33" t="n">
        <v>22</v>
      </c>
      <c r="E42" s="29"/>
      <c r="G42" s="32" t="s">
        <v>30</v>
      </c>
      <c r="H42" s="33" t="n">
        <v>20</v>
      </c>
      <c r="K42" s="29"/>
      <c r="M42" s="32" t="s">
        <v>35</v>
      </c>
      <c r="N42" s="33" t="n">
        <v>7</v>
      </c>
      <c r="Q42" s="29"/>
      <c r="S42" s="32" t="s">
        <v>52</v>
      </c>
      <c r="T42" s="33" t="n">
        <v>13</v>
      </c>
    </row>
    <row r="43" customFormat="false" ht="14.25" hidden="false" customHeight="false" outlineLevel="0" collapsed="false">
      <c r="A43" s="32" t="s">
        <v>43</v>
      </c>
      <c r="B43" s="33" t="n">
        <v>10</v>
      </c>
      <c r="E43" s="29"/>
      <c r="G43" s="32" t="s">
        <v>51</v>
      </c>
      <c r="H43" s="33" t="n">
        <v>35</v>
      </c>
      <c r="K43" s="29"/>
      <c r="M43" s="32" t="s">
        <v>18</v>
      </c>
      <c r="N43" s="33" t="n">
        <v>10</v>
      </c>
      <c r="Q43" s="29"/>
      <c r="S43" s="32" t="s">
        <v>51</v>
      </c>
      <c r="T43" s="33" t="n">
        <v>13</v>
      </c>
    </row>
    <row r="44" customFormat="false" ht="14.25" hidden="false" customHeight="false" outlineLevel="0" collapsed="false">
      <c r="A44" s="32" t="s">
        <v>46</v>
      </c>
      <c r="B44" s="36" t="n">
        <v>13</v>
      </c>
      <c r="E44" s="29"/>
      <c r="G44" s="32" t="s">
        <v>65</v>
      </c>
      <c r="H44" s="35"/>
      <c r="K44" s="29"/>
      <c r="M44" s="32" t="s">
        <v>17</v>
      </c>
      <c r="N44" s="33" t="n">
        <v>10</v>
      </c>
      <c r="Q44" s="29"/>
      <c r="S44" s="32" t="s">
        <v>65</v>
      </c>
      <c r="T44" s="35"/>
    </row>
    <row r="45" customFormat="false" ht="14.25" hidden="false" customHeight="false" outlineLevel="0" collapsed="false">
      <c r="A45" s="37" t="s">
        <v>66</v>
      </c>
      <c r="B45" s="38" t="n">
        <v>206</v>
      </c>
      <c r="E45" s="29"/>
      <c r="G45" s="37" t="s">
        <v>66</v>
      </c>
      <c r="H45" s="38" t="n">
        <v>206</v>
      </c>
      <c r="K45" s="29"/>
      <c r="M45" s="32" t="s">
        <v>46</v>
      </c>
      <c r="N45" s="33" t="n">
        <v>13</v>
      </c>
      <c r="Q45" s="29"/>
      <c r="S45" s="37" t="s">
        <v>66</v>
      </c>
      <c r="T45" s="38" t="n">
        <v>206</v>
      </c>
    </row>
    <row r="46" customFormat="false" ht="14.25" hidden="false" customHeight="false" outlineLevel="0" collapsed="false">
      <c r="E46" s="29"/>
      <c r="K46" s="29"/>
      <c r="M46" s="32" t="s">
        <v>51</v>
      </c>
      <c r="N46" s="33" t="n">
        <v>13</v>
      </c>
      <c r="Q46" s="29"/>
    </row>
    <row r="47" customFormat="false" ht="14.25" hidden="false" customHeight="false" outlineLevel="0" collapsed="false">
      <c r="E47" s="29"/>
      <c r="K47" s="29"/>
      <c r="M47" s="32" t="s">
        <v>65</v>
      </c>
      <c r="N47" s="35"/>
      <c r="Q47" s="29"/>
    </row>
    <row r="48" customFormat="false" ht="14.25" hidden="false" customHeight="false" outlineLevel="0" collapsed="false">
      <c r="E48" s="29"/>
      <c r="K48" s="29"/>
      <c r="M48" s="37" t="s">
        <v>66</v>
      </c>
      <c r="N48" s="38" t="n">
        <v>206</v>
      </c>
      <c r="Q48" s="29"/>
    </row>
    <row r="49" customFormat="false" ht="14.25" hidden="false" customHeight="false" outlineLevel="0" collapsed="false">
      <c r="E49" s="29"/>
      <c r="K49" s="29"/>
      <c r="Q49" s="29"/>
    </row>
    <row r="50" customFormat="false" ht="14.25" hidden="false" customHeight="false" outlineLevel="0" collapsed="false">
      <c r="E50" s="29"/>
      <c r="K50" s="29"/>
      <c r="Q50" s="29"/>
    </row>
    <row r="51" customFormat="false" ht="14.25" hidden="false" customHeight="false" outlineLevel="0" collapsed="false">
      <c r="E51" s="29"/>
      <c r="K51" s="29"/>
      <c r="Q51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B42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Y9" activeCellId="0" sqref="Y9"/>
    </sheetView>
  </sheetViews>
  <sheetFormatPr defaultColWidth="11.42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12" min="12" style="0" width="32"/>
    <col collapsed="false" customWidth="true" hidden="false" outlineLevel="0" max="25" min="25" style="0" width="32"/>
  </cols>
  <sheetData>
    <row r="2" customFormat="false" ht="14.25" hidden="false" customHeight="false" outlineLevel="0" collapsed="false">
      <c r="C2" s="40" t="s">
        <v>67</v>
      </c>
      <c r="D2" s="40"/>
      <c r="E2" s="40"/>
      <c r="F2" s="40"/>
      <c r="G2" s="40"/>
      <c r="N2" s="40" t="s">
        <v>68</v>
      </c>
      <c r="O2" s="40"/>
      <c r="P2" s="40"/>
      <c r="Q2" s="40"/>
      <c r="R2" s="40"/>
    </row>
    <row r="4" customFormat="false" ht="14.25" hidden="false" customHeight="false" outlineLevel="0" collapsed="false">
      <c r="B4" s="40" t="s">
        <v>61</v>
      </c>
      <c r="C4" s="40"/>
      <c r="D4" s="40"/>
      <c r="E4" s="40"/>
      <c r="F4" s="40" t="s">
        <v>62</v>
      </c>
      <c r="G4" s="40"/>
      <c r="H4" s="40"/>
      <c r="I4" s="40"/>
      <c r="M4" s="40" t="s">
        <v>61</v>
      </c>
      <c r="N4" s="40"/>
      <c r="O4" s="40"/>
      <c r="P4" s="40"/>
      <c r="Q4" s="40" t="s">
        <v>62</v>
      </c>
      <c r="R4" s="40"/>
      <c r="S4" s="40"/>
      <c r="T4" s="40"/>
    </row>
    <row r="5" customFormat="false" ht="14.25" hidden="false" customHeight="false" outlineLevel="0" collapsed="false">
      <c r="B5" s="40" t="s">
        <v>69</v>
      </c>
      <c r="C5" s="40"/>
      <c r="D5" s="40" t="s">
        <v>70</v>
      </c>
      <c r="E5" s="40"/>
      <c r="F5" s="40" t="s">
        <v>69</v>
      </c>
      <c r="G5" s="40"/>
      <c r="H5" s="40" t="s">
        <v>70</v>
      </c>
      <c r="I5" s="40"/>
      <c r="M5" s="40" t="s">
        <v>69</v>
      </c>
      <c r="N5" s="40"/>
      <c r="O5" s="40" t="s">
        <v>70</v>
      </c>
      <c r="P5" s="40"/>
      <c r="Q5" s="40" t="s">
        <v>69</v>
      </c>
      <c r="R5" s="40"/>
      <c r="S5" s="40" t="s">
        <v>70</v>
      </c>
      <c r="T5" s="40"/>
    </row>
    <row r="6" customFormat="false" ht="14.25" hidden="false" customHeight="false" outlineLevel="0" collapsed="false">
      <c r="A6" s="8" t="s">
        <v>71</v>
      </c>
      <c r="B6" s="41" t="s">
        <v>72</v>
      </c>
      <c r="C6" s="41" t="s">
        <v>73</v>
      </c>
      <c r="D6" s="41" t="s">
        <v>72</v>
      </c>
      <c r="E6" s="41" t="s">
        <v>73</v>
      </c>
      <c r="F6" s="41" t="s">
        <v>72</v>
      </c>
      <c r="G6" s="41" t="s">
        <v>73</v>
      </c>
      <c r="H6" s="41" t="s">
        <v>72</v>
      </c>
      <c r="I6" s="41" t="s">
        <v>73</v>
      </c>
      <c r="J6" s="41" t="s">
        <v>74</v>
      </c>
      <c r="L6" s="8" t="s">
        <v>71</v>
      </c>
      <c r="M6" s="41" t="s">
        <v>72</v>
      </c>
      <c r="N6" s="41" t="s">
        <v>73</v>
      </c>
      <c r="O6" s="41" t="s">
        <v>72</v>
      </c>
      <c r="P6" s="41" t="s">
        <v>73</v>
      </c>
      <c r="Q6" s="41" t="s">
        <v>72</v>
      </c>
      <c r="R6" s="41" t="s">
        <v>73</v>
      </c>
      <c r="S6" s="41" t="s">
        <v>72</v>
      </c>
      <c r="T6" s="41" t="s">
        <v>73</v>
      </c>
      <c r="U6" s="41" t="s">
        <v>75</v>
      </c>
      <c r="Y6" s="8" t="s">
        <v>71</v>
      </c>
      <c r="Z6" s="41" t="s">
        <v>76</v>
      </c>
      <c r="AA6" s="8" t="s">
        <v>77</v>
      </c>
      <c r="AB6" s="8" t="s">
        <v>78</v>
      </c>
    </row>
    <row r="7" customFormat="false" ht="14.25" hidden="false" customHeight="false" outlineLevel="0" collapsed="false">
      <c r="A7" s="42" t="s">
        <v>15</v>
      </c>
      <c r="B7" s="43" t="n">
        <f aca="false">IFERROR(GETPIVOTDATA("Suma de PUNTO_EQUIPO_1",TD!$A$3,"ID_JUGADOR_1_EQUIPO_1",$A7),0)</f>
        <v>7</v>
      </c>
      <c r="C7" s="43" t="n">
        <f aca="false">IFERROR(GETPIVOTDATA("Suma de PUNTO_EQUIPO_1",TD!$G$3,"ID_JUGADOR_2_EQUIPO_1",$A7),0)</f>
        <v>5</v>
      </c>
      <c r="D7" s="43" t="n">
        <f aca="false">IFERROR(GETPIVOTDATA("Suma de PUNTO_EQUIPO_2",TD!$M$3,"ID_JUGADOR_1_EQUIPO_2",$A7),0)</f>
        <v>3</v>
      </c>
      <c r="E7" s="43" t="n">
        <f aca="false">IFERROR(GETPIVOTDATA("Suma de PUNTO_EQUIPO_2",TD!$S$3,"ID_JUGADOR_2_EQUIPO_2",$A7),0)</f>
        <v>0</v>
      </c>
      <c r="F7" s="43" t="n">
        <f aca="false">IFERROR(GETPIVOTDATA("Suma de PUNTO_EQUIPO_1",TD!$A$30,"ID_JUGADOR_1_EQUIPO_1",$A7),0)</f>
        <v>0</v>
      </c>
      <c r="G7" s="43" t="n">
        <f aca="false">IFERROR(GETPIVOTDATA("Suma de PUNTO_EQUIPO_1",TD!$G$30,"ID_JUGADOR_2_EQUIPO_1",$A7),0)</f>
        <v>1</v>
      </c>
      <c r="H7" s="43" t="n">
        <f aca="false">IFERROR(GETPIVOTDATA("Suma de PUNTO_EQUIPO_2",TD!$M$30,"ID_JUGADOR_1_EQUIPO_2",$A7),0)</f>
        <v>0</v>
      </c>
      <c r="I7" s="43" t="n">
        <f aca="false">IFERROR(GETPIVOTDATA("Suma de PUNTO_EQUIPO_2",TD!$S$30,"ID_JUGADOR_2_EQUIPO_2",$A7),0)</f>
        <v>0</v>
      </c>
      <c r="J7" s="43" t="n">
        <f aca="false">SUM(B7:I7)</f>
        <v>16</v>
      </c>
      <c r="L7" s="42" t="s">
        <v>15</v>
      </c>
      <c r="M7" s="43" t="n">
        <f aca="false">IFERROR(GETPIVOTDATA("Cuenta de ID_PUNTO",TD!$A$3,"ID_JUGADOR_1_EQUIPO_1",$L7),0)</f>
        <v>11</v>
      </c>
      <c r="N7" s="43" t="n">
        <f aca="false">IFERROR(GETPIVOTDATA("Cuenta de ID_PUNTO",TD!$G$3,"ID_JUGADOR_2_EQUIPO_1",$L7),0)</f>
        <v>12</v>
      </c>
      <c r="O7" s="43" t="n">
        <f aca="false">IFERROR(GETPIVOTDATA("Cuenta de ID_PUNTO",TD!$M$3,"ID_JUGADOR_1_EQUIPO_2",$L7),0)</f>
        <v>11</v>
      </c>
      <c r="P7" s="43" t="n">
        <f aca="false">IFERROR(GETPIVOTDATA("Cuenta de ID_PUNTO",TD!$S$3,"ID_JUGADOR_2_EQUIPO_2",$L7),0)</f>
        <v>0</v>
      </c>
      <c r="Q7" s="43" t="n">
        <f aca="false">IFERROR(GETPIVOTDATA("Cuenta de ID_PUNTO",TD!$A$30,"ID_JUGADOR_1_EQUIPO_1",$L7),0)</f>
        <v>0</v>
      </c>
      <c r="R7" s="43" t="n">
        <f aca="false">IFERROR(GETPIVOTDATA("Cuenta de ID_PUNTO",TD!$G$30,"ID_JUGADOR_2_EQUIPO_1",$L7),0)</f>
        <v>8</v>
      </c>
      <c r="S7" s="43" t="n">
        <f aca="false">IFERROR(GETPIVOTDATA("Cuenta de ID_PUNTO",TD!$M$30,"ID_JUGADOR_1_EQUIPO_2",$L7),0)</f>
        <v>0</v>
      </c>
      <c r="T7" s="43" t="n">
        <f aca="false">IFERROR(GETPIVOTDATA("Cuenta de ID_PUNTO",TD!$S$30,"ID_JUGADOR_2_EQUIPO_2",$L7),0)</f>
        <v>0</v>
      </c>
      <c r="U7" s="43" t="n">
        <f aca="false">SUM(M7:T7)</f>
        <v>42</v>
      </c>
      <c r="Y7" s="42" t="s">
        <v>49</v>
      </c>
      <c r="Z7" s="43" t="n">
        <f aca="false">VLOOKUP(Y7,$A$6:$J$42,10,FALSE())</f>
        <v>28</v>
      </c>
      <c r="AA7" s="44" t="n">
        <f aca="false">VLOOKUP(Y7,$L$6:$U$42,10,FALSE())</f>
        <v>40</v>
      </c>
      <c r="AB7" s="45" t="n">
        <f aca="false">Z7/AA7</f>
        <v>0.7</v>
      </c>
    </row>
    <row r="8" customFormat="false" ht="14.25" hidden="false" customHeight="false" outlineLevel="0" collapsed="false">
      <c r="A8" s="42" t="s">
        <v>38</v>
      </c>
      <c r="B8" s="43" t="n">
        <f aca="false">IFERROR(GETPIVOTDATA("Suma de PUNTO_EQUIPO_1",TD!$A$3,"ID_JUGADOR_1_EQUIPO_1",$A8),0)</f>
        <v>0</v>
      </c>
      <c r="C8" s="43" t="n">
        <f aca="false">IFERROR(GETPIVOTDATA("Suma de PUNTO_EQUIPO_1",TD!$G$3,"ID_JUGADOR_2_EQUIPO_1",$A8),0)</f>
        <v>0</v>
      </c>
      <c r="D8" s="43" t="n">
        <f aca="false">IFERROR(GETPIVOTDATA("Suma de PUNTO_EQUIPO_2",TD!$M$3,"ID_JUGADOR_1_EQUIPO_2",$A8),0)</f>
        <v>4</v>
      </c>
      <c r="E8" s="43" t="n">
        <f aca="false">IFERROR(GETPIVOTDATA("Suma de PUNTO_EQUIPO_2",TD!$S$3,"ID_JUGADOR_2_EQUIPO_2",$A8),0)</f>
        <v>0</v>
      </c>
      <c r="F8" s="43" t="n">
        <f aca="false">IFERROR(GETPIVOTDATA("Suma de PUNTO_EQUIPO_1",TD!$A$30,"ID_JUGADOR_1_EQUIPO_1",$A8),0)</f>
        <v>0</v>
      </c>
      <c r="G8" s="43" t="n">
        <f aca="false">IFERROR(GETPIVOTDATA("Suma de PUNTO_EQUIPO_1",TD!$G$30,"ID_JUGADOR_2_EQUIPO_1",$A8),0)</f>
        <v>0</v>
      </c>
      <c r="H8" s="43" t="n">
        <f aca="false">IFERROR(GETPIVOTDATA("Suma de PUNTO_EQUIPO_2",TD!$M$30,"ID_JUGADOR_1_EQUIPO_2",$A8),0)</f>
        <v>0</v>
      </c>
      <c r="I8" s="43" t="n">
        <f aca="false">IFERROR(GETPIVOTDATA("Suma de PUNTO_EQUIPO_2",TD!$S$30,"ID_JUGADOR_2_EQUIPO_2",$A8),0)</f>
        <v>0</v>
      </c>
      <c r="J8" s="43" t="n">
        <f aca="false">SUM(B8:I8)</f>
        <v>4</v>
      </c>
      <c r="L8" s="42" t="s">
        <v>38</v>
      </c>
      <c r="M8" s="43" t="n">
        <f aca="false">IFERROR(GETPIVOTDATA("Cuenta de ID_PUNTO",TD!$A$3,"ID_JUGADOR_1_EQUIPO_1",$L8),0)</f>
        <v>0</v>
      </c>
      <c r="N8" s="43" t="n">
        <f aca="false">IFERROR(GETPIVOTDATA("Cuenta de ID_PUNTO",TD!$G$3,"ID_JUGADOR_2_EQUIPO_1",$L8),0)</f>
        <v>0</v>
      </c>
      <c r="O8" s="43" t="n">
        <f aca="false">IFERROR(GETPIVOTDATA("Cuenta de ID_PUNTO",TD!$M$3,"ID_JUGADOR_1_EQUIPO_2",$L8),0)</f>
        <v>11</v>
      </c>
      <c r="P8" s="43" t="n">
        <f aca="false">IFERROR(GETPIVOTDATA("Cuenta de ID_PUNTO",TD!$S$3,"ID_JUGADOR_2_EQUIPO_2",$L8),0)</f>
        <v>0</v>
      </c>
      <c r="Q8" s="43" t="n">
        <f aca="false">IFERROR(GETPIVOTDATA("Cuenta de ID_PUNTO",TD!$A$30,"ID_JUGADOR_1_EQUIPO_1",$L8),0)</f>
        <v>0</v>
      </c>
      <c r="R8" s="43" t="n">
        <f aca="false">IFERROR(GETPIVOTDATA("Cuenta de ID_PUNTO",TD!$G$30,"ID_JUGADOR_2_EQUIPO_1",$L8),0)</f>
        <v>0</v>
      </c>
      <c r="S8" s="43" t="n">
        <f aca="false">IFERROR(GETPIVOTDATA("Cuenta de ID_PUNTO",TD!$M$30,"ID_JUGADOR_1_EQUIPO_2",$L8),0)</f>
        <v>0</v>
      </c>
      <c r="T8" s="43" t="n">
        <f aca="false">IFERROR(GETPIVOTDATA("Cuenta de ID_PUNTO",TD!$S$30,"ID_JUGADOR_2_EQUIPO_2",$L8),0)</f>
        <v>0</v>
      </c>
      <c r="U8" s="43" t="n">
        <f aca="false">SUM(M8:T8)</f>
        <v>11</v>
      </c>
      <c r="Y8" s="42" t="s">
        <v>16</v>
      </c>
      <c r="Z8" s="43" t="n">
        <f aca="false">VLOOKUP(Y8,$A$6:$J$42,10,FALSE())</f>
        <v>21</v>
      </c>
      <c r="AA8" s="44" t="n">
        <f aca="false">VLOOKUP(Y8,$L$6:$U$42,10,FALSE())</f>
        <v>32</v>
      </c>
      <c r="AB8" s="45" t="n">
        <f aca="false">Z8/AA8</f>
        <v>0.65625</v>
      </c>
    </row>
    <row r="9" customFormat="false" ht="14.25" hidden="false" customHeight="false" outlineLevel="0" collapsed="false">
      <c r="A9" s="42" t="s">
        <v>16</v>
      </c>
      <c r="B9" s="43" t="n">
        <f aca="false">IFERROR(GETPIVOTDATA("Suma de PUNTO_EQUIPO_1",TD!$A$3,"ID_JUGADOR_1_EQUIPO_1",$A9),0)</f>
        <v>0</v>
      </c>
      <c r="C9" s="43" t="n">
        <f aca="false">IFERROR(GETPIVOTDATA("Suma de PUNTO_EQUIPO_1",TD!$G$3,"ID_JUGADOR_2_EQUIPO_1",$A9),0)</f>
        <v>7</v>
      </c>
      <c r="D9" s="43" t="n">
        <f aca="false">IFERROR(GETPIVOTDATA("Suma de PUNTO_EQUIPO_2",TD!$M$3,"ID_JUGADOR_1_EQUIPO_2",$A9),0)</f>
        <v>0</v>
      </c>
      <c r="E9" s="43" t="n">
        <f aca="false">IFERROR(GETPIVOTDATA("Suma de PUNTO_EQUIPO_2",TD!$S$3,"ID_JUGADOR_2_EQUIPO_2",$A9),0)</f>
        <v>14</v>
      </c>
      <c r="F9" s="43" t="n">
        <f aca="false">IFERROR(GETPIVOTDATA("Suma de PUNTO_EQUIPO_1",TD!$A$30,"ID_JUGADOR_1_EQUIPO_1",$A9),0)</f>
        <v>0</v>
      </c>
      <c r="G9" s="43" t="n">
        <f aca="false">IFERROR(GETPIVOTDATA("Suma de PUNTO_EQUIPO_1",TD!$G$30,"ID_JUGADOR_2_EQUIPO_1",$A9),0)</f>
        <v>0</v>
      </c>
      <c r="H9" s="43" t="n">
        <f aca="false">IFERROR(GETPIVOTDATA("Suma de PUNTO_EQUIPO_2",TD!$M$30,"ID_JUGADOR_1_EQUIPO_2",$A9),0)</f>
        <v>0</v>
      </c>
      <c r="I9" s="43" t="n">
        <f aca="false">IFERROR(GETPIVOTDATA("Suma de PUNTO_EQUIPO_2",TD!$S$30,"ID_JUGADOR_2_EQUIPO_2",$A9),0)</f>
        <v>0</v>
      </c>
      <c r="J9" s="43" t="n">
        <f aca="false">SUM(B9:I9)</f>
        <v>21</v>
      </c>
      <c r="L9" s="42" t="s">
        <v>16</v>
      </c>
      <c r="M9" s="43" t="n">
        <f aca="false">IFERROR(GETPIVOTDATA("Cuenta de ID_PUNTO",TD!$A$3,"ID_JUGADOR_1_EQUIPO_1",$L9),0)</f>
        <v>0</v>
      </c>
      <c r="N9" s="43" t="n">
        <f aca="false">IFERROR(GETPIVOTDATA("Cuenta de ID_PUNTO",TD!$G$3,"ID_JUGADOR_2_EQUIPO_1",$L9),0)</f>
        <v>11</v>
      </c>
      <c r="O9" s="43" t="n">
        <f aca="false">IFERROR(GETPIVOTDATA("Cuenta de ID_PUNTO",TD!$M$3,"ID_JUGADOR_1_EQUIPO_2",$L9),0)</f>
        <v>0</v>
      </c>
      <c r="P9" s="43" t="n">
        <f aca="false">IFERROR(GETPIVOTDATA("Cuenta de ID_PUNTO",TD!$S$3,"ID_JUGADOR_2_EQUIPO_2",$L9),0)</f>
        <v>21</v>
      </c>
      <c r="Q9" s="43" t="n">
        <f aca="false">IFERROR(GETPIVOTDATA("Cuenta de ID_PUNTO",TD!$A$30,"ID_JUGADOR_1_EQUIPO_1",$L9),0)</f>
        <v>0</v>
      </c>
      <c r="R9" s="43" t="n">
        <f aca="false">IFERROR(GETPIVOTDATA("Cuenta de ID_PUNTO",TD!$G$30,"ID_JUGADOR_2_EQUIPO_1",$L9),0)</f>
        <v>0</v>
      </c>
      <c r="S9" s="43" t="n">
        <f aca="false">IFERROR(GETPIVOTDATA("Cuenta de ID_PUNTO",TD!$M$30,"ID_JUGADOR_1_EQUIPO_2",$L9),0)</f>
        <v>0</v>
      </c>
      <c r="T9" s="43" t="n">
        <f aca="false">IFERROR(GETPIVOTDATA("Cuenta de ID_PUNTO",TD!$S$30,"ID_JUGADOR_2_EQUIPO_2",$L9),0)</f>
        <v>0</v>
      </c>
      <c r="U9" s="43" t="n">
        <f aca="false">SUM(M9:T9)</f>
        <v>32</v>
      </c>
      <c r="Y9" s="42" t="s">
        <v>46</v>
      </c>
      <c r="Z9" s="43" t="n">
        <f aca="false">VLOOKUP(Y9,$A$6:$J$42,10,FALSE())</f>
        <v>34</v>
      </c>
      <c r="AA9" s="44" t="n">
        <f aca="false">VLOOKUP(Y9,$L$6:$U$42,10,FALSE())</f>
        <v>53</v>
      </c>
      <c r="AB9" s="45" t="n">
        <f aca="false">Z9/AA9</f>
        <v>0.641509433962264</v>
      </c>
    </row>
    <row r="10" customFormat="false" ht="14.25" hidden="false" customHeight="false" outlineLevel="0" collapsed="false">
      <c r="A10" s="42" t="s">
        <v>37</v>
      </c>
      <c r="B10" s="43" t="n">
        <f aca="false">IFERROR(GETPIVOTDATA("Suma de PUNTO_EQUIPO_1",TD!$A$3,"ID_JUGADOR_1_EQUIPO_1",$A10),0)</f>
        <v>0</v>
      </c>
      <c r="C10" s="43" t="n">
        <f aca="false">IFERROR(GETPIVOTDATA("Suma de PUNTO_EQUIPO_1",TD!$G$3,"ID_JUGADOR_2_EQUIPO_1",$A10),0)</f>
        <v>7</v>
      </c>
      <c r="D10" s="43" t="n">
        <f aca="false">IFERROR(GETPIVOTDATA("Suma de PUNTO_EQUIPO_2",TD!$M$3,"ID_JUGADOR_1_EQUIPO_2",$A10),0)</f>
        <v>0</v>
      </c>
      <c r="E10" s="43" t="n">
        <f aca="false">IFERROR(GETPIVOTDATA("Suma de PUNTO_EQUIPO_2",TD!$S$3,"ID_JUGADOR_2_EQUIPO_2",$A10),0)</f>
        <v>0</v>
      </c>
      <c r="F10" s="43" t="n">
        <f aca="false">IFERROR(GETPIVOTDATA("Suma de PUNTO_EQUIPO_1",TD!$A$30,"ID_JUGADOR_1_EQUIPO_1",$A10),0)</f>
        <v>6</v>
      </c>
      <c r="G10" s="43" t="n">
        <f aca="false">IFERROR(GETPIVOTDATA("Suma de PUNTO_EQUIPO_1",TD!$G$30,"ID_JUGADOR_2_EQUIPO_1",$A10),0)</f>
        <v>0</v>
      </c>
      <c r="H10" s="43" t="n">
        <f aca="false">IFERROR(GETPIVOTDATA("Suma de PUNTO_EQUIPO_2",TD!$M$30,"ID_JUGADOR_1_EQUIPO_2",$A10),0)</f>
        <v>0</v>
      </c>
      <c r="I10" s="43" t="n">
        <f aca="false">IFERROR(GETPIVOTDATA("Suma de PUNTO_EQUIPO_2",TD!$S$30,"ID_JUGADOR_2_EQUIPO_2",$A10),0)</f>
        <v>0</v>
      </c>
      <c r="J10" s="43" t="n">
        <f aca="false">SUM(B10:I10)</f>
        <v>13</v>
      </c>
      <c r="L10" s="42" t="s">
        <v>37</v>
      </c>
      <c r="M10" s="43" t="n">
        <f aca="false">IFERROR(GETPIVOTDATA("Cuenta de ID_PUNTO",TD!$A$3,"ID_JUGADOR_1_EQUIPO_1",$L10),0)</f>
        <v>0</v>
      </c>
      <c r="N10" s="43" t="n">
        <f aca="false">IFERROR(GETPIVOTDATA("Cuenta de ID_PUNTO",TD!$G$3,"ID_JUGADOR_2_EQUIPO_1",$L10),0)</f>
        <v>11</v>
      </c>
      <c r="O10" s="43" t="n">
        <f aca="false">IFERROR(GETPIVOTDATA("Cuenta de ID_PUNTO",TD!$M$3,"ID_JUGADOR_1_EQUIPO_2",$L10),0)</f>
        <v>0</v>
      </c>
      <c r="P10" s="43" t="n">
        <f aca="false">IFERROR(GETPIVOTDATA("Cuenta de ID_PUNTO",TD!$S$3,"ID_JUGADOR_2_EQUIPO_2",$L10),0)</f>
        <v>0</v>
      </c>
      <c r="Q10" s="43" t="n">
        <f aca="false">IFERROR(GETPIVOTDATA("Cuenta de ID_PUNTO",TD!$A$30,"ID_JUGADOR_1_EQUIPO_1",$L10),0)</f>
        <v>13</v>
      </c>
      <c r="R10" s="43" t="n">
        <f aca="false">IFERROR(GETPIVOTDATA("Cuenta de ID_PUNTO",TD!$G$30,"ID_JUGADOR_2_EQUIPO_1",$L10),0)</f>
        <v>0</v>
      </c>
      <c r="S10" s="43" t="n">
        <f aca="false">IFERROR(GETPIVOTDATA("Cuenta de ID_PUNTO",TD!$M$30,"ID_JUGADOR_1_EQUIPO_2",$L10),0)</f>
        <v>0</v>
      </c>
      <c r="T10" s="43" t="n">
        <f aca="false">IFERROR(GETPIVOTDATA("Cuenta de ID_PUNTO",TD!$S$30,"ID_JUGADOR_2_EQUIPO_2",$L10),0)</f>
        <v>0</v>
      </c>
      <c r="U10" s="43" t="n">
        <f aca="false">SUM(M10:T10)</f>
        <v>24</v>
      </c>
      <c r="Y10" s="42" t="s">
        <v>23</v>
      </c>
      <c r="Z10" s="43" t="n">
        <f aca="false">VLOOKUP(Y10,$A$6:$J$42,10,FALSE())</f>
        <v>34</v>
      </c>
      <c r="AA10" s="44" t="n">
        <f aca="false">VLOOKUP(Y10,$L$6:$U$42,10,FALSE())</f>
        <v>53</v>
      </c>
      <c r="AB10" s="45" t="n">
        <f aca="false">Z10/AA10</f>
        <v>0.641509433962264</v>
      </c>
    </row>
    <row r="11" customFormat="false" ht="14.25" hidden="false" customHeight="false" outlineLevel="0" collapsed="false">
      <c r="A11" s="42" t="s">
        <v>49</v>
      </c>
      <c r="B11" s="43" t="n">
        <f aca="false">IFERROR(GETPIVOTDATA("Suma de PUNTO_EQUIPO_1",TD!$A$3,"ID_JUGADOR_1_EQUIPO_1",$A11),0)</f>
        <v>0</v>
      </c>
      <c r="C11" s="43" t="n">
        <f aca="false">IFERROR(GETPIVOTDATA("Suma de PUNTO_EQUIPO_1",TD!$G$3,"ID_JUGADOR_2_EQUIPO_1",$A11),0)</f>
        <v>0</v>
      </c>
      <c r="D11" s="43" t="n">
        <f aca="false">IFERROR(GETPIVOTDATA("Suma de PUNTO_EQUIPO_2",TD!$M$3,"ID_JUGADOR_1_EQUIPO_2",$A11),0)</f>
        <v>7</v>
      </c>
      <c r="E11" s="43" t="n">
        <f aca="false">IFERROR(GETPIVOTDATA("Suma de PUNTO_EQUIPO_2",TD!$S$3,"ID_JUGADOR_2_EQUIPO_2",$A11),0)</f>
        <v>0</v>
      </c>
      <c r="F11" s="43" t="n">
        <f aca="false">IFERROR(GETPIVOTDATA("Suma de PUNTO_EQUIPO_1",TD!$A$30,"ID_JUGADOR_1_EQUIPO_1",$A11),0)</f>
        <v>14</v>
      </c>
      <c r="G11" s="43" t="n">
        <f aca="false">IFERROR(GETPIVOTDATA("Suma de PUNTO_EQUIPO_1",TD!$G$30,"ID_JUGADOR_2_EQUIPO_1",$A11),0)</f>
        <v>0</v>
      </c>
      <c r="H11" s="43" t="n">
        <f aca="false">IFERROR(GETPIVOTDATA("Suma de PUNTO_EQUIPO_2",TD!$M$30,"ID_JUGADOR_1_EQUIPO_2",$A11),0)</f>
        <v>0</v>
      </c>
      <c r="I11" s="43" t="n">
        <f aca="false">IFERROR(GETPIVOTDATA("Suma de PUNTO_EQUIPO_2",TD!$S$30,"ID_JUGADOR_2_EQUIPO_2",$A11),0)</f>
        <v>7</v>
      </c>
      <c r="J11" s="43" t="n">
        <f aca="false">SUM(B11:I11)</f>
        <v>28</v>
      </c>
      <c r="L11" s="42" t="s">
        <v>49</v>
      </c>
      <c r="M11" s="43" t="n">
        <f aca="false">IFERROR(GETPIVOTDATA("Cuenta de ID_PUNTO",TD!$A$3,"ID_JUGADOR_1_EQUIPO_1",$L11),0)</f>
        <v>0</v>
      </c>
      <c r="N11" s="43" t="n">
        <f aca="false">IFERROR(GETPIVOTDATA("Cuenta de ID_PUNTO",TD!$G$3,"ID_JUGADOR_2_EQUIPO_1",$L11),0)</f>
        <v>0</v>
      </c>
      <c r="O11" s="43" t="n">
        <f aca="false">IFERROR(GETPIVOTDATA("Cuenta de ID_PUNTO",TD!$M$3,"ID_JUGADOR_1_EQUIPO_2",$L11),0)</f>
        <v>12</v>
      </c>
      <c r="P11" s="43" t="n">
        <f aca="false">IFERROR(GETPIVOTDATA("Cuenta de ID_PUNTO",TD!$S$3,"ID_JUGADOR_2_EQUIPO_2",$L11),0)</f>
        <v>0</v>
      </c>
      <c r="Q11" s="43" t="n">
        <f aca="false">IFERROR(GETPIVOTDATA("Cuenta de ID_PUNTO",TD!$A$30,"ID_JUGADOR_1_EQUIPO_1",$L11),0)</f>
        <v>18</v>
      </c>
      <c r="R11" s="43" t="n">
        <f aca="false">IFERROR(GETPIVOTDATA("Cuenta de ID_PUNTO",TD!$G$30,"ID_JUGADOR_2_EQUIPO_1",$L11),0)</f>
        <v>0</v>
      </c>
      <c r="S11" s="43" t="n">
        <f aca="false">IFERROR(GETPIVOTDATA("Cuenta de ID_PUNTO",TD!$M$30,"ID_JUGADOR_1_EQUIPO_2",$L11),0)</f>
        <v>0</v>
      </c>
      <c r="T11" s="43" t="n">
        <f aca="false">IFERROR(GETPIVOTDATA("Cuenta de ID_PUNTO",TD!$S$30,"ID_JUGADOR_2_EQUIPO_2",$L11),0)</f>
        <v>10</v>
      </c>
      <c r="U11" s="43" t="n">
        <f aca="false">SUM(M11:T11)</f>
        <v>40</v>
      </c>
      <c r="Y11" s="42" t="s">
        <v>47</v>
      </c>
      <c r="Z11" s="43" t="n">
        <f aca="false">VLOOKUP(Y11,$A$6:$J$42,10,FALSE())</f>
        <v>33</v>
      </c>
      <c r="AA11" s="44" t="n">
        <f aca="false">VLOOKUP(Y11,$L$6:$U$42,10,FALSE())</f>
        <v>52</v>
      </c>
      <c r="AB11" s="45" t="n">
        <f aca="false">Z11/AA11</f>
        <v>0.634615384615385</v>
      </c>
    </row>
    <row r="12" customFormat="false" ht="14.25" hidden="false" customHeight="false" outlineLevel="0" collapsed="false">
      <c r="A12" s="42" t="s">
        <v>36</v>
      </c>
      <c r="B12" s="43" t="n">
        <f aca="false">IFERROR(GETPIVOTDATA("Suma de PUNTO_EQUIPO_1",TD!$A$3,"ID_JUGADOR_1_EQUIPO_1",$A12),0)</f>
        <v>2</v>
      </c>
      <c r="C12" s="43" t="n">
        <f aca="false">IFERROR(GETPIVOTDATA("Suma de PUNTO_EQUIPO_1",TD!$G$3,"ID_JUGADOR_2_EQUIPO_1",$A12),0)</f>
        <v>0</v>
      </c>
      <c r="D12" s="43" t="n">
        <f aca="false">IFERROR(GETPIVOTDATA("Suma de PUNTO_EQUIPO_2",TD!$M$3,"ID_JUGADOR_1_EQUIPO_2",$A12),0)</f>
        <v>9</v>
      </c>
      <c r="E12" s="43" t="n">
        <f aca="false">IFERROR(GETPIVOTDATA("Suma de PUNTO_EQUIPO_2",TD!$S$3,"ID_JUGADOR_2_EQUIPO_2",$A12),0)</f>
        <v>4</v>
      </c>
      <c r="F12" s="43" t="n">
        <f aca="false">IFERROR(GETPIVOTDATA("Suma de PUNTO_EQUIPO_1",TD!$A$30,"ID_JUGADOR_1_EQUIPO_1",$A12),0)</f>
        <v>0</v>
      </c>
      <c r="G12" s="43" t="n">
        <f aca="false">IFERROR(GETPIVOTDATA("Suma de PUNTO_EQUIPO_1",TD!$G$30,"ID_JUGADOR_2_EQUIPO_1",$A12),0)</f>
        <v>6</v>
      </c>
      <c r="H12" s="43" t="n">
        <f aca="false">IFERROR(GETPIVOTDATA("Suma de PUNTO_EQUIPO_2",TD!$M$30,"ID_JUGADOR_1_EQUIPO_2",$A12),0)</f>
        <v>0</v>
      </c>
      <c r="I12" s="43" t="n">
        <f aca="false">IFERROR(GETPIVOTDATA("Suma de PUNTO_EQUIPO_2",TD!$S$30,"ID_JUGADOR_2_EQUIPO_2",$A12),0)</f>
        <v>0</v>
      </c>
      <c r="J12" s="43" t="n">
        <f aca="false">SUM(B12:I12)</f>
        <v>21</v>
      </c>
      <c r="L12" s="42" t="s">
        <v>36</v>
      </c>
      <c r="M12" s="43" t="n">
        <f aca="false">IFERROR(GETPIVOTDATA("Cuenta de ID_PUNTO",TD!$A$3,"ID_JUGADOR_1_EQUIPO_1",$L12),0)</f>
        <v>9</v>
      </c>
      <c r="N12" s="43" t="n">
        <f aca="false">IFERROR(GETPIVOTDATA("Cuenta de ID_PUNTO",TD!$G$3,"ID_JUGADOR_2_EQUIPO_1",$L12),0)</f>
        <v>0</v>
      </c>
      <c r="O12" s="43" t="n">
        <f aca="false">IFERROR(GETPIVOTDATA("Cuenta de ID_PUNTO",TD!$M$3,"ID_JUGADOR_1_EQUIPO_2",$L12),0)</f>
        <v>18</v>
      </c>
      <c r="P12" s="43" t="n">
        <f aca="false">IFERROR(GETPIVOTDATA("Cuenta de ID_PUNTO",TD!$S$3,"ID_JUGADOR_2_EQUIPO_2",$L12),0)</f>
        <v>11</v>
      </c>
      <c r="Q12" s="43" t="n">
        <f aca="false">IFERROR(GETPIVOTDATA("Cuenta de ID_PUNTO",TD!$A$30,"ID_JUGADOR_1_EQUIPO_1",$L12),0)</f>
        <v>0</v>
      </c>
      <c r="R12" s="43" t="n">
        <f aca="false">IFERROR(GETPIVOTDATA("Cuenta de ID_PUNTO",TD!$G$30,"ID_JUGADOR_2_EQUIPO_1",$L12),0)</f>
        <v>13</v>
      </c>
      <c r="S12" s="43" t="n">
        <f aca="false">IFERROR(GETPIVOTDATA("Cuenta de ID_PUNTO",TD!$M$30,"ID_JUGADOR_1_EQUIPO_2",$L12),0)</f>
        <v>0</v>
      </c>
      <c r="T12" s="43" t="n">
        <f aca="false">IFERROR(GETPIVOTDATA("Cuenta de ID_PUNTO",TD!$S$30,"ID_JUGADOR_2_EQUIPO_2",$L12),0)</f>
        <v>0</v>
      </c>
      <c r="U12" s="43" t="n">
        <f aca="false">SUM(M12:T12)</f>
        <v>51</v>
      </c>
      <c r="Y12" s="42" t="s">
        <v>26</v>
      </c>
      <c r="Z12" s="43" t="n">
        <f aca="false">VLOOKUP(Y12,$A$6:$J$42,10,FALSE())</f>
        <v>27</v>
      </c>
      <c r="AA12" s="44" t="n">
        <f aca="false">VLOOKUP(Y12,$L$6:$U$42,10,FALSE())</f>
        <v>43</v>
      </c>
      <c r="AB12" s="45" t="n">
        <f aca="false">Z12/AA12</f>
        <v>0.627906976744186</v>
      </c>
    </row>
    <row r="13" customFormat="false" ht="14.25" hidden="false" customHeight="false" outlineLevel="0" collapsed="false">
      <c r="A13" s="42" t="s">
        <v>32</v>
      </c>
      <c r="B13" s="43" t="n">
        <f aca="false">IFERROR(GETPIVOTDATA("Suma de PUNTO_EQUIPO_1",TD!$A$3,"ID_JUGADOR_1_EQUIPO_1",$A13),0)</f>
        <v>23</v>
      </c>
      <c r="C13" s="43" t="n">
        <f aca="false">IFERROR(GETPIVOTDATA("Suma de PUNTO_EQUIPO_1",TD!$G$3,"ID_JUGADOR_2_EQUIPO_1",$A13),0)</f>
        <v>0</v>
      </c>
      <c r="D13" s="43" t="n">
        <f aca="false">IFERROR(GETPIVOTDATA("Suma de PUNTO_EQUIPO_2",TD!$M$3,"ID_JUGADOR_1_EQUIPO_2",$A13),0)</f>
        <v>0</v>
      </c>
      <c r="E13" s="43" t="n">
        <f aca="false">IFERROR(GETPIVOTDATA("Suma de PUNTO_EQUIPO_2",TD!$S$3,"ID_JUGADOR_2_EQUIPO_2",$A13),0)</f>
        <v>0</v>
      </c>
      <c r="F13" s="43" t="n">
        <f aca="false">IFERROR(GETPIVOTDATA("Suma de PUNTO_EQUIPO_1",TD!$A$30,"ID_JUGADOR_1_EQUIPO_1",$A13),0)</f>
        <v>0</v>
      </c>
      <c r="G13" s="43" t="n">
        <f aca="false">IFERROR(GETPIVOTDATA("Suma de PUNTO_EQUIPO_1",TD!$G$30,"ID_JUGADOR_2_EQUIPO_1",$A13),0)</f>
        <v>0</v>
      </c>
      <c r="H13" s="43" t="n">
        <f aca="false">IFERROR(GETPIVOTDATA("Suma de PUNTO_EQUIPO_2",TD!$M$30,"ID_JUGADOR_1_EQUIPO_2",$A13),0)</f>
        <v>0</v>
      </c>
      <c r="I13" s="43" t="n">
        <f aca="false">IFERROR(GETPIVOTDATA("Suma de PUNTO_EQUIPO_2",TD!$S$30,"ID_JUGADOR_2_EQUIPO_2",$A13),0)</f>
        <v>10</v>
      </c>
      <c r="J13" s="43" t="n">
        <f aca="false">SUM(B13:I13)</f>
        <v>33</v>
      </c>
      <c r="L13" s="42" t="s">
        <v>32</v>
      </c>
      <c r="M13" s="43" t="n">
        <f aca="false">IFERROR(GETPIVOTDATA("Cuenta de ID_PUNTO",TD!$A$3,"ID_JUGADOR_1_EQUIPO_1",$L13),0)</f>
        <v>41</v>
      </c>
      <c r="N13" s="43" t="n">
        <f aca="false">IFERROR(GETPIVOTDATA("Cuenta de ID_PUNTO",TD!$G$3,"ID_JUGADOR_2_EQUIPO_1",$L13),0)</f>
        <v>0</v>
      </c>
      <c r="O13" s="43" t="n">
        <f aca="false">IFERROR(GETPIVOTDATA("Cuenta de ID_PUNTO",TD!$M$3,"ID_JUGADOR_1_EQUIPO_2",$L13),0)</f>
        <v>0</v>
      </c>
      <c r="P13" s="43" t="n">
        <f aca="false">IFERROR(GETPIVOTDATA("Cuenta de ID_PUNTO",TD!$S$3,"ID_JUGADOR_2_EQUIPO_2",$L13),0)</f>
        <v>0</v>
      </c>
      <c r="Q13" s="43" t="n">
        <f aca="false">IFERROR(GETPIVOTDATA("Cuenta de ID_PUNTO",TD!$A$30,"ID_JUGADOR_1_EQUIPO_1",$L13),0)</f>
        <v>0</v>
      </c>
      <c r="R13" s="43" t="n">
        <f aca="false">IFERROR(GETPIVOTDATA("Cuenta de ID_PUNTO",TD!$G$30,"ID_JUGADOR_2_EQUIPO_1",$L13),0)</f>
        <v>0</v>
      </c>
      <c r="S13" s="43" t="n">
        <f aca="false">IFERROR(GETPIVOTDATA("Cuenta de ID_PUNTO",TD!$M$30,"ID_JUGADOR_1_EQUIPO_2",$L13),0)</f>
        <v>0</v>
      </c>
      <c r="T13" s="43" t="n">
        <f aca="false">IFERROR(GETPIVOTDATA("Cuenta de ID_PUNTO",TD!$S$30,"ID_JUGADOR_2_EQUIPO_2",$L13),0)</f>
        <v>30</v>
      </c>
      <c r="U13" s="43" t="n">
        <f aca="false">SUM(M13:T13)</f>
        <v>71</v>
      </c>
      <c r="Y13" s="42" t="s">
        <v>34</v>
      </c>
      <c r="Z13" s="43" t="n">
        <f aca="false">VLOOKUP(Y13,$A$6:$J$42,10,FALSE())</f>
        <v>40</v>
      </c>
      <c r="AA13" s="44" t="n">
        <f aca="false">VLOOKUP(Y13,$L$6:$U$42,10,FALSE())</f>
        <v>67</v>
      </c>
      <c r="AB13" s="45" t="n">
        <f aca="false">Z13/AA13</f>
        <v>0.597014925373134</v>
      </c>
    </row>
    <row r="14" customFormat="false" ht="14.25" hidden="false" customHeight="false" outlineLevel="0" collapsed="false">
      <c r="A14" s="42" t="s">
        <v>33</v>
      </c>
      <c r="B14" s="43" t="n">
        <f aca="false">IFERROR(GETPIVOTDATA("Suma de PUNTO_EQUIPO_1",TD!$A$3,"ID_JUGADOR_1_EQUIPO_1",$A14),0)</f>
        <v>0</v>
      </c>
      <c r="C14" s="43" t="n">
        <f aca="false">IFERROR(GETPIVOTDATA("Suma de PUNTO_EQUIPO_1",TD!$G$3,"ID_JUGADOR_2_EQUIPO_1",$A14),0)</f>
        <v>0</v>
      </c>
      <c r="D14" s="43" t="n">
        <f aca="false">IFERROR(GETPIVOTDATA("Suma de PUNTO_EQUIPO_2",TD!$M$3,"ID_JUGADOR_1_EQUIPO_2",$A14),0)</f>
        <v>11</v>
      </c>
      <c r="E14" s="43" t="n">
        <f aca="false">IFERROR(GETPIVOTDATA("Suma de PUNTO_EQUIPO_2",TD!$S$3,"ID_JUGADOR_2_EQUIPO_2",$A14),0)</f>
        <v>6</v>
      </c>
      <c r="F14" s="43" t="n">
        <f aca="false">IFERROR(GETPIVOTDATA("Suma de PUNTO_EQUIPO_1",TD!$A$30,"ID_JUGADOR_1_EQUIPO_1",$A14),0)</f>
        <v>0</v>
      </c>
      <c r="G14" s="43" t="n">
        <f aca="false">IFERROR(GETPIVOTDATA("Suma de PUNTO_EQUIPO_1",TD!$G$30,"ID_JUGADOR_2_EQUIPO_1",$A14),0)</f>
        <v>7</v>
      </c>
      <c r="H14" s="43" t="n">
        <f aca="false">IFERROR(GETPIVOTDATA("Suma de PUNTO_EQUIPO_2",TD!$M$30,"ID_JUGADOR_1_EQUIPO_2",$A14),0)</f>
        <v>7</v>
      </c>
      <c r="I14" s="43" t="n">
        <f aca="false">IFERROR(GETPIVOTDATA("Suma de PUNTO_EQUIPO_2",TD!$S$30,"ID_JUGADOR_2_EQUIPO_2",$A14),0)</f>
        <v>3</v>
      </c>
      <c r="J14" s="43" t="n">
        <f aca="false">SUM(B14:I14)</f>
        <v>34</v>
      </c>
      <c r="L14" s="42" t="s">
        <v>33</v>
      </c>
      <c r="M14" s="43" t="n">
        <f aca="false">IFERROR(GETPIVOTDATA("Cuenta de ID_PUNTO",TD!$A$3,"ID_JUGADOR_1_EQUIPO_1",$L14),0)</f>
        <v>0</v>
      </c>
      <c r="N14" s="43" t="n">
        <f aca="false">IFERROR(GETPIVOTDATA("Cuenta de ID_PUNTO",TD!$G$3,"ID_JUGADOR_2_EQUIPO_1",$L14),0)</f>
        <v>0</v>
      </c>
      <c r="O14" s="43" t="n">
        <f aca="false">IFERROR(GETPIVOTDATA("Cuenta de ID_PUNTO",TD!$M$3,"ID_JUGADOR_1_EQUIPO_2",$L14),0)</f>
        <v>20</v>
      </c>
      <c r="P14" s="43" t="n">
        <f aca="false">IFERROR(GETPIVOTDATA("Cuenta de ID_PUNTO",TD!$S$3,"ID_JUGADOR_2_EQUIPO_2",$L14),0)</f>
        <v>13</v>
      </c>
      <c r="Q14" s="43" t="n">
        <f aca="false">IFERROR(GETPIVOTDATA("Cuenta de ID_PUNTO",TD!$A$30,"ID_JUGADOR_1_EQUIPO_1",$L14),0)</f>
        <v>0</v>
      </c>
      <c r="R14" s="43" t="n">
        <f aca="false">IFERROR(GETPIVOTDATA("Cuenta de ID_PUNTO",TD!$G$30,"ID_JUGADOR_2_EQUIPO_1",$L14),0)</f>
        <v>10</v>
      </c>
      <c r="S14" s="43" t="n">
        <f aca="false">IFERROR(GETPIVOTDATA("Cuenta de ID_PUNTO",TD!$M$30,"ID_JUGADOR_1_EQUIPO_2",$L14),0)</f>
        <v>8</v>
      </c>
      <c r="T14" s="43" t="n">
        <f aca="false">IFERROR(GETPIVOTDATA("Cuenta de ID_PUNTO",TD!$S$30,"ID_JUGADOR_2_EQUIPO_2",$L14),0)</f>
        <v>10</v>
      </c>
      <c r="U14" s="43" t="n">
        <f aca="false">SUM(M14:T14)</f>
        <v>61</v>
      </c>
      <c r="Y14" s="42" t="s">
        <v>45</v>
      </c>
      <c r="Z14" s="43" t="n">
        <f aca="false">VLOOKUP(Y14,$A$6:$J$42,10,FALSE())</f>
        <v>13</v>
      </c>
      <c r="AA14" s="44" t="n">
        <f aca="false">VLOOKUP(Y14,$L$6:$U$42,10,FALSE())</f>
        <v>23</v>
      </c>
      <c r="AB14" s="45" t="n">
        <f aca="false">Z14/AA14</f>
        <v>0.565217391304348</v>
      </c>
    </row>
    <row r="15" customFormat="false" ht="14.25" hidden="false" customHeight="false" outlineLevel="0" collapsed="false">
      <c r="A15" s="42" t="s">
        <v>31</v>
      </c>
      <c r="B15" s="43" t="n">
        <f aca="false">IFERROR(GETPIVOTDATA("Suma de PUNTO_EQUIPO_1",TD!$A$3,"ID_JUGADOR_1_EQUIPO_1",$A15),0)</f>
        <v>2</v>
      </c>
      <c r="C15" s="43" t="n">
        <f aca="false">IFERROR(GETPIVOTDATA("Suma de PUNTO_EQUIPO_1",TD!$G$3,"ID_JUGADOR_2_EQUIPO_1",$A15),0)</f>
        <v>2</v>
      </c>
      <c r="D15" s="43" t="n">
        <f aca="false">IFERROR(GETPIVOTDATA("Suma de PUNTO_EQUIPO_2",TD!$M$3,"ID_JUGADOR_1_EQUIPO_2",$A15),0)</f>
        <v>7</v>
      </c>
      <c r="E15" s="43" t="n">
        <f aca="false">IFERROR(GETPIVOTDATA("Suma de PUNTO_EQUIPO_2",TD!$S$3,"ID_JUGADOR_2_EQUIPO_2",$A15),0)</f>
        <v>0</v>
      </c>
      <c r="F15" s="43" t="n">
        <f aca="false">IFERROR(GETPIVOTDATA("Suma de PUNTO_EQUIPO_1",TD!$A$30,"ID_JUGADOR_1_EQUIPO_1",$A15),0)</f>
        <v>0</v>
      </c>
      <c r="G15" s="43" t="n">
        <f aca="false">IFERROR(GETPIVOTDATA("Suma de PUNTO_EQUIPO_1",TD!$G$30,"ID_JUGADOR_2_EQUIPO_1",$A15),0)</f>
        <v>0</v>
      </c>
      <c r="H15" s="43" t="n">
        <f aca="false">IFERROR(GETPIVOTDATA("Suma de PUNTO_EQUIPO_2",TD!$M$30,"ID_JUGADOR_1_EQUIPO_2",$A15),0)</f>
        <v>7</v>
      </c>
      <c r="I15" s="43" t="n">
        <f aca="false">IFERROR(GETPIVOTDATA("Suma de PUNTO_EQUIPO_2",TD!$S$30,"ID_JUGADOR_2_EQUIPO_2",$A15),0)</f>
        <v>1</v>
      </c>
      <c r="J15" s="43" t="n">
        <f aca="false">SUM(B15:I15)</f>
        <v>19</v>
      </c>
      <c r="L15" s="42" t="s">
        <v>31</v>
      </c>
      <c r="M15" s="43" t="n">
        <f aca="false">IFERROR(GETPIVOTDATA("Cuenta de ID_PUNTO",TD!$A$3,"ID_JUGADOR_1_EQUIPO_1",$L15),0)</f>
        <v>9</v>
      </c>
      <c r="N15" s="43" t="n">
        <f aca="false">IFERROR(GETPIVOTDATA("Cuenta de ID_PUNTO",TD!$G$3,"ID_JUGADOR_2_EQUIPO_1",$L15),0)</f>
        <v>9</v>
      </c>
      <c r="O15" s="43" t="n">
        <f aca="false">IFERROR(GETPIVOTDATA("Cuenta de ID_PUNTO",TD!$M$3,"ID_JUGADOR_1_EQUIPO_2",$L15),0)</f>
        <v>9</v>
      </c>
      <c r="P15" s="43" t="n">
        <f aca="false">IFERROR(GETPIVOTDATA("Cuenta de ID_PUNTO",TD!$S$3,"ID_JUGADOR_2_EQUIPO_2",$L15),0)</f>
        <v>0</v>
      </c>
      <c r="Q15" s="43" t="n">
        <f aca="false">IFERROR(GETPIVOTDATA("Cuenta de ID_PUNTO",TD!$A$30,"ID_JUGADOR_1_EQUIPO_1",$L15),0)</f>
        <v>0</v>
      </c>
      <c r="R15" s="43" t="n">
        <f aca="false">IFERROR(GETPIVOTDATA("Cuenta de ID_PUNTO",TD!$G$30,"ID_JUGADOR_2_EQUIPO_1",$L15),0)</f>
        <v>0</v>
      </c>
      <c r="S15" s="43" t="n">
        <f aca="false">IFERROR(GETPIVOTDATA("Cuenta de ID_PUNTO",TD!$M$30,"ID_JUGADOR_1_EQUIPO_2",$L15),0)</f>
        <v>13</v>
      </c>
      <c r="T15" s="43" t="n">
        <f aca="false">IFERROR(GETPIVOTDATA("Cuenta de ID_PUNTO",TD!$S$30,"ID_JUGADOR_2_EQUIPO_2",$L15),0)</f>
        <v>8</v>
      </c>
      <c r="U15" s="43" t="n">
        <f aca="false">SUM(M15:T15)</f>
        <v>48</v>
      </c>
      <c r="Y15" s="42" t="s">
        <v>33</v>
      </c>
      <c r="Z15" s="43" t="n">
        <f aca="false">VLOOKUP(Y15,$A$6:$J$42,10,FALSE())</f>
        <v>34</v>
      </c>
      <c r="AA15" s="44" t="n">
        <f aca="false">VLOOKUP(Y15,$L$6:$U$42,10,FALSE())</f>
        <v>61</v>
      </c>
      <c r="AB15" s="45" t="n">
        <f aca="false">Z15/AA15</f>
        <v>0.557377049180328</v>
      </c>
    </row>
    <row r="16" customFormat="false" ht="14.25" hidden="false" customHeight="false" outlineLevel="0" collapsed="false">
      <c r="A16" s="42" t="s">
        <v>25</v>
      </c>
      <c r="B16" s="43" t="n">
        <f aca="false">IFERROR(GETPIVOTDATA("Suma de PUNTO_EQUIPO_1",TD!$A$3,"ID_JUGADOR_1_EQUIPO_1",$A16),0)</f>
        <v>7</v>
      </c>
      <c r="C16" s="43" t="n">
        <f aca="false">IFERROR(GETPIVOTDATA("Suma de PUNTO_EQUIPO_1",TD!$G$3,"ID_JUGADOR_2_EQUIPO_1",$A16),0)</f>
        <v>0</v>
      </c>
      <c r="D16" s="43" t="n">
        <f aca="false">IFERROR(GETPIVOTDATA("Suma de PUNTO_EQUIPO_2",TD!$M$3,"ID_JUGADOR_1_EQUIPO_2",$A16),0)</f>
        <v>2</v>
      </c>
      <c r="E16" s="43" t="n">
        <f aca="false">IFERROR(GETPIVOTDATA("Suma de PUNTO_EQUIPO_2",TD!$S$3,"ID_JUGADOR_2_EQUIPO_2",$A16),0)</f>
        <v>7</v>
      </c>
      <c r="F16" s="43" t="n">
        <f aca="false">IFERROR(GETPIVOTDATA("Suma de PUNTO_EQUIPO_1",TD!$A$30,"ID_JUGADOR_1_EQUIPO_1",$A16),0)</f>
        <v>0</v>
      </c>
      <c r="G16" s="43" t="n">
        <f aca="false">IFERROR(GETPIVOTDATA("Suma de PUNTO_EQUIPO_1",TD!$G$30,"ID_JUGADOR_2_EQUIPO_1",$A16),0)</f>
        <v>0</v>
      </c>
      <c r="H16" s="43" t="n">
        <f aca="false">IFERROR(GETPIVOTDATA("Suma de PUNTO_EQUIPO_2",TD!$M$30,"ID_JUGADOR_1_EQUIPO_2",$A16),0)</f>
        <v>0</v>
      </c>
      <c r="I16" s="43" t="n">
        <f aca="false">IFERROR(GETPIVOTDATA("Suma de PUNTO_EQUIPO_2",TD!$S$30,"ID_JUGADOR_2_EQUIPO_2",$A16),0)</f>
        <v>5</v>
      </c>
      <c r="J16" s="43" t="n">
        <f aca="false">SUM(B16:I16)</f>
        <v>21</v>
      </c>
      <c r="L16" s="42" t="s">
        <v>25</v>
      </c>
      <c r="M16" s="43" t="n">
        <f aca="false">IFERROR(GETPIVOTDATA("Cuenta de ID_PUNTO",TD!$A$3,"ID_JUGADOR_1_EQUIPO_1",$L16),0)</f>
        <v>11</v>
      </c>
      <c r="N16" s="43" t="n">
        <f aca="false">IFERROR(GETPIVOTDATA("Cuenta de ID_PUNTO",TD!$G$3,"ID_JUGADOR_2_EQUIPO_1",$L16),0)</f>
        <v>0</v>
      </c>
      <c r="O16" s="43" t="n">
        <f aca="false">IFERROR(GETPIVOTDATA("Cuenta de ID_PUNTO",TD!$M$3,"ID_JUGADOR_1_EQUIPO_2",$L16),0)</f>
        <v>9</v>
      </c>
      <c r="P16" s="43" t="n">
        <f aca="false">IFERROR(GETPIVOTDATA("Cuenta de ID_PUNTO",TD!$S$3,"ID_JUGADOR_2_EQUIPO_2",$L16),0)</f>
        <v>9</v>
      </c>
      <c r="Q16" s="43" t="n">
        <f aca="false">IFERROR(GETPIVOTDATA("Cuenta de ID_PUNTO",TD!$A$30,"ID_JUGADOR_1_EQUIPO_1",$L16),0)</f>
        <v>0</v>
      </c>
      <c r="R16" s="43" t="n">
        <f aca="false">IFERROR(GETPIVOTDATA("Cuenta de ID_PUNTO",TD!$G$30,"ID_JUGADOR_2_EQUIPO_1",$L16),0)</f>
        <v>0</v>
      </c>
      <c r="S16" s="43" t="n">
        <f aca="false">IFERROR(GETPIVOTDATA("Cuenta de ID_PUNTO",TD!$M$30,"ID_JUGADOR_1_EQUIPO_2",$L16),0)</f>
        <v>0</v>
      </c>
      <c r="T16" s="43" t="n">
        <f aca="false">IFERROR(GETPIVOTDATA("Cuenta de ID_PUNTO",TD!$S$30,"ID_JUGADOR_2_EQUIPO_2",$L16),0)</f>
        <v>12</v>
      </c>
      <c r="U16" s="43" t="n">
        <f aca="false">SUM(M16:T16)</f>
        <v>41</v>
      </c>
      <c r="Y16" s="42" t="s">
        <v>54</v>
      </c>
      <c r="Z16" s="43" t="n">
        <f aca="false">VLOOKUP(Y16,$A$6:$J$42,10,FALSE())</f>
        <v>12</v>
      </c>
      <c r="AA16" s="44" t="n">
        <f aca="false">VLOOKUP(Y16,$L$6:$U$42,10,FALSE())</f>
        <v>22</v>
      </c>
      <c r="AB16" s="45" t="n">
        <f aca="false">Z16/AA16</f>
        <v>0.545454545454545</v>
      </c>
    </row>
    <row r="17" customFormat="false" ht="14.25" hidden="false" customHeight="false" outlineLevel="0" collapsed="false">
      <c r="A17" s="42" t="s">
        <v>53</v>
      </c>
      <c r="B17" s="43" t="n">
        <f aca="false">IFERROR(GETPIVOTDATA("Suma de PUNTO_EQUIPO_1",TD!$A$3,"ID_JUGADOR_1_EQUIPO_1",$A17),0)</f>
        <v>0</v>
      </c>
      <c r="C17" s="43" t="n">
        <f aca="false">IFERROR(GETPIVOTDATA("Suma de PUNTO_EQUIPO_1",TD!$G$3,"ID_JUGADOR_2_EQUIPO_1",$A17),0)</f>
        <v>0</v>
      </c>
      <c r="D17" s="43" t="n">
        <f aca="false">IFERROR(GETPIVOTDATA("Suma de PUNTO_EQUIPO_2",TD!$M$3,"ID_JUGADOR_1_EQUIPO_2",$A17),0)</f>
        <v>0</v>
      </c>
      <c r="E17" s="43" t="n">
        <f aca="false">IFERROR(GETPIVOTDATA("Suma de PUNTO_EQUIPO_2",TD!$S$3,"ID_JUGADOR_2_EQUIPO_2",$A17),0)</f>
        <v>0</v>
      </c>
      <c r="F17" s="43" t="n">
        <f aca="false">IFERROR(GETPIVOTDATA("Suma de PUNTO_EQUIPO_1",TD!$A$30,"ID_JUGADOR_1_EQUIPO_1",$A17),0)</f>
        <v>0</v>
      </c>
      <c r="G17" s="43" t="n">
        <f aca="false">IFERROR(GETPIVOTDATA("Suma de PUNTO_EQUIPO_1",TD!$G$30,"ID_JUGADOR_2_EQUIPO_1",$A17),0)</f>
        <v>7</v>
      </c>
      <c r="H17" s="43" t="n">
        <f aca="false">IFERROR(GETPIVOTDATA("Suma de PUNTO_EQUIPO_2",TD!$M$30,"ID_JUGADOR_1_EQUIPO_2",$A17),0)</f>
        <v>0</v>
      </c>
      <c r="I17" s="43" t="n">
        <f aca="false">IFERROR(GETPIVOTDATA("Suma de PUNTO_EQUIPO_2",TD!$S$30,"ID_JUGADOR_2_EQUIPO_2",$A17),0)</f>
        <v>0</v>
      </c>
      <c r="J17" s="43" t="n">
        <f aca="false">SUM(B17:I17)</f>
        <v>7</v>
      </c>
      <c r="L17" s="42" t="s">
        <v>53</v>
      </c>
      <c r="M17" s="43" t="n">
        <f aca="false">IFERROR(GETPIVOTDATA("Cuenta de ID_PUNTO",TD!$A$3,"ID_JUGADOR_1_EQUIPO_1",$L17),0)</f>
        <v>0</v>
      </c>
      <c r="N17" s="43" t="n">
        <f aca="false">IFERROR(GETPIVOTDATA("Cuenta de ID_PUNTO",TD!$G$3,"ID_JUGADOR_2_EQUIPO_1",$L17),0)</f>
        <v>0</v>
      </c>
      <c r="O17" s="43" t="n">
        <f aca="false">IFERROR(GETPIVOTDATA("Cuenta de ID_PUNTO",TD!$M$3,"ID_JUGADOR_1_EQUIPO_2",$L17),0)</f>
        <v>0</v>
      </c>
      <c r="P17" s="43" t="n">
        <f aca="false">IFERROR(GETPIVOTDATA("Cuenta de ID_PUNTO",TD!$S$3,"ID_JUGADOR_2_EQUIPO_2",$L17),0)</f>
        <v>0</v>
      </c>
      <c r="Q17" s="43" t="n">
        <f aca="false">IFERROR(GETPIVOTDATA("Cuenta de ID_PUNTO",TD!$A$30,"ID_JUGADOR_1_EQUIPO_1",$L17),0)</f>
        <v>0</v>
      </c>
      <c r="R17" s="43" t="n">
        <f aca="false">IFERROR(GETPIVOTDATA("Cuenta de ID_PUNTO",TD!$G$30,"ID_JUGADOR_2_EQUIPO_1",$L17),0)</f>
        <v>13</v>
      </c>
      <c r="S17" s="43" t="n">
        <f aca="false">IFERROR(GETPIVOTDATA("Cuenta de ID_PUNTO",TD!$M$30,"ID_JUGADOR_1_EQUIPO_2",$L17),0)</f>
        <v>0</v>
      </c>
      <c r="T17" s="43" t="n">
        <f aca="false">IFERROR(GETPIVOTDATA("Cuenta de ID_PUNTO",TD!$S$30,"ID_JUGADOR_2_EQUIPO_2",$L17),0)</f>
        <v>0</v>
      </c>
      <c r="U17" s="43" t="n">
        <f aca="false">SUM(M17:T17)</f>
        <v>13</v>
      </c>
      <c r="Y17" s="42" t="s">
        <v>37</v>
      </c>
      <c r="Z17" s="43" t="n">
        <f aca="false">VLOOKUP(Y17,$A$6:$J$42,10,FALSE())</f>
        <v>13</v>
      </c>
      <c r="AA17" s="44" t="n">
        <f aca="false">VLOOKUP(Y17,$L$6:$U$42,10,FALSE())</f>
        <v>24</v>
      </c>
      <c r="AB17" s="45" t="n">
        <f aca="false">Z17/AA17</f>
        <v>0.541666666666667</v>
      </c>
    </row>
    <row r="18" customFormat="false" ht="14.25" hidden="false" customHeight="false" outlineLevel="0" collapsed="false">
      <c r="A18" s="42" t="s">
        <v>40</v>
      </c>
      <c r="B18" s="43" t="n">
        <f aca="false">IFERROR(GETPIVOTDATA("Suma de PUNTO_EQUIPO_1",TD!$A$3,"ID_JUGADOR_1_EQUIPO_1",$A18),0)</f>
        <v>7</v>
      </c>
      <c r="C18" s="43" t="n">
        <f aca="false">IFERROR(GETPIVOTDATA("Suma de PUNTO_EQUIPO_1",TD!$G$3,"ID_JUGADOR_2_EQUIPO_1",$A18),0)</f>
        <v>0</v>
      </c>
      <c r="D18" s="43" t="n">
        <f aca="false">IFERROR(GETPIVOTDATA("Suma de PUNTO_EQUIPO_2",TD!$M$3,"ID_JUGADOR_1_EQUIPO_2",$A18),0)</f>
        <v>0</v>
      </c>
      <c r="E18" s="43" t="n">
        <f aca="false">IFERROR(GETPIVOTDATA("Suma de PUNTO_EQUIPO_2",TD!$S$3,"ID_JUGADOR_2_EQUIPO_2",$A18),0)</f>
        <v>0</v>
      </c>
      <c r="F18" s="43" t="n">
        <f aca="false">IFERROR(GETPIVOTDATA("Suma de PUNTO_EQUIPO_1",TD!$A$30,"ID_JUGADOR_1_EQUIPO_1",$A18),0)</f>
        <v>13</v>
      </c>
      <c r="G18" s="43" t="n">
        <f aca="false">IFERROR(GETPIVOTDATA("Suma de PUNTO_EQUIPO_1",TD!$G$30,"ID_JUGADOR_2_EQUIPO_1",$A18),0)</f>
        <v>7</v>
      </c>
      <c r="H18" s="43" t="n">
        <f aca="false">IFERROR(GETPIVOTDATA("Suma de PUNTO_EQUIPO_2",TD!$M$30,"ID_JUGADOR_1_EQUIPO_2",$A18),0)</f>
        <v>6</v>
      </c>
      <c r="I18" s="43" t="n">
        <f aca="false">IFERROR(GETPIVOTDATA("Suma de PUNTO_EQUIPO_2",TD!$S$30,"ID_JUGADOR_2_EQUIPO_2",$A18),0)</f>
        <v>0</v>
      </c>
      <c r="J18" s="43" t="n">
        <f aca="false">SUM(B18:I18)</f>
        <v>33</v>
      </c>
      <c r="L18" s="42" t="s">
        <v>40</v>
      </c>
      <c r="M18" s="43" t="n">
        <f aca="false">IFERROR(GETPIVOTDATA("Cuenta de ID_PUNTO",TD!$A$3,"ID_JUGADOR_1_EQUIPO_1",$L18),0)</f>
        <v>11</v>
      </c>
      <c r="N18" s="43" t="n">
        <f aca="false">IFERROR(GETPIVOTDATA("Cuenta de ID_PUNTO",TD!$G$3,"ID_JUGADOR_2_EQUIPO_1",$L18),0)</f>
        <v>0</v>
      </c>
      <c r="O18" s="43" t="n">
        <f aca="false">IFERROR(GETPIVOTDATA("Cuenta de ID_PUNTO",TD!$M$3,"ID_JUGADOR_1_EQUIPO_2",$L18),0)</f>
        <v>0</v>
      </c>
      <c r="P18" s="43" t="n">
        <f aca="false">IFERROR(GETPIVOTDATA("Cuenta de ID_PUNTO",TD!$S$3,"ID_JUGADOR_2_EQUIPO_2",$L18),0)</f>
        <v>0</v>
      </c>
      <c r="Q18" s="43" t="n">
        <f aca="false">IFERROR(GETPIVOTDATA("Cuenta de ID_PUNTO",TD!$A$30,"ID_JUGADOR_1_EQUIPO_1",$L18),0)</f>
        <v>26</v>
      </c>
      <c r="R18" s="43" t="n">
        <f aca="false">IFERROR(GETPIVOTDATA("Cuenta de ID_PUNTO",TD!$G$30,"ID_JUGADOR_2_EQUIPO_1",$L18),0)</f>
        <v>12</v>
      </c>
      <c r="S18" s="43" t="n">
        <f aca="false">IFERROR(GETPIVOTDATA("Cuenta de ID_PUNTO",TD!$M$30,"ID_JUGADOR_1_EQUIPO_2",$L18),0)</f>
        <v>13</v>
      </c>
      <c r="T18" s="43" t="n">
        <f aca="false">IFERROR(GETPIVOTDATA("Cuenta de ID_PUNTO",TD!$S$30,"ID_JUGADOR_2_EQUIPO_2",$L18),0)</f>
        <v>0</v>
      </c>
      <c r="U18" s="43" t="n">
        <f aca="false">SUM(M18:T18)</f>
        <v>62</v>
      </c>
      <c r="Y18" s="42" t="s">
        <v>51</v>
      </c>
      <c r="Z18" s="43" t="n">
        <f aca="false">VLOOKUP(Y18,$A$6:$J$42,10,FALSE())</f>
        <v>33</v>
      </c>
      <c r="AA18" s="44" t="n">
        <f aca="false">VLOOKUP(Y18,$L$6:$U$42,10,FALSE())</f>
        <v>61</v>
      </c>
      <c r="AB18" s="45" t="n">
        <f aca="false">Z18/AA18</f>
        <v>0.540983606557377</v>
      </c>
    </row>
    <row r="19" customFormat="false" ht="14.25" hidden="false" customHeight="false" outlineLevel="0" collapsed="false">
      <c r="A19" s="42" t="s">
        <v>54</v>
      </c>
      <c r="B19" s="43" t="n">
        <f aca="false">IFERROR(GETPIVOTDATA("Suma de PUNTO_EQUIPO_1",TD!$A$3,"ID_JUGADOR_1_EQUIPO_1",$A19),0)</f>
        <v>0</v>
      </c>
      <c r="C19" s="43" t="n">
        <f aca="false">IFERROR(GETPIVOTDATA("Suma de PUNTO_EQUIPO_1",TD!$G$3,"ID_JUGADOR_2_EQUIPO_1",$A19),0)</f>
        <v>0</v>
      </c>
      <c r="D19" s="43" t="n">
        <f aca="false">IFERROR(GETPIVOTDATA("Suma de PUNTO_EQUIPO_2",TD!$M$3,"ID_JUGADOR_1_EQUIPO_2",$A19),0)</f>
        <v>0</v>
      </c>
      <c r="E19" s="43" t="n">
        <f aca="false">IFERROR(GETPIVOTDATA("Suma de PUNTO_EQUIPO_2",TD!$S$3,"ID_JUGADOR_2_EQUIPO_2",$A19),0)</f>
        <v>0</v>
      </c>
      <c r="F19" s="43" t="n">
        <f aca="false">IFERROR(GETPIVOTDATA("Suma de PUNTO_EQUIPO_1",TD!$A$30,"ID_JUGADOR_1_EQUIPO_1",$A19),0)</f>
        <v>7</v>
      </c>
      <c r="G19" s="43" t="n">
        <f aca="false">IFERROR(GETPIVOTDATA("Suma de PUNTO_EQUIPO_1",TD!$G$30,"ID_JUGADOR_2_EQUIPO_1",$A19),0)</f>
        <v>0</v>
      </c>
      <c r="H19" s="43" t="n">
        <f aca="false">IFERROR(GETPIVOTDATA("Suma de PUNTO_EQUIPO_2",TD!$M$30,"ID_JUGADOR_1_EQUIPO_2",$A19),0)</f>
        <v>5</v>
      </c>
      <c r="I19" s="43" t="n">
        <f aca="false">IFERROR(GETPIVOTDATA("Suma de PUNTO_EQUIPO_2",TD!$S$30,"ID_JUGADOR_2_EQUIPO_2",$A19),0)</f>
        <v>0</v>
      </c>
      <c r="J19" s="43" t="n">
        <f aca="false">SUM(B19:I19)</f>
        <v>12</v>
      </c>
      <c r="L19" s="42" t="s">
        <v>54</v>
      </c>
      <c r="M19" s="43" t="n">
        <f aca="false">IFERROR(GETPIVOTDATA("Cuenta de ID_PUNTO",TD!$A$3,"ID_JUGADOR_1_EQUIPO_1",$L19),0)</f>
        <v>0</v>
      </c>
      <c r="N19" s="43" t="n">
        <f aca="false">IFERROR(GETPIVOTDATA("Cuenta de ID_PUNTO",TD!$G$3,"ID_JUGADOR_2_EQUIPO_1",$L19),0)</f>
        <v>0</v>
      </c>
      <c r="O19" s="43" t="n">
        <f aca="false">IFERROR(GETPIVOTDATA("Cuenta de ID_PUNTO",TD!$M$3,"ID_JUGADOR_1_EQUIPO_2",$L19),0)</f>
        <v>0</v>
      </c>
      <c r="P19" s="43" t="n">
        <f aca="false">IFERROR(GETPIVOTDATA("Cuenta de ID_PUNTO",TD!$S$3,"ID_JUGADOR_2_EQUIPO_2",$L19),0)</f>
        <v>0</v>
      </c>
      <c r="Q19" s="43" t="n">
        <f aca="false">IFERROR(GETPIVOTDATA("Cuenta de ID_PUNTO",TD!$A$30,"ID_JUGADOR_1_EQUIPO_1",$L19),0)</f>
        <v>10</v>
      </c>
      <c r="R19" s="43" t="n">
        <f aca="false">IFERROR(GETPIVOTDATA("Cuenta de ID_PUNTO",TD!$G$30,"ID_JUGADOR_2_EQUIPO_1",$L19),0)</f>
        <v>0</v>
      </c>
      <c r="S19" s="43" t="n">
        <f aca="false">IFERROR(GETPIVOTDATA("Cuenta de ID_PUNTO",TD!$M$30,"ID_JUGADOR_1_EQUIPO_2",$L19),0)</f>
        <v>12</v>
      </c>
      <c r="T19" s="43" t="n">
        <f aca="false">IFERROR(GETPIVOTDATA("Cuenta de ID_PUNTO",TD!$S$30,"ID_JUGADOR_2_EQUIPO_2",$L19),0)</f>
        <v>0</v>
      </c>
      <c r="U19" s="43" t="n">
        <f aca="false">SUM(M19:T19)</f>
        <v>22</v>
      </c>
      <c r="Y19" s="42" t="s">
        <v>53</v>
      </c>
      <c r="Z19" s="43" t="n">
        <f aca="false">VLOOKUP(Y19,$A$6:$J$42,10,FALSE())</f>
        <v>7</v>
      </c>
      <c r="AA19" s="44" t="n">
        <f aca="false">VLOOKUP(Y19,$L$6:$U$42,10,FALSE())</f>
        <v>13</v>
      </c>
      <c r="AB19" s="45" t="n">
        <f aca="false">Z19/AA19</f>
        <v>0.538461538461538</v>
      </c>
    </row>
    <row r="20" customFormat="false" ht="14.25" hidden="false" customHeight="false" outlineLevel="0" collapsed="false">
      <c r="A20" s="42" t="s">
        <v>41</v>
      </c>
      <c r="B20" s="43" t="n">
        <f aca="false">IFERROR(GETPIVOTDATA("Suma de PUNTO_EQUIPO_1",TD!$A$3,"ID_JUGADOR_1_EQUIPO_1",$A20),0)</f>
        <v>0</v>
      </c>
      <c r="C20" s="43" t="n">
        <f aca="false">IFERROR(GETPIVOTDATA("Suma de PUNTO_EQUIPO_1",TD!$G$3,"ID_JUGADOR_2_EQUIPO_1",$A20),0)</f>
        <v>10</v>
      </c>
      <c r="D20" s="43" t="n">
        <f aca="false">IFERROR(GETPIVOTDATA("Suma de PUNTO_EQUIPO_2",TD!$M$3,"ID_JUGADOR_1_EQUIPO_2",$A20),0)</f>
        <v>0</v>
      </c>
      <c r="E20" s="43" t="n">
        <f aca="false">IFERROR(GETPIVOTDATA("Suma de PUNTO_EQUIPO_2",TD!$S$3,"ID_JUGADOR_2_EQUIPO_2",$A20),0)</f>
        <v>0</v>
      </c>
      <c r="F20" s="43" t="n">
        <f aca="false">IFERROR(GETPIVOTDATA("Suma de PUNTO_EQUIPO_1",TD!$A$30,"ID_JUGADOR_1_EQUIPO_1",$A20),0)</f>
        <v>7</v>
      </c>
      <c r="G20" s="43" t="n">
        <f aca="false">IFERROR(GETPIVOTDATA("Suma de PUNTO_EQUIPO_1",TD!$G$30,"ID_JUGADOR_2_EQUIPO_1",$A20),0)</f>
        <v>0</v>
      </c>
      <c r="H20" s="43" t="n">
        <f aca="false">IFERROR(GETPIVOTDATA("Suma de PUNTO_EQUIPO_2",TD!$M$30,"ID_JUGADOR_1_EQUIPO_2",$A20),0)</f>
        <v>4</v>
      </c>
      <c r="I20" s="43" t="n">
        <f aca="false">IFERROR(GETPIVOTDATA("Suma de PUNTO_EQUIPO_2",TD!$S$30,"ID_JUGADOR_2_EQUIPO_2",$A20),0)</f>
        <v>0</v>
      </c>
      <c r="J20" s="43" t="n">
        <f aca="false">SUM(B20:I20)</f>
        <v>21</v>
      </c>
      <c r="L20" s="42" t="s">
        <v>41</v>
      </c>
      <c r="M20" s="43" t="n">
        <f aca="false">IFERROR(GETPIVOTDATA("Cuenta de ID_PUNTO",TD!$A$3,"ID_JUGADOR_1_EQUIPO_1",$L20),0)</f>
        <v>0</v>
      </c>
      <c r="N20" s="43" t="n">
        <f aca="false">IFERROR(GETPIVOTDATA("Cuenta de ID_PUNTO",TD!$G$3,"ID_JUGADOR_2_EQUIPO_1",$L20),0)</f>
        <v>21</v>
      </c>
      <c r="O20" s="43" t="n">
        <f aca="false">IFERROR(GETPIVOTDATA("Cuenta de ID_PUNTO",TD!$M$3,"ID_JUGADOR_1_EQUIPO_2",$L20),0)</f>
        <v>0</v>
      </c>
      <c r="P20" s="43" t="n">
        <f aca="false">IFERROR(GETPIVOTDATA("Cuenta de ID_PUNTO",TD!$S$3,"ID_JUGADOR_2_EQUIPO_2",$L20),0)</f>
        <v>0</v>
      </c>
      <c r="Q20" s="43" t="n">
        <f aca="false">IFERROR(GETPIVOTDATA("Cuenta de ID_PUNTO",TD!$A$30,"ID_JUGADOR_1_EQUIPO_1",$L20),0)</f>
        <v>10</v>
      </c>
      <c r="R20" s="43" t="n">
        <f aca="false">IFERROR(GETPIVOTDATA("Cuenta de ID_PUNTO",TD!$G$30,"ID_JUGADOR_2_EQUIPO_1",$L20),0)</f>
        <v>0</v>
      </c>
      <c r="S20" s="43" t="n">
        <f aca="false">IFERROR(GETPIVOTDATA("Cuenta de ID_PUNTO",TD!$M$30,"ID_JUGADOR_1_EQUIPO_2",$L20),0)</f>
        <v>11</v>
      </c>
      <c r="T20" s="43" t="n">
        <f aca="false">IFERROR(GETPIVOTDATA("Cuenta de ID_PUNTO",TD!$S$30,"ID_JUGADOR_2_EQUIPO_2",$L20),0)</f>
        <v>0</v>
      </c>
      <c r="U20" s="43" t="n">
        <f aca="false">SUM(M20:T20)</f>
        <v>42</v>
      </c>
      <c r="Y20" s="42" t="s">
        <v>50</v>
      </c>
      <c r="Z20" s="43" t="n">
        <f aca="false">VLOOKUP(Y20,$A$6:$J$42,10,FALSE())</f>
        <v>37</v>
      </c>
      <c r="AA20" s="44" t="n">
        <f aca="false">VLOOKUP(Y20,$L$6:$U$42,10,FALSE())</f>
        <v>69</v>
      </c>
      <c r="AB20" s="45" t="n">
        <f aca="false">Z20/AA20</f>
        <v>0.536231884057971</v>
      </c>
    </row>
    <row r="21" customFormat="false" ht="14.25" hidden="false" customHeight="false" outlineLevel="0" collapsed="false">
      <c r="A21" s="42" t="s">
        <v>39</v>
      </c>
      <c r="B21" s="43" t="n">
        <f aca="false">IFERROR(GETPIVOTDATA("Suma de PUNTO_EQUIPO_1",TD!$A$3,"ID_JUGADOR_1_EQUIPO_1",$A21),0)</f>
        <v>0</v>
      </c>
      <c r="C21" s="43" t="n">
        <f aca="false">IFERROR(GETPIVOTDATA("Suma de PUNTO_EQUIPO_1",TD!$G$3,"ID_JUGADOR_2_EQUIPO_1",$A21),0)</f>
        <v>0</v>
      </c>
      <c r="D21" s="43" t="n">
        <f aca="false">IFERROR(GETPIVOTDATA("Suma de PUNTO_EQUIPO_2",TD!$M$3,"ID_JUGADOR_1_EQUIPO_2",$A21),0)</f>
        <v>5</v>
      </c>
      <c r="E21" s="43" t="n">
        <f aca="false">IFERROR(GETPIVOTDATA("Suma de PUNTO_EQUIPO_2",TD!$S$3,"ID_JUGADOR_2_EQUIPO_2",$A21),0)</f>
        <v>4</v>
      </c>
      <c r="F21" s="43" t="n">
        <f aca="false">IFERROR(GETPIVOTDATA("Suma de PUNTO_EQUIPO_1",TD!$A$30,"ID_JUGADOR_1_EQUIPO_1",$A21),0)</f>
        <v>0</v>
      </c>
      <c r="G21" s="43" t="n">
        <f aca="false">IFERROR(GETPIVOTDATA("Suma de PUNTO_EQUIPO_1",TD!$G$30,"ID_JUGADOR_2_EQUIPO_1",$A21),0)</f>
        <v>14</v>
      </c>
      <c r="H21" s="43" t="n">
        <f aca="false">IFERROR(GETPIVOTDATA("Suma de PUNTO_EQUIPO_2",TD!$M$30,"ID_JUGADOR_1_EQUIPO_2",$A21),0)</f>
        <v>0</v>
      </c>
      <c r="I21" s="43" t="n">
        <f aca="false">IFERROR(GETPIVOTDATA("Suma de PUNTO_EQUIPO_2",TD!$S$30,"ID_JUGADOR_2_EQUIPO_2",$A21),0)</f>
        <v>3</v>
      </c>
      <c r="J21" s="43" t="n">
        <f aca="false">SUM(B21:I21)</f>
        <v>26</v>
      </c>
      <c r="L21" s="42" t="s">
        <v>39</v>
      </c>
      <c r="M21" s="43" t="n">
        <f aca="false">IFERROR(GETPIVOTDATA("Cuenta de ID_PUNTO",TD!$A$3,"ID_JUGADOR_1_EQUIPO_1",$L21),0)</f>
        <v>0</v>
      </c>
      <c r="N21" s="43" t="n">
        <f aca="false">IFERROR(GETPIVOTDATA("Cuenta de ID_PUNTO",TD!$G$3,"ID_JUGADOR_2_EQUIPO_1",$L21),0)</f>
        <v>0</v>
      </c>
      <c r="O21" s="43" t="n">
        <f aca="false">IFERROR(GETPIVOTDATA("Cuenta de ID_PUNTO",TD!$M$3,"ID_JUGADOR_1_EQUIPO_2",$L21),0)</f>
        <v>12</v>
      </c>
      <c r="P21" s="43" t="n">
        <f aca="false">IFERROR(GETPIVOTDATA("Cuenta de ID_PUNTO",TD!$S$3,"ID_JUGADOR_2_EQUIPO_2",$L21),0)</f>
        <v>11</v>
      </c>
      <c r="Q21" s="43" t="n">
        <f aca="false">IFERROR(GETPIVOTDATA("Cuenta de ID_PUNTO",TD!$A$30,"ID_JUGADOR_1_EQUIPO_1",$L21),0)</f>
        <v>0</v>
      </c>
      <c r="R21" s="43" t="n">
        <f aca="false">IFERROR(GETPIVOTDATA("Cuenta de ID_PUNTO",TD!$G$30,"ID_JUGADOR_2_EQUIPO_1",$L21),0)</f>
        <v>24</v>
      </c>
      <c r="S21" s="43" t="n">
        <f aca="false">IFERROR(GETPIVOTDATA("Cuenta de ID_PUNTO",TD!$M$30,"ID_JUGADOR_1_EQUIPO_2",$L21),0)</f>
        <v>0</v>
      </c>
      <c r="T21" s="43" t="n">
        <f aca="false">IFERROR(GETPIVOTDATA("Cuenta de ID_PUNTO",TD!$S$30,"ID_JUGADOR_2_EQUIPO_2",$L21),0)</f>
        <v>10</v>
      </c>
      <c r="U21" s="43" t="n">
        <f aca="false">SUM(M21:T21)</f>
        <v>57</v>
      </c>
      <c r="Y21" s="42" t="s">
        <v>40</v>
      </c>
      <c r="Z21" s="43" t="n">
        <f aca="false">VLOOKUP(Y21,$A$6:$J$42,10,FALSE())</f>
        <v>33</v>
      </c>
      <c r="AA21" s="44" t="n">
        <f aca="false">VLOOKUP(Y21,$L$6:$U$42,10,FALSE())</f>
        <v>62</v>
      </c>
      <c r="AB21" s="45" t="n">
        <f aca="false">Z21/AA21</f>
        <v>0.532258064516129</v>
      </c>
    </row>
    <row r="22" customFormat="false" ht="14.25" hidden="false" customHeight="false" outlineLevel="0" collapsed="false">
      <c r="A22" s="42" t="s">
        <v>23</v>
      </c>
      <c r="B22" s="43" t="n">
        <f aca="false">IFERROR(GETPIVOTDATA("Suma de PUNTO_EQUIPO_1",TD!$A$3,"ID_JUGADOR_1_EQUIPO_1",$A22),0)</f>
        <v>20</v>
      </c>
      <c r="C22" s="43" t="n">
        <f aca="false">IFERROR(GETPIVOTDATA("Suma de PUNTO_EQUIPO_1",TD!$G$3,"ID_JUGADOR_2_EQUIPO_1",$A22),0)</f>
        <v>0</v>
      </c>
      <c r="D22" s="43" t="n">
        <f aca="false">IFERROR(GETPIVOTDATA("Suma de PUNTO_EQUIPO_2",TD!$M$3,"ID_JUGADOR_1_EQUIPO_2",$A22),0)</f>
        <v>0</v>
      </c>
      <c r="E22" s="43" t="n">
        <f aca="false">IFERROR(GETPIVOTDATA("Suma de PUNTO_EQUIPO_2",TD!$S$3,"ID_JUGADOR_2_EQUIPO_2",$A22),0)</f>
        <v>0</v>
      </c>
      <c r="F22" s="43" t="n">
        <f aca="false">IFERROR(GETPIVOTDATA("Suma de PUNTO_EQUIPO_1",TD!$A$30,"ID_JUGADOR_1_EQUIPO_1",$A22),0)</f>
        <v>0</v>
      </c>
      <c r="G22" s="43" t="n">
        <f aca="false">IFERROR(GETPIVOTDATA("Suma de PUNTO_EQUIPO_1",TD!$G$30,"ID_JUGADOR_2_EQUIPO_1",$A22),0)</f>
        <v>0</v>
      </c>
      <c r="H22" s="43" t="n">
        <f aca="false">IFERROR(GETPIVOTDATA("Suma de PUNTO_EQUIPO_2",TD!$M$30,"ID_JUGADOR_1_EQUIPO_2",$A22),0)</f>
        <v>0</v>
      </c>
      <c r="I22" s="43" t="n">
        <f aca="false">IFERROR(GETPIVOTDATA("Suma de PUNTO_EQUIPO_2",TD!$S$30,"ID_JUGADOR_2_EQUIPO_2",$A22),0)</f>
        <v>14</v>
      </c>
      <c r="J22" s="43" t="n">
        <f aca="false">SUM(B22:I22)</f>
        <v>34</v>
      </c>
      <c r="L22" s="42" t="s">
        <v>23</v>
      </c>
      <c r="M22" s="43" t="n">
        <f aca="false">IFERROR(GETPIVOTDATA("Cuenta de ID_PUNTO",TD!$A$3,"ID_JUGADOR_1_EQUIPO_1",$L22),0)</f>
        <v>32</v>
      </c>
      <c r="N22" s="43" t="n">
        <f aca="false">IFERROR(GETPIVOTDATA("Cuenta de ID_PUNTO",TD!$G$3,"ID_JUGADOR_2_EQUIPO_1",$L22),0)</f>
        <v>0</v>
      </c>
      <c r="O22" s="43" t="n">
        <f aca="false">IFERROR(GETPIVOTDATA("Cuenta de ID_PUNTO",TD!$M$3,"ID_JUGADOR_1_EQUIPO_2",$L22),0)</f>
        <v>0</v>
      </c>
      <c r="P22" s="43" t="n">
        <f aca="false">IFERROR(GETPIVOTDATA("Cuenta de ID_PUNTO",TD!$S$3,"ID_JUGADOR_2_EQUIPO_2",$L22),0)</f>
        <v>0</v>
      </c>
      <c r="Q22" s="43" t="n">
        <f aca="false">IFERROR(GETPIVOTDATA("Cuenta de ID_PUNTO",TD!$A$30,"ID_JUGADOR_1_EQUIPO_1",$L22),0)</f>
        <v>0</v>
      </c>
      <c r="R22" s="43" t="n">
        <f aca="false">IFERROR(GETPIVOTDATA("Cuenta de ID_PUNTO",TD!$G$30,"ID_JUGADOR_2_EQUIPO_1",$L22),0)</f>
        <v>0</v>
      </c>
      <c r="S22" s="43" t="n">
        <f aca="false">IFERROR(GETPIVOTDATA("Cuenta de ID_PUNTO",TD!$M$30,"ID_JUGADOR_1_EQUIPO_2",$L22),0)</f>
        <v>0</v>
      </c>
      <c r="T22" s="43" t="n">
        <f aca="false">IFERROR(GETPIVOTDATA("Cuenta de ID_PUNTO",TD!$S$30,"ID_JUGADOR_2_EQUIPO_2",$L22),0)</f>
        <v>21</v>
      </c>
      <c r="U22" s="43" t="n">
        <f aca="false">SUM(M22:T22)</f>
        <v>53</v>
      </c>
      <c r="Y22" s="42" t="s">
        <v>18</v>
      </c>
      <c r="Z22" s="43" t="n">
        <f aca="false">VLOOKUP(Y22,$A$6:$J$42,10,FALSE())</f>
        <v>22</v>
      </c>
      <c r="AA22" s="44" t="n">
        <f aca="false">VLOOKUP(Y22,$L$6:$U$42,10,FALSE())</f>
        <v>42</v>
      </c>
      <c r="AB22" s="45" t="n">
        <f aca="false">Z22/AA22</f>
        <v>0.523809523809524</v>
      </c>
    </row>
    <row r="23" customFormat="false" ht="14.25" hidden="false" customHeight="false" outlineLevel="0" collapsed="false">
      <c r="A23" s="42" t="s">
        <v>29</v>
      </c>
      <c r="B23" s="43" t="n">
        <f aca="false">IFERROR(GETPIVOTDATA("Suma de PUNTO_EQUIPO_1",TD!$A$3,"ID_JUGADOR_1_EQUIPO_1",$A23),0)</f>
        <v>2</v>
      </c>
      <c r="C23" s="43" t="n">
        <f aca="false">IFERROR(GETPIVOTDATA("Suma de PUNTO_EQUIPO_1",TD!$G$3,"ID_JUGADOR_2_EQUIPO_1",$A23),0)</f>
        <v>0</v>
      </c>
      <c r="D23" s="43" t="n">
        <f aca="false">IFERROR(GETPIVOTDATA("Suma de PUNTO_EQUIPO_2",TD!$M$3,"ID_JUGADOR_1_EQUIPO_2",$A23),0)</f>
        <v>0</v>
      </c>
      <c r="E23" s="43" t="n">
        <f aca="false">IFERROR(GETPIVOTDATA("Suma de PUNTO_EQUIPO_2",TD!$S$3,"ID_JUGADOR_2_EQUIPO_2",$A23),0)</f>
        <v>0</v>
      </c>
      <c r="F23" s="43" t="n">
        <f aca="false">IFERROR(GETPIVOTDATA("Suma de PUNTO_EQUIPO_1",TD!$A$30,"ID_JUGADOR_1_EQUIPO_1",$A23),0)</f>
        <v>7</v>
      </c>
      <c r="G23" s="43" t="n">
        <f aca="false">IFERROR(GETPIVOTDATA("Suma de PUNTO_EQUIPO_1",TD!$G$30,"ID_JUGADOR_2_EQUIPO_1",$A23),0)</f>
        <v>10</v>
      </c>
      <c r="H23" s="43" t="n">
        <f aca="false">IFERROR(GETPIVOTDATA("Suma de PUNTO_EQUIPO_2",TD!$M$30,"ID_JUGADOR_1_EQUIPO_2",$A23),0)</f>
        <v>0</v>
      </c>
      <c r="I23" s="43" t="n">
        <f aca="false">IFERROR(GETPIVOTDATA("Suma de PUNTO_EQUIPO_2",TD!$S$30,"ID_JUGADOR_2_EQUIPO_2",$A23),0)</f>
        <v>0</v>
      </c>
      <c r="J23" s="43" t="n">
        <f aca="false">SUM(B23:I23)</f>
        <v>19</v>
      </c>
      <c r="L23" s="42" t="s">
        <v>29</v>
      </c>
      <c r="M23" s="43" t="n">
        <f aca="false">IFERROR(GETPIVOTDATA("Cuenta de ID_PUNTO",TD!$A$3,"ID_JUGADOR_1_EQUIPO_1",$L23),0)</f>
        <v>9</v>
      </c>
      <c r="N23" s="43" t="n">
        <f aca="false">IFERROR(GETPIVOTDATA("Cuenta de ID_PUNTO",TD!$G$3,"ID_JUGADOR_2_EQUIPO_1",$L23),0)</f>
        <v>0</v>
      </c>
      <c r="O23" s="43" t="n">
        <f aca="false">IFERROR(GETPIVOTDATA("Cuenta de ID_PUNTO",TD!$M$3,"ID_JUGADOR_1_EQUIPO_2",$L23),0)</f>
        <v>0</v>
      </c>
      <c r="P23" s="43" t="n">
        <f aca="false">IFERROR(GETPIVOTDATA("Cuenta de ID_PUNTO",TD!$S$3,"ID_JUGADOR_2_EQUIPO_2",$L23),0)</f>
        <v>0</v>
      </c>
      <c r="Q23" s="43" t="n">
        <f aca="false">IFERROR(GETPIVOTDATA("Cuenta de ID_PUNTO",TD!$A$30,"ID_JUGADOR_1_EQUIPO_1",$L23),0)</f>
        <v>12</v>
      </c>
      <c r="R23" s="43" t="n">
        <f aca="false">IFERROR(GETPIVOTDATA("Cuenta de ID_PUNTO",TD!$G$30,"ID_JUGADOR_2_EQUIPO_1",$L23),0)</f>
        <v>20</v>
      </c>
      <c r="S23" s="43" t="n">
        <f aca="false">IFERROR(GETPIVOTDATA("Cuenta de ID_PUNTO",TD!$M$30,"ID_JUGADOR_1_EQUIPO_2",$L23),0)</f>
        <v>0</v>
      </c>
      <c r="T23" s="43" t="n">
        <f aca="false">IFERROR(GETPIVOTDATA("Cuenta de ID_PUNTO",TD!$S$30,"ID_JUGADOR_2_EQUIPO_2",$L23),0)</f>
        <v>0</v>
      </c>
      <c r="U23" s="43" t="n">
        <f aca="false">SUM(M23:T23)</f>
        <v>41</v>
      </c>
      <c r="Y23" s="42" t="s">
        <v>25</v>
      </c>
      <c r="Z23" s="43" t="n">
        <f aca="false">VLOOKUP(Y23,$A$6:$J$42,10,FALSE())</f>
        <v>21</v>
      </c>
      <c r="AA23" s="44" t="n">
        <f aca="false">VLOOKUP(Y23,$L$6:$U$42,10,FALSE())</f>
        <v>41</v>
      </c>
      <c r="AB23" s="45" t="n">
        <f aca="false">Z23/AA23</f>
        <v>0.51219512195122</v>
      </c>
    </row>
    <row r="24" customFormat="false" ht="14.25" hidden="false" customHeight="false" outlineLevel="0" collapsed="false">
      <c r="A24" s="42" t="s">
        <v>34</v>
      </c>
      <c r="B24" s="43" t="n">
        <f aca="false">IFERROR(GETPIVOTDATA("Suma de PUNTO_EQUIPO_1",TD!$A$3,"ID_JUGADOR_1_EQUIPO_1",$A24),0)</f>
        <v>0</v>
      </c>
      <c r="C24" s="43" t="n">
        <f aca="false">IFERROR(GETPIVOTDATA("Suma de PUNTO_EQUIPO_1",TD!$G$3,"ID_JUGADOR_2_EQUIPO_1",$A24),0)</f>
        <v>14</v>
      </c>
      <c r="D24" s="43" t="n">
        <f aca="false">IFERROR(GETPIVOTDATA("Suma de PUNTO_EQUIPO_2",TD!$M$3,"ID_JUGADOR_1_EQUIPO_2",$A24),0)</f>
        <v>0</v>
      </c>
      <c r="E24" s="43" t="n">
        <f aca="false">IFERROR(GETPIVOTDATA("Suma de PUNTO_EQUIPO_2",TD!$S$3,"ID_JUGADOR_2_EQUIPO_2",$A24),0)</f>
        <v>7</v>
      </c>
      <c r="F24" s="43" t="n">
        <f aca="false">IFERROR(GETPIVOTDATA("Suma de PUNTO_EQUIPO_1",TD!$A$30,"ID_JUGADOR_1_EQUIPO_1",$A24),0)</f>
        <v>0</v>
      </c>
      <c r="G24" s="43" t="n">
        <f aca="false">IFERROR(GETPIVOTDATA("Suma de PUNTO_EQUIPO_1",TD!$G$30,"ID_JUGADOR_2_EQUIPO_1",$A24),0)</f>
        <v>0</v>
      </c>
      <c r="H24" s="43" t="n">
        <f aca="false">IFERROR(GETPIVOTDATA("Suma de PUNTO_EQUIPO_2",TD!$M$30,"ID_JUGADOR_1_EQUIPO_2",$A24),0)</f>
        <v>19</v>
      </c>
      <c r="I24" s="43" t="n">
        <f aca="false">IFERROR(GETPIVOTDATA("Suma de PUNTO_EQUIPO_2",TD!$S$30,"ID_JUGADOR_2_EQUIPO_2",$A24),0)</f>
        <v>0</v>
      </c>
      <c r="J24" s="43" t="n">
        <f aca="false">SUM(B24:I24)</f>
        <v>40</v>
      </c>
      <c r="L24" s="42" t="s">
        <v>34</v>
      </c>
      <c r="M24" s="43" t="n">
        <f aca="false">IFERROR(GETPIVOTDATA("Cuenta de ID_PUNTO",TD!$A$3,"ID_JUGADOR_1_EQUIPO_1",$L24),0)</f>
        <v>0</v>
      </c>
      <c r="N24" s="43" t="n">
        <f aca="false">IFERROR(GETPIVOTDATA("Cuenta de ID_PUNTO",TD!$G$3,"ID_JUGADOR_2_EQUIPO_1",$L24),0)</f>
        <v>23</v>
      </c>
      <c r="O24" s="43" t="n">
        <f aca="false">IFERROR(GETPIVOTDATA("Cuenta de ID_PUNTO",TD!$M$3,"ID_JUGADOR_1_EQUIPO_2",$L24),0)</f>
        <v>0</v>
      </c>
      <c r="P24" s="43" t="n">
        <f aca="false">IFERROR(GETPIVOTDATA("Cuenta de ID_PUNTO",TD!$S$3,"ID_JUGADOR_2_EQUIPO_2",$L24),0)</f>
        <v>9</v>
      </c>
      <c r="Q24" s="43" t="n">
        <f aca="false">IFERROR(GETPIVOTDATA("Cuenta de ID_PUNTO",TD!$A$30,"ID_JUGADOR_1_EQUIPO_1",$L24),0)</f>
        <v>0</v>
      </c>
      <c r="R24" s="43" t="n">
        <f aca="false">IFERROR(GETPIVOTDATA("Cuenta de ID_PUNTO",TD!$G$30,"ID_JUGADOR_2_EQUIPO_1",$L24),0)</f>
        <v>0</v>
      </c>
      <c r="S24" s="43" t="n">
        <f aca="false">IFERROR(GETPIVOTDATA("Cuenta de ID_PUNTO",TD!$M$30,"ID_JUGADOR_1_EQUIPO_2",$L24),0)</f>
        <v>35</v>
      </c>
      <c r="T24" s="43" t="n">
        <f aca="false">IFERROR(GETPIVOTDATA("Cuenta de ID_PUNTO",TD!$S$30,"ID_JUGADOR_2_EQUIPO_2",$L24),0)</f>
        <v>0</v>
      </c>
      <c r="U24" s="43" t="n">
        <f aca="false">SUM(M24:T24)</f>
        <v>67</v>
      </c>
      <c r="Y24" s="42" t="s">
        <v>17</v>
      </c>
      <c r="Z24" s="43" t="n">
        <f aca="false">VLOOKUP(Y24,$A$6:$J$42,10,FALSE())</f>
        <v>22</v>
      </c>
      <c r="AA24" s="44" t="n">
        <f aca="false">VLOOKUP(Y24,$L$6:$U$42,10,FALSE())</f>
        <v>43</v>
      </c>
      <c r="AB24" s="45" t="n">
        <f aca="false">Z24/AA24</f>
        <v>0.511627906976744</v>
      </c>
    </row>
    <row r="25" customFormat="false" ht="14.25" hidden="false" customHeight="false" outlineLevel="0" collapsed="false">
      <c r="A25" s="42" t="s">
        <v>50</v>
      </c>
      <c r="B25" s="43" t="n">
        <f aca="false">IFERROR(GETPIVOTDATA("Suma de PUNTO_EQUIPO_1",TD!$A$3,"ID_JUGADOR_1_EQUIPO_1",$A25),0)</f>
        <v>7</v>
      </c>
      <c r="C25" s="43" t="n">
        <f aca="false">IFERROR(GETPIVOTDATA("Suma de PUNTO_EQUIPO_1",TD!$G$3,"ID_JUGADOR_2_EQUIPO_1",$A25),0)</f>
        <v>0</v>
      </c>
      <c r="D25" s="43" t="n">
        <f aca="false">IFERROR(GETPIVOTDATA("Suma de PUNTO_EQUIPO_2",TD!$M$3,"ID_JUGADOR_1_EQUIPO_2",$A25),0)</f>
        <v>0</v>
      </c>
      <c r="E25" s="43" t="n">
        <f aca="false">IFERROR(GETPIVOTDATA("Suma de PUNTO_EQUIPO_2",TD!$S$3,"ID_JUGADOR_2_EQUIPO_2",$A25),0)</f>
        <v>0</v>
      </c>
      <c r="F25" s="43" t="n">
        <f aca="false">IFERROR(GETPIVOTDATA("Suma de PUNTO_EQUIPO_1",TD!$A$30,"ID_JUGADOR_1_EQUIPO_1",$A25),0)</f>
        <v>13</v>
      </c>
      <c r="G25" s="43" t="n">
        <f aca="false">IFERROR(GETPIVOTDATA("Suma de PUNTO_EQUIPO_1",TD!$G$30,"ID_JUGADOR_2_EQUIPO_1",$A25),0)</f>
        <v>0</v>
      </c>
      <c r="H25" s="43" t="n">
        <f aca="false">IFERROR(GETPIVOTDATA("Suma de PUNTO_EQUIPO_2",TD!$M$30,"ID_JUGADOR_1_EQUIPO_2",$A25),0)</f>
        <v>0</v>
      </c>
      <c r="I25" s="43" t="n">
        <f aca="false">IFERROR(GETPIVOTDATA("Suma de PUNTO_EQUIPO_2",TD!$S$30,"ID_JUGADOR_2_EQUIPO_2",$A25),0)</f>
        <v>17</v>
      </c>
      <c r="J25" s="43" t="n">
        <f aca="false">SUM(B25:I25)</f>
        <v>37</v>
      </c>
      <c r="L25" s="42" t="s">
        <v>50</v>
      </c>
      <c r="M25" s="43" t="n">
        <f aca="false">IFERROR(GETPIVOTDATA("Cuenta de ID_PUNTO",TD!$A$3,"ID_JUGADOR_1_EQUIPO_1",$L25),0)</f>
        <v>12</v>
      </c>
      <c r="N25" s="43" t="n">
        <f aca="false">IFERROR(GETPIVOTDATA("Cuenta de ID_PUNTO",TD!$G$3,"ID_JUGADOR_2_EQUIPO_1",$L25),0)</f>
        <v>0</v>
      </c>
      <c r="O25" s="43" t="n">
        <f aca="false">IFERROR(GETPIVOTDATA("Cuenta de ID_PUNTO",TD!$M$3,"ID_JUGADOR_1_EQUIPO_2",$L25),0)</f>
        <v>0</v>
      </c>
      <c r="P25" s="43" t="n">
        <f aca="false">IFERROR(GETPIVOTDATA("Cuenta de ID_PUNTO",TD!$S$3,"ID_JUGADOR_2_EQUIPO_2",$L25),0)</f>
        <v>0</v>
      </c>
      <c r="Q25" s="43" t="n">
        <f aca="false">IFERROR(GETPIVOTDATA("Cuenta de ID_PUNTO",TD!$A$30,"ID_JUGADOR_1_EQUIPO_1",$L25),0)</f>
        <v>20</v>
      </c>
      <c r="R25" s="43" t="n">
        <f aca="false">IFERROR(GETPIVOTDATA("Cuenta de ID_PUNTO",TD!$G$30,"ID_JUGADOR_2_EQUIPO_1",$L25),0)</f>
        <v>0</v>
      </c>
      <c r="S25" s="43" t="n">
        <f aca="false">IFERROR(GETPIVOTDATA("Cuenta de ID_PUNTO",TD!$M$30,"ID_JUGADOR_1_EQUIPO_2",$L25),0)</f>
        <v>0</v>
      </c>
      <c r="T25" s="43" t="n">
        <f aca="false">IFERROR(GETPIVOTDATA("Cuenta de ID_PUNTO",TD!$S$30,"ID_JUGADOR_2_EQUIPO_2",$L25),0)</f>
        <v>37</v>
      </c>
      <c r="U25" s="43" t="n">
        <f aca="false">SUM(M25:T25)</f>
        <v>69</v>
      </c>
      <c r="Y25" s="42" t="s">
        <v>27</v>
      </c>
      <c r="Z25" s="43" t="n">
        <f aca="false">VLOOKUP(Y25,$A$6:$J$42,10,FALSE())</f>
        <v>31</v>
      </c>
      <c r="AA25" s="44" t="n">
        <f aca="false">VLOOKUP(Y25,$L$6:$U$42,10,FALSE())</f>
        <v>62</v>
      </c>
      <c r="AB25" s="45" t="n">
        <f aca="false">Z25/AA25</f>
        <v>0.5</v>
      </c>
    </row>
    <row r="26" customFormat="false" ht="14.25" hidden="false" customHeight="false" outlineLevel="0" collapsed="false">
      <c r="A26" s="42" t="s">
        <v>47</v>
      </c>
      <c r="B26" s="43" t="n">
        <f aca="false">IFERROR(GETPIVOTDATA("Suma de PUNTO_EQUIPO_1",TD!$A$3,"ID_JUGADOR_1_EQUIPO_1",$A26),0)</f>
        <v>5</v>
      </c>
      <c r="C26" s="43" t="n">
        <f aca="false">IFERROR(GETPIVOTDATA("Suma de PUNTO_EQUIPO_1",TD!$G$3,"ID_JUGADOR_2_EQUIPO_1",$A26),0)</f>
        <v>0</v>
      </c>
      <c r="D26" s="43" t="n">
        <f aca="false">IFERROR(GETPIVOTDATA("Suma de PUNTO_EQUIPO_2",TD!$M$3,"ID_JUGADOR_1_EQUIPO_2",$A26),0)</f>
        <v>0</v>
      </c>
      <c r="E26" s="43" t="n">
        <f aca="false">IFERROR(GETPIVOTDATA("Suma de PUNTO_EQUIPO_2",TD!$S$3,"ID_JUGADOR_2_EQUIPO_2",$A26),0)</f>
        <v>7</v>
      </c>
      <c r="F26" s="43" t="n">
        <f aca="false">IFERROR(GETPIVOTDATA("Suma de PUNTO_EQUIPO_1",TD!$A$30,"ID_JUGADOR_1_EQUIPO_1",$A26),0)</f>
        <v>14</v>
      </c>
      <c r="G26" s="43" t="n">
        <f aca="false">IFERROR(GETPIVOTDATA("Suma de PUNTO_EQUIPO_1",TD!$G$30,"ID_JUGADOR_2_EQUIPO_1",$A26),0)</f>
        <v>7</v>
      </c>
      <c r="H26" s="43" t="n">
        <f aca="false">IFERROR(GETPIVOTDATA("Suma de PUNTO_EQUIPO_2",TD!$M$30,"ID_JUGADOR_1_EQUIPO_2",$A26),0)</f>
        <v>0</v>
      </c>
      <c r="I26" s="43" t="n">
        <f aca="false">IFERROR(GETPIVOTDATA("Suma de PUNTO_EQUIPO_2",TD!$S$30,"ID_JUGADOR_2_EQUIPO_2",$A26),0)</f>
        <v>0</v>
      </c>
      <c r="J26" s="43" t="n">
        <f aca="false">SUM(B26:I26)</f>
        <v>33</v>
      </c>
      <c r="L26" s="42" t="s">
        <v>47</v>
      </c>
      <c r="M26" s="43" t="n">
        <f aca="false">IFERROR(GETPIVOTDATA("Cuenta de ID_PUNTO",TD!$A$3,"ID_JUGADOR_1_EQUIPO_1",$L26),0)</f>
        <v>12</v>
      </c>
      <c r="N26" s="43" t="n">
        <f aca="false">IFERROR(GETPIVOTDATA("Cuenta de ID_PUNTO",TD!$G$3,"ID_JUGADOR_2_EQUIPO_1",$L26),0)</f>
        <v>0</v>
      </c>
      <c r="O26" s="43" t="n">
        <f aca="false">IFERROR(GETPIVOTDATA("Cuenta de ID_PUNTO",TD!$M$3,"ID_JUGADOR_1_EQUIPO_2",$L26),0)</f>
        <v>0</v>
      </c>
      <c r="P26" s="43" t="n">
        <f aca="false">IFERROR(GETPIVOTDATA("Cuenta de ID_PUNTO",TD!$S$3,"ID_JUGADOR_2_EQUIPO_2",$L26),0)</f>
        <v>9</v>
      </c>
      <c r="Q26" s="43" t="n">
        <f aca="false">IFERROR(GETPIVOTDATA("Cuenta de ID_PUNTO",TD!$A$30,"ID_JUGADOR_1_EQUIPO_1",$L26),0)</f>
        <v>21</v>
      </c>
      <c r="R26" s="43" t="n">
        <f aca="false">IFERROR(GETPIVOTDATA("Cuenta de ID_PUNTO",TD!$G$30,"ID_JUGADOR_2_EQUIPO_1",$L26),0)</f>
        <v>10</v>
      </c>
      <c r="S26" s="43" t="n">
        <f aca="false">IFERROR(GETPIVOTDATA("Cuenta de ID_PUNTO",TD!$M$30,"ID_JUGADOR_1_EQUIPO_2",$L26),0)</f>
        <v>0</v>
      </c>
      <c r="T26" s="43" t="n">
        <f aca="false">IFERROR(GETPIVOTDATA("Cuenta de ID_PUNTO",TD!$S$30,"ID_JUGADOR_2_EQUIPO_2",$L26),0)</f>
        <v>0</v>
      </c>
      <c r="U26" s="43" t="n">
        <f aca="false">SUM(M26:T26)</f>
        <v>52</v>
      </c>
      <c r="Y26" s="42" t="s">
        <v>41</v>
      </c>
      <c r="Z26" s="43" t="n">
        <f aca="false">VLOOKUP(Y26,$A$6:$J$42,10,FALSE())</f>
        <v>21</v>
      </c>
      <c r="AA26" s="44" t="n">
        <f aca="false">VLOOKUP(Y26,$L$6:$U$42,10,FALSE())</f>
        <v>42</v>
      </c>
      <c r="AB26" s="45" t="n">
        <f aca="false">Z26/AA26</f>
        <v>0.5</v>
      </c>
    </row>
    <row r="27" customFormat="false" ht="14.25" hidden="false" customHeight="false" outlineLevel="0" collapsed="false">
      <c r="A27" s="42" t="s">
        <v>42</v>
      </c>
      <c r="B27" s="43" t="n">
        <f aca="false">IFERROR(GETPIVOTDATA("Suma de PUNTO_EQUIPO_1",TD!$A$3,"ID_JUGADOR_1_EQUIPO_1",$A27),0)</f>
        <v>3</v>
      </c>
      <c r="C27" s="43" t="n">
        <f aca="false">IFERROR(GETPIVOTDATA("Suma de PUNTO_EQUIPO_1",TD!$G$3,"ID_JUGADOR_2_EQUIPO_1",$A27),0)</f>
        <v>0</v>
      </c>
      <c r="D27" s="43" t="n">
        <f aca="false">IFERROR(GETPIVOTDATA("Suma de PUNTO_EQUIPO_2",TD!$M$3,"ID_JUGADOR_1_EQUIPO_2",$A27),0)</f>
        <v>0</v>
      </c>
      <c r="E27" s="43" t="n">
        <f aca="false">IFERROR(GETPIVOTDATA("Suma de PUNTO_EQUIPO_2",TD!$S$3,"ID_JUGADOR_2_EQUIPO_2",$A27),0)</f>
        <v>0</v>
      </c>
      <c r="F27" s="43" t="n">
        <f aca="false">IFERROR(GETPIVOTDATA("Suma de PUNTO_EQUIPO_1",TD!$A$30,"ID_JUGADOR_1_EQUIPO_1",$A27),0)</f>
        <v>8</v>
      </c>
      <c r="G27" s="43" t="n">
        <f aca="false">IFERROR(GETPIVOTDATA("Suma de PUNTO_EQUIPO_1",TD!$G$30,"ID_JUGADOR_2_EQUIPO_1",$A27),0)</f>
        <v>6</v>
      </c>
      <c r="H27" s="43" t="n">
        <f aca="false">IFERROR(GETPIVOTDATA("Suma de PUNTO_EQUIPO_2",TD!$M$30,"ID_JUGADOR_1_EQUIPO_2",$A27),0)</f>
        <v>4</v>
      </c>
      <c r="I27" s="43" t="n">
        <f aca="false">IFERROR(GETPIVOTDATA("Suma de PUNTO_EQUIPO_2",TD!$S$30,"ID_JUGADOR_2_EQUIPO_2",$A27),0)</f>
        <v>6</v>
      </c>
      <c r="J27" s="43" t="n">
        <f aca="false">SUM(B27:I27)</f>
        <v>27</v>
      </c>
      <c r="L27" s="42" t="s">
        <v>42</v>
      </c>
      <c r="M27" s="43" t="n">
        <f aca="false">IFERROR(GETPIVOTDATA("Cuenta de ID_PUNTO",TD!$A$3,"ID_JUGADOR_1_EQUIPO_1",$L27),0)</f>
        <v>10</v>
      </c>
      <c r="N27" s="43" t="n">
        <f aca="false">IFERROR(GETPIVOTDATA("Cuenta de ID_PUNTO",TD!$G$3,"ID_JUGADOR_2_EQUIPO_1",$L27),0)</f>
        <v>0</v>
      </c>
      <c r="O27" s="43" t="n">
        <f aca="false">IFERROR(GETPIVOTDATA("Cuenta de ID_PUNTO",TD!$M$3,"ID_JUGADOR_1_EQUIPO_2",$L27),0)</f>
        <v>0</v>
      </c>
      <c r="P27" s="43" t="n">
        <f aca="false">IFERROR(GETPIVOTDATA("Cuenta de ID_PUNTO",TD!$S$3,"ID_JUGADOR_2_EQUIPO_2",$L27),0)</f>
        <v>0</v>
      </c>
      <c r="Q27" s="43" t="n">
        <f aca="false">IFERROR(GETPIVOTDATA("Cuenta de ID_PUNTO",TD!$A$30,"ID_JUGADOR_1_EQUIPO_1",$L27),0)</f>
        <v>18</v>
      </c>
      <c r="R27" s="43" t="n">
        <f aca="false">IFERROR(GETPIVOTDATA("Cuenta de ID_PUNTO",TD!$G$30,"ID_JUGADOR_2_EQUIPO_1",$L27),0)</f>
        <v>13</v>
      </c>
      <c r="S27" s="43" t="n">
        <f aca="false">IFERROR(GETPIVOTDATA("Cuenta de ID_PUNTO",TD!$M$30,"ID_JUGADOR_1_EQUIPO_2",$L27),0)</f>
        <v>18</v>
      </c>
      <c r="T27" s="43" t="n">
        <f aca="false">IFERROR(GETPIVOTDATA("Cuenta de ID_PUNTO",TD!$S$30,"ID_JUGADOR_2_EQUIPO_2",$L27),0)</f>
        <v>13</v>
      </c>
      <c r="U27" s="43" t="n">
        <f aca="false">SUM(M27:T27)</f>
        <v>72</v>
      </c>
      <c r="Y27" s="42" t="s">
        <v>43</v>
      </c>
      <c r="Z27" s="43" t="n">
        <f aca="false">VLOOKUP(Y27,$A$6:$J$42,10,FALSE())</f>
        <v>15</v>
      </c>
      <c r="AA27" s="44" t="n">
        <f aca="false">VLOOKUP(Y27,$L$6:$U$42,10,FALSE())</f>
        <v>32</v>
      </c>
      <c r="AB27" s="45" t="n">
        <f aca="false">Z27/AA27</f>
        <v>0.46875</v>
      </c>
    </row>
    <row r="28" customFormat="false" ht="14.25" hidden="false" customHeight="false" outlineLevel="0" collapsed="false">
      <c r="A28" s="42" t="s">
        <v>24</v>
      </c>
      <c r="B28" s="43" t="n">
        <f aca="false">IFERROR(GETPIVOTDATA("Suma de PUNTO_EQUIPO_1",TD!$A$3,"ID_JUGADOR_1_EQUIPO_1",$A28),0)</f>
        <v>0</v>
      </c>
      <c r="C28" s="43" t="n">
        <f aca="false">IFERROR(GETPIVOTDATA("Suma de PUNTO_EQUIPO_1",TD!$G$3,"ID_JUGADOR_2_EQUIPO_1",$A28),0)</f>
        <v>2</v>
      </c>
      <c r="D28" s="43" t="n">
        <f aca="false">IFERROR(GETPIVOTDATA("Suma de PUNTO_EQUIPO_2",TD!$M$3,"ID_JUGADOR_1_EQUIPO_2",$A28),0)</f>
        <v>7</v>
      </c>
      <c r="E28" s="43" t="n">
        <f aca="false">IFERROR(GETPIVOTDATA("Suma de PUNTO_EQUIPO_2",TD!$S$3,"ID_JUGADOR_2_EQUIPO_2",$A28),0)</f>
        <v>10</v>
      </c>
      <c r="F28" s="43" t="n">
        <f aca="false">IFERROR(GETPIVOTDATA("Suma de PUNTO_EQUIPO_1",TD!$A$30,"ID_JUGADOR_1_EQUIPO_1",$A28),0)</f>
        <v>6</v>
      </c>
      <c r="G28" s="43" t="n">
        <f aca="false">IFERROR(GETPIVOTDATA("Suma de PUNTO_EQUIPO_1",TD!$G$30,"ID_JUGADOR_2_EQUIPO_1",$A28),0)</f>
        <v>0</v>
      </c>
      <c r="H28" s="43" t="n">
        <f aca="false">IFERROR(GETPIVOTDATA("Suma de PUNTO_EQUIPO_2",TD!$M$30,"ID_JUGADOR_1_EQUIPO_2",$A28),0)</f>
        <v>7</v>
      </c>
      <c r="I28" s="43" t="n">
        <f aca="false">IFERROR(GETPIVOTDATA("Suma de PUNTO_EQUIPO_2",TD!$S$30,"ID_JUGADOR_2_EQUIPO_2",$A28),0)</f>
        <v>0</v>
      </c>
      <c r="J28" s="43" t="n">
        <f aca="false">SUM(B28:I28)</f>
        <v>32</v>
      </c>
      <c r="L28" s="42" t="s">
        <v>24</v>
      </c>
      <c r="M28" s="43" t="n">
        <f aca="false">IFERROR(GETPIVOTDATA("Cuenta de ID_PUNTO",TD!$A$3,"ID_JUGADOR_1_EQUIPO_1",$L28),0)</f>
        <v>0</v>
      </c>
      <c r="N28" s="43" t="n">
        <f aca="false">IFERROR(GETPIVOTDATA("Cuenta de ID_PUNTO",TD!$G$3,"ID_JUGADOR_2_EQUIPO_1",$L28),0)</f>
        <v>9</v>
      </c>
      <c r="O28" s="43" t="n">
        <f aca="false">IFERROR(GETPIVOTDATA("Cuenta de ID_PUNTO",TD!$M$3,"ID_JUGADOR_1_EQUIPO_2",$L28),0)</f>
        <v>12</v>
      </c>
      <c r="P28" s="43" t="n">
        <f aca="false">IFERROR(GETPIVOTDATA("Cuenta de ID_PUNTO",TD!$S$3,"ID_JUGADOR_2_EQUIPO_2",$L28),0)</f>
        <v>23</v>
      </c>
      <c r="Q28" s="43" t="n">
        <f aca="false">IFERROR(GETPIVOTDATA("Cuenta de ID_PUNTO",TD!$A$30,"ID_JUGADOR_1_EQUIPO_1",$L28),0)</f>
        <v>13</v>
      </c>
      <c r="R28" s="43" t="n">
        <f aca="false">IFERROR(GETPIVOTDATA("Cuenta de ID_PUNTO",TD!$G$30,"ID_JUGADOR_2_EQUIPO_1",$L28),0)</f>
        <v>0</v>
      </c>
      <c r="S28" s="43" t="n">
        <f aca="false">IFERROR(GETPIVOTDATA("Cuenta de ID_PUNTO",TD!$M$30,"ID_JUGADOR_1_EQUIPO_2",$L28),0)</f>
        <v>13</v>
      </c>
      <c r="T28" s="43" t="n">
        <f aca="false">IFERROR(GETPIVOTDATA("Cuenta de ID_PUNTO",TD!$S$30,"ID_JUGADOR_2_EQUIPO_2",$L28),0)</f>
        <v>7</v>
      </c>
      <c r="U28" s="43" t="n">
        <f aca="false">SUM(M28:T28)</f>
        <v>77</v>
      </c>
      <c r="Y28" s="42" t="s">
        <v>32</v>
      </c>
      <c r="Z28" s="43" t="n">
        <f aca="false">VLOOKUP(Y28,$A$6:$J$42,10,FALSE())</f>
        <v>33</v>
      </c>
      <c r="AA28" s="44" t="n">
        <f aca="false">VLOOKUP(Y28,$L$6:$U$42,10,FALSE())</f>
        <v>71</v>
      </c>
      <c r="AB28" s="45" t="n">
        <f aca="false">Z28/AA28</f>
        <v>0.464788732394366</v>
      </c>
    </row>
    <row r="29" customFormat="false" ht="14.25" hidden="false" customHeight="false" outlineLevel="0" collapsed="false">
      <c r="A29" s="42" t="s">
        <v>48</v>
      </c>
      <c r="B29" s="43" t="n">
        <f aca="false">IFERROR(GETPIVOTDATA("Suma de PUNTO_EQUIPO_1",TD!$A$3,"ID_JUGADOR_1_EQUIPO_1",$A29),0)</f>
        <v>0</v>
      </c>
      <c r="C29" s="43" t="n">
        <f aca="false">IFERROR(GETPIVOTDATA("Suma de PUNTO_EQUIPO_1",TD!$G$3,"ID_JUGADOR_2_EQUIPO_1",$A29),0)</f>
        <v>10</v>
      </c>
      <c r="D29" s="43" t="n">
        <f aca="false">IFERROR(GETPIVOTDATA("Suma de PUNTO_EQUIPO_2",TD!$M$3,"ID_JUGADOR_1_EQUIPO_2",$A29),0)</f>
        <v>3</v>
      </c>
      <c r="E29" s="43" t="n">
        <f aca="false">IFERROR(GETPIVOTDATA("Suma de PUNTO_EQUIPO_2",TD!$S$3,"ID_JUGADOR_2_EQUIPO_2",$A29),0)</f>
        <v>0</v>
      </c>
      <c r="F29" s="43" t="n">
        <f aca="false">IFERROR(GETPIVOTDATA("Suma de PUNTO_EQUIPO_1",TD!$A$30,"ID_JUGADOR_1_EQUIPO_1",$A29),0)</f>
        <v>14</v>
      </c>
      <c r="G29" s="43" t="n">
        <f aca="false">IFERROR(GETPIVOTDATA("Suma de PUNTO_EQUIPO_1",TD!$G$30,"ID_JUGADOR_2_EQUIPO_1",$A29),0)</f>
        <v>0</v>
      </c>
      <c r="H29" s="43" t="n">
        <f aca="false">IFERROR(GETPIVOTDATA("Suma de PUNTO_EQUIPO_2",TD!$M$30,"ID_JUGADOR_1_EQUIPO_2",$A29),0)</f>
        <v>3</v>
      </c>
      <c r="I29" s="43" t="n">
        <f aca="false">IFERROR(GETPIVOTDATA("Suma de PUNTO_EQUIPO_2",TD!$S$30,"ID_JUGADOR_2_EQUIPO_2",$A29),0)</f>
        <v>8</v>
      </c>
      <c r="J29" s="43" t="n">
        <f aca="false">SUM(B29:I29)</f>
        <v>38</v>
      </c>
      <c r="L29" s="42" t="s">
        <v>48</v>
      </c>
      <c r="M29" s="43" t="n">
        <f aca="false">IFERROR(GETPIVOTDATA("Cuenta de ID_PUNTO",TD!$A$3,"ID_JUGADOR_1_EQUIPO_1",$L29),0)</f>
        <v>0</v>
      </c>
      <c r="N29" s="43" t="n">
        <f aca="false">IFERROR(GETPIVOTDATA("Cuenta de ID_PUNTO",TD!$G$3,"ID_JUGADOR_2_EQUIPO_1",$L29),0)</f>
        <v>24</v>
      </c>
      <c r="O29" s="43" t="n">
        <f aca="false">IFERROR(GETPIVOTDATA("Cuenta de ID_PUNTO",TD!$M$3,"ID_JUGADOR_1_EQUIPO_2",$L29),0)</f>
        <v>10</v>
      </c>
      <c r="P29" s="43" t="n">
        <f aca="false">IFERROR(GETPIVOTDATA("Cuenta de ID_PUNTO",TD!$S$3,"ID_JUGADOR_2_EQUIPO_2",$L29),0)</f>
        <v>0</v>
      </c>
      <c r="Q29" s="43" t="n">
        <f aca="false">IFERROR(GETPIVOTDATA("Cuenta de ID_PUNTO",TD!$A$30,"ID_JUGADOR_1_EQUIPO_1",$L29),0)</f>
        <v>22</v>
      </c>
      <c r="R29" s="43" t="n">
        <f aca="false">IFERROR(GETPIVOTDATA("Cuenta de ID_PUNTO",TD!$G$30,"ID_JUGADOR_2_EQUIPO_1",$L29),0)</f>
        <v>0</v>
      </c>
      <c r="S29" s="43" t="n">
        <f aca="false">IFERROR(GETPIVOTDATA("Cuenta de ID_PUNTO",TD!$M$30,"ID_JUGADOR_1_EQUIPO_2",$L29),0)</f>
        <v>10</v>
      </c>
      <c r="T29" s="43" t="n">
        <f aca="false">IFERROR(GETPIVOTDATA("Cuenta de ID_PUNTO",TD!$S$30,"ID_JUGADOR_2_EQUIPO_2",$L29),0)</f>
        <v>22</v>
      </c>
      <c r="U29" s="43" t="n">
        <f aca="false">SUM(M29:T29)</f>
        <v>88</v>
      </c>
      <c r="Y29" s="42" t="s">
        <v>29</v>
      </c>
      <c r="Z29" s="43" t="n">
        <f aca="false">VLOOKUP(Y29,$A$6:$J$42,10,FALSE())</f>
        <v>19</v>
      </c>
      <c r="AA29" s="44" t="n">
        <f aca="false">VLOOKUP(Y29,$L$6:$U$42,10,FALSE())</f>
        <v>41</v>
      </c>
      <c r="AB29" s="45" t="n">
        <f aca="false">Z29/AA29</f>
        <v>0.463414634146342</v>
      </c>
    </row>
    <row r="30" customFormat="false" ht="14.25" hidden="false" customHeight="false" outlineLevel="0" collapsed="false">
      <c r="A30" s="42" t="s">
        <v>52</v>
      </c>
      <c r="B30" s="43" t="n">
        <f aca="false">IFERROR(GETPIVOTDATA("Suma de PUNTO_EQUIPO_1",TD!$A$3,"ID_JUGADOR_1_EQUIPO_1",$A30),0)</f>
        <v>0</v>
      </c>
      <c r="C30" s="43" t="n">
        <f aca="false">IFERROR(GETPIVOTDATA("Suma de PUNTO_EQUIPO_1",TD!$G$3,"ID_JUGADOR_2_EQUIPO_1",$A30),0)</f>
        <v>0</v>
      </c>
      <c r="D30" s="43" t="n">
        <f aca="false">IFERROR(GETPIVOTDATA("Suma de PUNTO_EQUIPO_2",TD!$M$3,"ID_JUGADOR_1_EQUIPO_2",$A30),0)</f>
        <v>0</v>
      </c>
      <c r="E30" s="43" t="n">
        <f aca="false">IFERROR(GETPIVOTDATA("Suma de PUNTO_EQUIPO_2",TD!$S$3,"ID_JUGADOR_2_EQUIPO_2",$A30),0)</f>
        <v>0</v>
      </c>
      <c r="F30" s="43" t="n">
        <f aca="false">IFERROR(GETPIVOTDATA("Suma de PUNTO_EQUIPO_1",TD!$A$30,"ID_JUGADOR_1_EQUIPO_1",$A30),0)</f>
        <v>0</v>
      </c>
      <c r="G30" s="43" t="n">
        <f aca="false">IFERROR(GETPIVOTDATA("Suma de PUNTO_EQUIPO_1",TD!$G$30,"ID_JUGADOR_2_EQUIPO_1",$A30),0)</f>
        <v>0</v>
      </c>
      <c r="H30" s="43" t="n">
        <f aca="false">IFERROR(GETPIVOTDATA("Suma de PUNTO_EQUIPO_2",TD!$M$30,"ID_JUGADOR_1_EQUIPO_2",$A30),0)</f>
        <v>3</v>
      </c>
      <c r="I30" s="43" t="n">
        <f aca="false">IFERROR(GETPIVOTDATA("Suma de PUNTO_EQUIPO_2",TD!$S$30,"ID_JUGADOR_2_EQUIPO_2",$A30),0)</f>
        <v>7</v>
      </c>
      <c r="J30" s="43" t="n">
        <f aca="false">SUM(B30:I30)</f>
        <v>10</v>
      </c>
      <c r="L30" s="42" t="s">
        <v>52</v>
      </c>
      <c r="M30" s="43" t="n">
        <f aca="false">IFERROR(GETPIVOTDATA("Cuenta de ID_PUNTO",TD!$A$3,"ID_JUGADOR_1_EQUIPO_1",$L30),0)</f>
        <v>0</v>
      </c>
      <c r="N30" s="43" t="n">
        <f aca="false">IFERROR(GETPIVOTDATA("Cuenta de ID_PUNTO",TD!$G$3,"ID_JUGADOR_2_EQUIPO_1",$L30),0)</f>
        <v>0</v>
      </c>
      <c r="O30" s="43" t="n">
        <f aca="false">IFERROR(GETPIVOTDATA("Cuenta de ID_PUNTO",TD!$M$3,"ID_JUGADOR_1_EQUIPO_2",$L30),0)</f>
        <v>0</v>
      </c>
      <c r="P30" s="43" t="n">
        <f aca="false">IFERROR(GETPIVOTDATA("Cuenta de ID_PUNTO",TD!$S$3,"ID_JUGADOR_2_EQUIPO_2",$L30),0)</f>
        <v>0</v>
      </c>
      <c r="Q30" s="43" t="n">
        <f aca="false">IFERROR(GETPIVOTDATA("Cuenta de ID_PUNTO",TD!$A$30,"ID_JUGADOR_1_EQUIPO_1",$L30),0)</f>
        <v>0</v>
      </c>
      <c r="R30" s="43" t="n">
        <f aca="false">IFERROR(GETPIVOTDATA("Cuenta de ID_PUNTO",TD!$G$30,"ID_JUGADOR_2_EQUIPO_1",$L30),0)</f>
        <v>0</v>
      </c>
      <c r="S30" s="43" t="n">
        <f aca="false">IFERROR(GETPIVOTDATA("Cuenta de ID_PUNTO",TD!$M$30,"ID_JUGADOR_1_EQUIPO_2",$L30),0)</f>
        <v>10</v>
      </c>
      <c r="T30" s="43" t="n">
        <f aca="false">IFERROR(GETPIVOTDATA("Cuenta de ID_PUNTO",TD!$S$30,"ID_JUGADOR_2_EQUIPO_2",$L30),0)</f>
        <v>13</v>
      </c>
      <c r="U30" s="43" t="n">
        <f aca="false">SUM(M30:T30)</f>
        <v>23</v>
      </c>
      <c r="Y30" s="42" t="s">
        <v>30</v>
      </c>
      <c r="Z30" s="43" t="n">
        <f aca="false">VLOOKUP(Y30,$A$6:$J$42,10,FALSE())</f>
        <v>18</v>
      </c>
      <c r="AA30" s="44" t="n">
        <f aca="false">VLOOKUP(Y30,$L$6:$U$42,10,FALSE())</f>
        <v>39</v>
      </c>
      <c r="AB30" s="45" t="n">
        <f aca="false">Z30/AA30</f>
        <v>0.461538461538462</v>
      </c>
    </row>
    <row r="31" customFormat="false" ht="14.25" hidden="false" customHeight="false" outlineLevel="0" collapsed="false">
      <c r="A31" s="42" t="s">
        <v>28</v>
      </c>
      <c r="B31" s="43" t="n">
        <f aca="false">IFERROR(GETPIVOTDATA("Suma de PUNTO_EQUIPO_1",TD!$A$3,"ID_JUGADOR_1_EQUIPO_1",$A31),0)</f>
        <v>0</v>
      </c>
      <c r="C31" s="43" t="n">
        <f aca="false">IFERROR(GETPIVOTDATA("Suma de PUNTO_EQUIPO_1",TD!$G$3,"ID_JUGADOR_2_EQUIPO_1",$A31),0)</f>
        <v>0</v>
      </c>
      <c r="D31" s="43" t="n">
        <f aca="false">IFERROR(GETPIVOTDATA("Suma de PUNTO_EQUIPO_2",TD!$M$3,"ID_JUGADOR_1_EQUIPO_2",$A31),0)</f>
        <v>0</v>
      </c>
      <c r="E31" s="43" t="n">
        <f aca="false">IFERROR(GETPIVOTDATA("Suma de PUNTO_EQUIPO_2",TD!$S$3,"ID_JUGADOR_2_EQUIPO_2",$A31),0)</f>
        <v>4</v>
      </c>
      <c r="F31" s="43" t="n">
        <f aca="false">IFERROR(GETPIVOTDATA("Suma de PUNTO_EQUIPO_1",TD!$A$30,"ID_JUGADOR_1_EQUIPO_1",$A31),0)</f>
        <v>0</v>
      </c>
      <c r="G31" s="43" t="n">
        <f aca="false">IFERROR(GETPIVOTDATA("Suma de PUNTO_EQUIPO_1",TD!$G$30,"ID_JUGADOR_2_EQUIPO_1",$A31),0)</f>
        <v>0</v>
      </c>
      <c r="H31" s="43" t="n">
        <f aca="false">IFERROR(GETPIVOTDATA("Suma de PUNTO_EQUIPO_2",TD!$M$30,"ID_JUGADOR_1_EQUIPO_2",$A31),0)</f>
        <v>0</v>
      </c>
      <c r="I31" s="43" t="n">
        <f aca="false">IFERROR(GETPIVOTDATA("Suma de PUNTO_EQUIPO_2",TD!$S$30,"ID_JUGADOR_2_EQUIPO_2",$A31),0)</f>
        <v>0</v>
      </c>
      <c r="J31" s="43" t="n">
        <f aca="false">SUM(B31:I31)</f>
        <v>4</v>
      </c>
      <c r="L31" s="42" t="s">
        <v>28</v>
      </c>
      <c r="M31" s="43" t="n">
        <f aca="false">IFERROR(GETPIVOTDATA("Cuenta de ID_PUNTO",TD!$A$3,"ID_JUGADOR_1_EQUIPO_1",$L31),0)</f>
        <v>0</v>
      </c>
      <c r="N31" s="43" t="n">
        <f aca="false">IFERROR(GETPIVOTDATA("Cuenta de ID_PUNTO",TD!$G$3,"ID_JUGADOR_2_EQUIPO_1",$L31),0)</f>
        <v>0</v>
      </c>
      <c r="O31" s="43" t="n">
        <f aca="false">IFERROR(GETPIVOTDATA("Cuenta de ID_PUNTO",TD!$M$3,"ID_JUGADOR_1_EQUIPO_2",$L31),0)</f>
        <v>0</v>
      </c>
      <c r="P31" s="43" t="n">
        <f aca="false">IFERROR(GETPIVOTDATA("Cuenta de ID_PUNTO",TD!$S$3,"ID_JUGADOR_2_EQUIPO_2",$L31),0)</f>
        <v>11</v>
      </c>
      <c r="Q31" s="43" t="n">
        <f aca="false">IFERROR(GETPIVOTDATA("Cuenta de ID_PUNTO",TD!$A$30,"ID_JUGADOR_1_EQUIPO_1",$L31),0)</f>
        <v>0</v>
      </c>
      <c r="R31" s="43" t="n">
        <f aca="false">IFERROR(GETPIVOTDATA("Cuenta de ID_PUNTO",TD!$G$30,"ID_JUGADOR_2_EQUIPO_1",$L31),0)</f>
        <v>0</v>
      </c>
      <c r="S31" s="43" t="n">
        <f aca="false">IFERROR(GETPIVOTDATA("Cuenta de ID_PUNTO",TD!$M$30,"ID_JUGADOR_1_EQUIPO_2",$L31),0)</f>
        <v>0</v>
      </c>
      <c r="T31" s="43" t="n">
        <f aca="false">IFERROR(GETPIVOTDATA("Cuenta de ID_PUNTO",TD!$S$30,"ID_JUGADOR_2_EQUIPO_2",$L31),0)</f>
        <v>0</v>
      </c>
      <c r="U31" s="43" t="n">
        <f aca="false">SUM(M31:T31)</f>
        <v>11</v>
      </c>
      <c r="Y31" s="42" t="s">
        <v>39</v>
      </c>
      <c r="Z31" s="43" t="n">
        <f aca="false">VLOOKUP(Y31,$A$6:$J$42,10,FALSE())</f>
        <v>26</v>
      </c>
      <c r="AA31" s="44" t="n">
        <f aca="false">VLOOKUP(Y31,$L$6:$U$42,10,FALSE())</f>
        <v>57</v>
      </c>
      <c r="AB31" s="45" t="n">
        <f aca="false">Z31/AA31</f>
        <v>0.456140350877193</v>
      </c>
    </row>
    <row r="32" customFormat="false" ht="14.25" hidden="false" customHeight="false" outlineLevel="0" collapsed="false">
      <c r="A32" s="42" t="s">
        <v>27</v>
      </c>
      <c r="B32" s="43" t="n">
        <f aca="false">IFERROR(GETPIVOTDATA("Suma de PUNTO_EQUIPO_1",TD!$A$3,"ID_JUGADOR_1_EQUIPO_1",$A32),0)</f>
        <v>0</v>
      </c>
      <c r="C32" s="43" t="n">
        <f aca="false">IFERROR(GETPIVOTDATA("Suma de PUNTO_EQUIPO_1",TD!$G$3,"ID_JUGADOR_2_EQUIPO_1",$A32),0)</f>
        <v>14</v>
      </c>
      <c r="D32" s="43" t="n">
        <f aca="false">IFERROR(GETPIVOTDATA("Suma de PUNTO_EQUIPO_2",TD!$M$3,"ID_JUGADOR_1_EQUIPO_2",$A32),0)</f>
        <v>11</v>
      </c>
      <c r="E32" s="43" t="n">
        <f aca="false">IFERROR(GETPIVOTDATA("Suma de PUNTO_EQUIPO_2",TD!$S$3,"ID_JUGADOR_2_EQUIPO_2",$A32),0)</f>
        <v>3</v>
      </c>
      <c r="F32" s="43" t="n">
        <f aca="false">IFERROR(GETPIVOTDATA("Suma de PUNTO_EQUIPO_1",TD!$A$30,"ID_JUGADOR_1_EQUIPO_1",$A32),0)</f>
        <v>0</v>
      </c>
      <c r="G32" s="43" t="n">
        <f aca="false">IFERROR(GETPIVOTDATA("Suma de PUNTO_EQUIPO_1",TD!$G$30,"ID_JUGADOR_2_EQUIPO_1",$A32),0)</f>
        <v>0</v>
      </c>
      <c r="H32" s="43" t="n">
        <f aca="false">IFERROR(GETPIVOTDATA("Suma de PUNTO_EQUIPO_2",TD!$M$30,"ID_JUGADOR_1_EQUIPO_2",$A32),0)</f>
        <v>3</v>
      </c>
      <c r="I32" s="43" t="n">
        <f aca="false">IFERROR(GETPIVOTDATA("Suma de PUNTO_EQUIPO_2",TD!$S$30,"ID_JUGADOR_2_EQUIPO_2",$A32),0)</f>
        <v>0</v>
      </c>
      <c r="J32" s="43" t="n">
        <f aca="false">SUM(B32:I32)</f>
        <v>31</v>
      </c>
      <c r="L32" s="42" t="s">
        <v>27</v>
      </c>
      <c r="M32" s="43" t="n">
        <f aca="false">IFERROR(GETPIVOTDATA("Cuenta de ID_PUNTO",TD!$A$3,"ID_JUGADOR_1_EQUIPO_1",$L32),0)</f>
        <v>0</v>
      </c>
      <c r="N32" s="43" t="n">
        <f aca="false">IFERROR(GETPIVOTDATA("Cuenta de ID_PUNTO",TD!$G$3,"ID_JUGADOR_2_EQUIPO_1",$L32),0)</f>
        <v>21</v>
      </c>
      <c r="O32" s="43" t="n">
        <f aca="false">IFERROR(GETPIVOTDATA("Cuenta de ID_PUNTO",TD!$M$3,"ID_JUGADOR_1_EQUIPO_2",$L32),0)</f>
        <v>21</v>
      </c>
      <c r="P32" s="43" t="n">
        <f aca="false">IFERROR(GETPIVOTDATA("Cuenta de ID_PUNTO",TD!$S$3,"ID_JUGADOR_2_EQUIPO_2",$L32),0)</f>
        <v>10</v>
      </c>
      <c r="Q32" s="43" t="n">
        <f aca="false">IFERROR(GETPIVOTDATA("Cuenta de ID_PUNTO",TD!$A$30,"ID_JUGADOR_1_EQUIPO_1",$L32),0)</f>
        <v>0</v>
      </c>
      <c r="R32" s="43" t="n">
        <f aca="false">IFERROR(GETPIVOTDATA("Cuenta de ID_PUNTO",TD!$G$30,"ID_JUGADOR_2_EQUIPO_1",$L32),0)</f>
        <v>0</v>
      </c>
      <c r="S32" s="43" t="n">
        <f aca="false">IFERROR(GETPIVOTDATA("Cuenta de ID_PUNTO",TD!$M$30,"ID_JUGADOR_1_EQUIPO_2",$L32),0)</f>
        <v>10</v>
      </c>
      <c r="T32" s="43" t="n">
        <f aca="false">IFERROR(GETPIVOTDATA("Cuenta de ID_PUNTO",TD!$S$30,"ID_JUGADOR_2_EQUIPO_2",$L32),0)</f>
        <v>0</v>
      </c>
      <c r="U32" s="43" t="n">
        <f aca="false">SUM(M32:T32)</f>
        <v>62</v>
      </c>
      <c r="Y32" s="42" t="s">
        <v>52</v>
      </c>
      <c r="Z32" s="43" t="n">
        <f aca="false">VLOOKUP(Y32,$A$6:$J$42,10,FALSE())</f>
        <v>10</v>
      </c>
      <c r="AA32" s="44" t="n">
        <f aca="false">VLOOKUP(Y32,$L$6:$U$42,10,FALSE())</f>
        <v>23</v>
      </c>
      <c r="AB32" s="45" t="n">
        <f aca="false">Z32/AA32</f>
        <v>0.434782608695652</v>
      </c>
    </row>
    <row r="33" customFormat="false" ht="14.25" hidden="false" customHeight="false" outlineLevel="0" collapsed="false">
      <c r="A33" s="42" t="s">
        <v>44</v>
      </c>
      <c r="B33" s="43" t="n">
        <f aca="false">IFERROR(GETPIVOTDATA("Suma de PUNTO_EQUIPO_1",TD!$A$3,"ID_JUGADOR_1_EQUIPO_1",$A33),0)</f>
        <v>3</v>
      </c>
      <c r="C33" s="43" t="n">
        <f aca="false">IFERROR(GETPIVOTDATA("Suma de PUNTO_EQUIPO_1",TD!$G$3,"ID_JUGADOR_2_EQUIPO_1",$A33),0)</f>
        <v>0</v>
      </c>
      <c r="D33" s="43" t="n">
        <f aca="false">IFERROR(GETPIVOTDATA("Suma de PUNTO_EQUIPO_2",TD!$M$3,"ID_JUGADOR_1_EQUIPO_2",$A33),0)</f>
        <v>0</v>
      </c>
      <c r="E33" s="43" t="n">
        <f aca="false">IFERROR(GETPIVOTDATA("Suma de PUNTO_EQUIPO_2",TD!$S$3,"ID_JUGADOR_2_EQUIPO_2",$A33),0)</f>
        <v>0</v>
      </c>
      <c r="F33" s="43" t="n">
        <f aca="false">IFERROR(GETPIVOTDATA("Suma de PUNTO_EQUIPO_1",TD!$A$30,"ID_JUGADOR_1_EQUIPO_1",$A33),0)</f>
        <v>0</v>
      </c>
      <c r="G33" s="43" t="n">
        <f aca="false">IFERROR(GETPIVOTDATA("Suma de PUNTO_EQUIPO_1",TD!$G$30,"ID_JUGADOR_2_EQUIPO_1",$A33),0)</f>
        <v>0</v>
      </c>
      <c r="H33" s="43" t="n">
        <f aca="false">IFERROR(GETPIVOTDATA("Suma de PUNTO_EQUIPO_2",TD!$M$30,"ID_JUGADOR_1_EQUIPO_2",$A33),0)</f>
        <v>0</v>
      </c>
      <c r="I33" s="43" t="n">
        <f aca="false">IFERROR(GETPIVOTDATA("Suma de PUNTO_EQUIPO_2",TD!$S$30,"ID_JUGADOR_2_EQUIPO_2",$A33),0)</f>
        <v>0</v>
      </c>
      <c r="J33" s="43" t="n">
        <f aca="false">SUM(B33:I33)</f>
        <v>3</v>
      </c>
      <c r="L33" s="42" t="s">
        <v>44</v>
      </c>
      <c r="M33" s="43" t="n">
        <f aca="false">IFERROR(GETPIVOTDATA("Cuenta de ID_PUNTO",TD!$A$3,"ID_JUGADOR_1_EQUIPO_1",$L33),0)</f>
        <v>10</v>
      </c>
      <c r="N33" s="43" t="n">
        <f aca="false">IFERROR(GETPIVOTDATA("Cuenta de ID_PUNTO",TD!$G$3,"ID_JUGADOR_2_EQUIPO_1",$L33),0)</f>
        <v>0</v>
      </c>
      <c r="O33" s="43" t="n">
        <f aca="false">IFERROR(GETPIVOTDATA("Cuenta de ID_PUNTO",TD!$M$3,"ID_JUGADOR_1_EQUIPO_2",$L33),0)</f>
        <v>0</v>
      </c>
      <c r="P33" s="43" t="n">
        <f aca="false">IFERROR(GETPIVOTDATA("Cuenta de ID_PUNTO",TD!$S$3,"ID_JUGADOR_2_EQUIPO_2",$L33),0)</f>
        <v>0</v>
      </c>
      <c r="Q33" s="43" t="n">
        <f aca="false">IFERROR(GETPIVOTDATA("Cuenta de ID_PUNTO",TD!$A$30,"ID_JUGADOR_1_EQUIPO_1",$L33),0)</f>
        <v>0</v>
      </c>
      <c r="R33" s="43" t="n">
        <f aca="false">IFERROR(GETPIVOTDATA("Cuenta de ID_PUNTO",TD!$G$30,"ID_JUGADOR_2_EQUIPO_1",$L33),0)</f>
        <v>0</v>
      </c>
      <c r="S33" s="43" t="n">
        <f aca="false">IFERROR(GETPIVOTDATA("Cuenta de ID_PUNTO",TD!$M$30,"ID_JUGADOR_1_EQUIPO_2",$L33),0)</f>
        <v>0</v>
      </c>
      <c r="T33" s="43" t="n">
        <f aca="false">IFERROR(GETPIVOTDATA("Cuenta de ID_PUNTO",TD!$S$30,"ID_JUGADOR_2_EQUIPO_2",$L33),0)</f>
        <v>0</v>
      </c>
      <c r="U33" s="43" t="n">
        <f aca="false">SUM(M33:T33)</f>
        <v>10</v>
      </c>
      <c r="Y33" s="42" t="s">
        <v>48</v>
      </c>
      <c r="Z33" s="43" t="n">
        <f aca="false">VLOOKUP(Y33,$A$6:$J$42,10,FALSE())</f>
        <v>38</v>
      </c>
      <c r="AA33" s="44" t="n">
        <f aca="false">VLOOKUP(Y33,$L$6:$U$42,10,FALSE())</f>
        <v>88</v>
      </c>
      <c r="AB33" s="45" t="n">
        <f aca="false">Z33/AA33</f>
        <v>0.431818181818182</v>
      </c>
    </row>
    <row r="34" customFormat="false" ht="14.25" hidden="false" customHeight="false" outlineLevel="0" collapsed="false">
      <c r="A34" s="42" t="s">
        <v>43</v>
      </c>
      <c r="B34" s="43" t="n">
        <f aca="false">IFERROR(GETPIVOTDATA("Suma de PUNTO_EQUIPO_1",TD!$A$3,"ID_JUGADOR_1_EQUIPO_1",$A34),0)</f>
        <v>0</v>
      </c>
      <c r="C34" s="43" t="n">
        <f aca="false">IFERROR(GETPIVOTDATA("Suma de PUNTO_EQUIPO_1",TD!$G$3,"ID_JUGADOR_2_EQUIPO_1",$A34),0)</f>
        <v>0</v>
      </c>
      <c r="D34" s="43" t="n">
        <f aca="false">IFERROR(GETPIVOTDATA("Suma de PUNTO_EQUIPO_2",TD!$M$3,"ID_JUGADOR_1_EQUIPO_2",$A34),0)</f>
        <v>0</v>
      </c>
      <c r="E34" s="43" t="n">
        <f aca="false">IFERROR(GETPIVOTDATA("Suma de PUNTO_EQUIPO_2",TD!$S$3,"ID_JUGADOR_2_EQUIPO_2",$A34),0)</f>
        <v>12</v>
      </c>
      <c r="F34" s="43" t="n">
        <f aca="false">IFERROR(GETPIVOTDATA("Suma de PUNTO_EQUIPO_1",TD!$A$30,"ID_JUGADOR_1_EQUIPO_1",$A34),0)</f>
        <v>3</v>
      </c>
      <c r="G34" s="43" t="n">
        <f aca="false">IFERROR(GETPIVOTDATA("Suma de PUNTO_EQUIPO_1",TD!$G$30,"ID_JUGADOR_2_EQUIPO_1",$A34),0)</f>
        <v>0</v>
      </c>
      <c r="H34" s="43" t="n">
        <f aca="false">IFERROR(GETPIVOTDATA("Suma de PUNTO_EQUIPO_2",TD!$M$30,"ID_JUGADOR_1_EQUIPO_2",$A34),0)</f>
        <v>0</v>
      </c>
      <c r="I34" s="43" t="n">
        <f aca="false">IFERROR(GETPIVOTDATA("Suma de PUNTO_EQUIPO_2",TD!$S$30,"ID_JUGADOR_2_EQUIPO_2",$A34),0)</f>
        <v>0</v>
      </c>
      <c r="J34" s="43" t="n">
        <f aca="false">SUM(B34:I34)</f>
        <v>15</v>
      </c>
      <c r="L34" s="42" t="s">
        <v>43</v>
      </c>
      <c r="M34" s="43" t="n">
        <f aca="false">IFERROR(GETPIVOTDATA("Cuenta de ID_PUNTO",TD!$A$3,"ID_JUGADOR_1_EQUIPO_1",$L34),0)</f>
        <v>0</v>
      </c>
      <c r="N34" s="43" t="n">
        <f aca="false">IFERROR(GETPIVOTDATA("Cuenta de ID_PUNTO",TD!$G$3,"ID_JUGADOR_2_EQUIPO_1",$L34),0)</f>
        <v>0</v>
      </c>
      <c r="O34" s="43" t="n">
        <f aca="false">IFERROR(GETPIVOTDATA("Cuenta de ID_PUNTO",TD!$M$3,"ID_JUGADOR_1_EQUIPO_2",$L34),0)</f>
        <v>0</v>
      </c>
      <c r="P34" s="43" t="n">
        <f aca="false">IFERROR(GETPIVOTDATA("Cuenta de ID_PUNTO",TD!$S$3,"ID_JUGADOR_2_EQUIPO_2",$L34),0)</f>
        <v>22</v>
      </c>
      <c r="Q34" s="43" t="n">
        <f aca="false">IFERROR(GETPIVOTDATA("Cuenta de ID_PUNTO",TD!$A$30,"ID_JUGADOR_1_EQUIPO_1",$L34),0)</f>
        <v>10</v>
      </c>
      <c r="R34" s="43" t="n">
        <f aca="false">IFERROR(GETPIVOTDATA("Cuenta de ID_PUNTO",TD!$G$30,"ID_JUGADOR_2_EQUIPO_1",$L34),0)</f>
        <v>0</v>
      </c>
      <c r="S34" s="43" t="n">
        <f aca="false">IFERROR(GETPIVOTDATA("Cuenta de ID_PUNTO",TD!$M$30,"ID_JUGADOR_1_EQUIPO_2",$L34),0)</f>
        <v>0</v>
      </c>
      <c r="T34" s="43" t="n">
        <f aca="false">IFERROR(GETPIVOTDATA("Cuenta de ID_PUNTO",TD!$S$30,"ID_JUGADOR_2_EQUIPO_2",$L34),0)</f>
        <v>0</v>
      </c>
      <c r="U34" s="43" t="n">
        <f aca="false">SUM(M34:T34)</f>
        <v>32</v>
      </c>
      <c r="Y34" s="42" t="s">
        <v>24</v>
      </c>
      <c r="Z34" s="43" t="n">
        <f aca="false">VLOOKUP(Y34,$A$6:$J$42,10,FALSE())</f>
        <v>32</v>
      </c>
      <c r="AA34" s="44" t="n">
        <f aca="false">VLOOKUP(Y34,$L$6:$U$42,10,FALSE())</f>
        <v>77</v>
      </c>
      <c r="AB34" s="45" t="n">
        <f aca="false">Z34/AA34</f>
        <v>0.415584415584416</v>
      </c>
    </row>
    <row r="35" customFormat="false" ht="14.25" hidden="false" customHeight="false" outlineLevel="0" collapsed="false">
      <c r="A35" s="42" t="s">
        <v>35</v>
      </c>
      <c r="B35" s="43" t="n">
        <f aca="false">IFERROR(GETPIVOTDATA("Suma de PUNTO_EQUIPO_1",TD!$A$3,"ID_JUGADOR_1_EQUIPO_1",$A35),0)</f>
        <v>5</v>
      </c>
      <c r="C35" s="43" t="n">
        <f aca="false">IFERROR(GETPIVOTDATA("Suma de PUNTO_EQUIPO_1",TD!$G$3,"ID_JUGADOR_2_EQUIPO_1",$A35),0)</f>
        <v>2</v>
      </c>
      <c r="D35" s="43" t="n">
        <f aca="false">IFERROR(GETPIVOTDATA("Suma de PUNTO_EQUIPO_2",TD!$M$3,"ID_JUGADOR_1_EQUIPO_2",$A35),0)</f>
        <v>0</v>
      </c>
      <c r="E35" s="43" t="n">
        <f aca="false">IFERROR(GETPIVOTDATA("Suma de PUNTO_EQUIPO_2",TD!$S$3,"ID_JUGADOR_2_EQUIPO_2",$A35),0)</f>
        <v>4</v>
      </c>
      <c r="F35" s="43" t="n">
        <f aca="false">IFERROR(GETPIVOTDATA("Suma de PUNTO_EQUIPO_1",TD!$A$30,"ID_JUGADOR_1_EQUIPO_1",$A35),0)</f>
        <v>0</v>
      </c>
      <c r="G35" s="43" t="n">
        <f aca="false">IFERROR(GETPIVOTDATA("Suma de PUNTO_EQUIPO_1",TD!$G$30,"ID_JUGADOR_2_EQUIPO_1",$A35),0)</f>
        <v>0</v>
      </c>
      <c r="H35" s="43" t="n">
        <f aca="false">IFERROR(GETPIVOTDATA("Suma de PUNTO_EQUIPO_2",TD!$M$30,"ID_JUGADOR_1_EQUIPO_2",$A35),0)</f>
        <v>0</v>
      </c>
      <c r="I35" s="43" t="n">
        <f aca="false">IFERROR(GETPIVOTDATA("Suma de PUNTO_EQUIPO_2",TD!$S$30,"ID_JUGADOR_2_EQUIPO_2",$A35),0)</f>
        <v>0</v>
      </c>
      <c r="J35" s="43" t="n">
        <f aca="false">SUM(B35:I35)</f>
        <v>11</v>
      </c>
      <c r="L35" s="42" t="s">
        <v>35</v>
      </c>
      <c r="M35" s="43" t="n">
        <f aca="false">IFERROR(GETPIVOTDATA("Cuenta de ID_PUNTO",TD!$A$3,"ID_JUGADOR_1_EQUIPO_1",$L35),0)</f>
        <v>12</v>
      </c>
      <c r="N35" s="43" t="n">
        <f aca="false">IFERROR(GETPIVOTDATA("Cuenta de ID_PUNTO",TD!$G$3,"ID_JUGADOR_2_EQUIPO_1",$L35),0)</f>
        <v>9</v>
      </c>
      <c r="O35" s="43" t="n">
        <f aca="false">IFERROR(GETPIVOTDATA("Cuenta de ID_PUNTO",TD!$M$3,"ID_JUGADOR_1_EQUIPO_2",$L35),0)</f>
        <v>0</v>
      </c>
      <c r="P35" s="43" t="n">
        <f aca="false">IFERROR(GETPIVOTDATA("Cuenta de ID_PUNTO",TD!$S$3,"ID_JUGADOR_2_EQUIPO_2",$L35),0)</f>
        <v>18</v>
      </c>
      <c r="Q35" s="43" t="n">
        <f aca="false">IFERROR(GETPIVOTDATA("Cuenta de ID_PUNTO",TD!$A$30,"ID_JUGADOR_1_EQUIPO_1",$L35),0)</f>
        <v>0</v>
      </c>
      <c r="R35" s="43" t="n">
        <f aca="false">IFERROR(GETPIVOTDATA("Cuenta de ID_PUNTO",TD!$G$30,"ID_JUGADOR_2_EQUIPO_1",$L35),0)</f>
        <v>0</v>
      </c>
      <c r="S35" s="43" t="n">
        <f aca="false">IFERROR(GETPIVOTDATA("Cuenta de ID_PUNTO",TD!$M$30,"ID_JUGADOR_1_EQUIPO_2",$L35),0)</f>
        <v>7</v>
      </c>
      <c r="T35" s="43" t="n">
        <f aca="false">IFERROR(GETPIVOTDATA("Cuenta de ID_PUNTO",TD!$S$30,"ID_JUGADOR_2_EQUIPO_2",$L35),0)</f>
        <v>0</v>
      </c>
      <c r="U35" s="43" t="n">
        <f aca="false">SUM(M35:T35)</f>
        <v>46</v>
      </c>
      <c r="Y35" s="42" t="s">
        <v>36</v>
      </c>
      <c r="Z35" s="43" t="n">
        <f aca="false">VLOOKUP(Y35,$A$6:$J$42,10,FALSE())</f>
        <v>21</v>
      </c>
      <c r="AA35" s="44" t="n">
        <f aca="false">VLOOKUP(Y35,$L$6:$U$42,10,FALSE())</f>
        <v>51</v>
      </c>
      <c r="AB35" s="45" t="n">
        <f aca="false">Z35/AA35</f>
        <v>0.411764705882353</v>
      </c>
    </row>
    <row r="36" customFormat="false" ht="14.25" hidden="false" customHeight="false" outlineLevel="0" collapsed="false">
      <c r="A36" s="42" t="s">
        <v>18</v>
      </c>
      <c r="B36" s="43" t="n">
        <f aca="false">IFERROR(GETPIVOTDATA("Suma de PUNTO_EQUIPO_1",TD!$A$3,"ID_JUGADOR_1_EQUIPO_1",$A36),0)</f>
        <v>0</v>
      </c>
      <c r="C36" s="43" t="n">
        <f aca="false">IFERROR(GETPIVOTDATA("Suma de PUNTO_EQUIPO_1",TD!$G$3,"ID_JUGADOR_2_EQUIPO_1",$A36),0)</f>
        <v>7</v>
      </c>
      <c r="D36" s="43" t="n">
        <f aca="false">IFERROR(GETPIVOTDATA("Suma de PUNTO_EQUIPO_2",TD!$M$3,"ID_JUGADOR_1_EQUIPO_2",$A36),0)</f>
        <v>7</v>
      </c>
      <c r="E36" s="43" t="n">
        <f aca="false">IFERROR(GETPIVOTDATA("Suma de PUNTO_EQUIPO_2",TD!$S$3,"ID_JUGADOR_2_EQUIPO_2",$A36),0)</f>
        <v>4</v>
      </c>
      <c r="F36" s="43" t="n">
        <f aca="false">IFERROR(GETPIVOTDATA("Suma de PUNTO_EQUIPO_1",TD!$A$30,"ID_JUGADOR_1_EQUIPO_1",$A36),0)</f>
        <v>0</v>
      </c>
      <c r="G36" s="43" t="n">
        <f aca="false">IFERROR(GETPIVOTDATA("Suma de PUNTO_EQUIPO_1",TD!$G$30,"ID_JUGADOR_2_EQUIPO_1",$A36),0)</f>
        <v>0</v>
      </c>
      <c r="H36" s="43" t="n">
        <f aca="false">IFERROR(GETPIVOTDATA("Suma de PUNTO_EQUIPO_2",TD!$M$30,"ID_JUGADOR_1_EQUIPO_2",$A36),0)</f>
        <v>4</v>
      </c>
      <c r="I36" s="43" t="n">
        <f aca="false">IFERROR(GETPIVOTDATA("Suma de PUNTO_EQUIPO_2",TD!$S$30,"ID_JUGADOR_2_EQUIPO_2",$A36),0)</f>
        <v>0</v>
      </c>
      <c r="J36" s="43" t="n">
        <f aca="false">SUM(B36:I36)</f>
        <v>22</v>
      </c>
      <c r="L36" s="42" t="s">
        <v>18</v>
      </c>
      <c r="M36" s="43" t="n">
        <f aca="false">IFERROR(GETPIVOTDATA("Cuenta de ID_PUNTO",TD!$A$3,"ID_JUGADOR_1_EQUIPO_1",$L36),0)</f>
        <v>0</v>
      </c>
      <c r="N36" s="43" t="n">
        <f aca="false">IFERROR(GETPIVOTDATA("Cuenta de ID_PUNTO",TD!$G$3,"ID_JUGADOR_2_EQUIPO_1",$L36),0)</f>
        <v>9</v>
      </c>
      <c r="O36" s="43" t="n">
        <f aca="false">IFERROR(GETPIVOTDATA("Cuenta de ID_PUNTO",TD!$M$3,"ID_JUGADOR_1_EQUIPO_2",$L36),0)</f>
        <v>12</v>
      </c>
      <c r="P36" s="43" t="n">
        <f aca="false">IFERROR(GETPIVOTDATA("Cuenta de ID_PUNTO",TD!$S$3,"ID_JUGADOR_2_EQUIPO_2",$L36),0)</f>
        <v>11</v>
      </c>
      <c r="Q36" s="43" t="n">
        <f aca="false">IFERROR(GETPIVOTDATA("Cuenta de ID_PUNTO",TD!$A$30,"ID_JUGADOR_1_EQUIPO_1",$L36),0)</f>
        <v>0</v>
      </c>
      <c r="R36" s="43" t="n">
        <f aca="false">IFERROR(GETPIVOTDATA("Cuenta de ID_PUNTO",TD!$G$30,"ID_JUGADOR_2_EQUIPO_1",$L36),0)</f>
        <v>0</v>
      </c>
      <c r="S36" s="43" t="n">
        <f aca="false">IFERROR(GETPIVOTDATA("Cuenta de ID_PUNTO",TD!$M$30,"ID_JUGADOR_1_EQUIPO_2",$L36),0)</f>
        <v>10</v>
      </c>
      <c r="T36" s="43" t="n">
        <f aca="false">IFERROR(GETPIVOTDATA("Cuenta de ID_PUNTO",TD!$S$30,"ID_JUGADOR_2_EQUIPO_2",$L36),0)</f>
        <v>0</v>
      </c>
      <c r="U36" s="43" t="n">
        <f aca="false">SUM(M36:T36)</f>
        <v>42</v>
      </c>
      <c r="Y36" s="42" t="s">
        <v>31</v>
      </c>
      <c r="Z36" s="43" t="n">
        <f aca="false">VLOOKUP(Y36,$A$6:$J$42,10,FALSE())</f>
        <v>19</v>
      </c>
      <c r="AA36" s="44" t="n">
        <f aca="false">VLOOKUP(Y36,$L$6:$U$42,10,FALSE())</f>
        <v>48</v>
      </c>
      <c r="AB36" s="45" t="n">
        <f aca="false">Z36/AA36</f>
        <v>0.395833333333333</v>
      </c>
    </row>
    <row r="37" customFormat="false" ht="14.25" hidden="false" customHeight="false" outlineLevel="0" collapsed="false">
      <c r="A37" s="42" t="s">
        <v>26</v>
      </c>
      <c r="B37" s="43" t="n">
        <f aca="false">IFERROR(GETPIVOTDATA("Suma de PUNTO_EQUIPO_1",TD!$A$3,"ID_JUGADOR_1_EQUIPO_1",$A37),0)</f>
        <v>0</v>
      </c>
      <c r="C37" s="43" t="n">
        <f aca="false">IFERROR(GETPIVOTDATA("Suma de PUNTO_EQUIPO_1",TD!$G$3,"ID_JUGADOR_2_EQUIPO_1",$A37),0)</f>
        <v>7</v>
      </c>
      <c r="D37" s="43" t="n">
        <f aca="false">IFERROR(GETPIVOTDATA("Suma de PUNTO_EQUIPO_2",TD!$M$3,"ID_JUGADOR_1_EQUIPO_2",$A37),0)</f>
        <v>0</v>
      </c>
      <c r="E37" s="43" t="n">
        <f aca="false">IFERROR(GETPIVOTDATA("Suma de PUNTO_EQUIPO_2",TD!$S$3,"ID_JUGADOR_2_EQUIPO_2",$A37),0)</f>
        <v>14</v>
      </c>
      <c r="F37" s="43" t="n">
        <f aca="false">IFERROR(GETPIVOTDATA("Suma de PUNTO_EQUIPO_1",TD!$A$30,"ID_JUGADOR_1_EQUIPO_1",$A37),0)</f>
        <v>0</v>
      </c>
      <c r="G37" s="43" t="n">
        <f aca="false">IFERROR(GETPIVOTDATA("Suma de PUNTO_EQUIPO_1",TD!$G$30,"ID_JUGADOR_2_EQUIPO_1",$A37),0)</f>
        <v>6</v>
      </c>
      <c r="H37" s="43" t="n">
        <f aca="false">IFERROR(GETPIVOTDATA("Suma de PUNTO_EQUIPO_2",TD!$M$30,"ID_JUGADOR_1_EQUIPO_2",$A37),0)</f>
        <v>0</v>
      </c>
      <c r="I37" s="43" t="n">
        <f aca="false">IFERROR(GETPIVOTDATA("Suma de PUNTO_EQUIPO_2",TD!$S$30,"ID_JUGADOR_2_EQUIPO_2",$A37),0)</f>
        <v>0</v>
      </c>
      <c r="J37" s="43" t="n">
        <f aca="false">SUM(B37:I37)</f>
        <v>27</v>
      </c>
      <c r="L37" s="42" t="s">
        <v>26</v>
      </c>
      <c r="M37" s="43" t="n">
        <f aca="false">IFERROR(GETPIVOTDATA("Cuenta de ID_PUNTO",TD!$A$3,"ID_JUGADOR_1_EQUIPO_1",$L37),0)</f>
        <v>0</v>
      </c>
      <c r="N37" s="43" t="n">
        <f aca="false">IFERROR(GETPIVOTDATA("Cuenta de ID_PUNTO",TD!$G$3,"ID_JUGADOR_2_EQUIPO_1",$L37),0)</f>
        <v>11</v>
      </c>
      <c r="O37" s="43" t="n">
        <f aca="false">IFERROR(GETPIVOTDATA("Cuenta de ID_PUNTO",TD!$M$3,"ID_JUGADOR_1_EQUIPO_2",$L37),0)</f>
        <v>0</v>
      </c>
      <c r="P37" s="43" t="n">
        <f aca="false">IFERROR(GETPIVOTDATA("Cuenta de ID_PUNTO",TD!$S$3,"ID_JUGADOR_2_EQUIPO_2",$L37),0)</f>
        <v>22</v>
      </c>
      <c r="Q37" s="43" t="n">
        <f aca="false">IFERROR(GETPIVOTDATA("Cuenta de ID_PUNTO",TD!$A$30,"ID_JUGADOR_1_EQUIPO_1",$L37),0)</f>
        <v>0</v>
      </c>
      <c r="R37" s="43" t="n">
        <f aca="false">IFERROR(GETPIVOTDATA("Cuenta de ID_PUNTO",TD!$G$30,"ID_JUGADOR_2_EQUIPO_1",$L37),0)</f>
        <v>10</v>
      </c>
      <c r="S37" s="43" t="n">
        <f aca="false">IFERROR(GETPIVOTDATA("Cuenta de ID_PUNTO",TD!$M$30,"ID_JUGADOR_1_EQUIPO_2",$L37),0)</f>
        <v>0</v>
      </c>
      <c r="T37" s="43" t="n">
        <f aca="false">IFERROR(GETPIVOTDATA("Cuenta de ID_PUNTO",TD!$S$30,"ID_JUGADOR_2_EQUIPO_2",$L37),0)</f>
        <v>0</v>
      </c>
      <c r="U37" s="43" t="n">
        <f aca="false">SUM(M37:T37)</f>
        <v>43</v>
      </c>
      <c r="Y37" s="42" t="s">
        <v>15</v>
      </c>
      <c r="Z37" s="43" t="n">
        <f aca="false">VLOOKUP(Y37,$A$6:$J$42,10,FALSE())</f>
        <v>16</v>
      </c>
      <c r="AA37" s="44" t="n">
        <f aca="false">VLOOKUP(Y37,$L$6:$U$42,10,FALSE())</f>
        <v>42</v>
      </c>
      <c r="AB37" s="45" t="n">
        <f aca="false">Z37/AA37</f>
        <v>0.380952380952381</v>
      </c>
    </row>
    <row r="38" customFormat="false" ht="14.25" hidden="false" customHeight="false" outlineLevel="0" collapsed="false">
      <c r="A38" s="42" t="s">
        <v>17</v>
      </c>
      <c r="B38" s="43" t="n">
        <f aca="false">IFERROR(GETPIVOTDATA("Suma de PUNTO_EQUIPO_1",TD!$A$3,"ID_JUGADOR_1_EQUIPO_1",$A38),0)</f>
        <v>7</v>
      </c>
      <c r="C38" s="43" t="n">
        <f aca="false">IFERROR(GETPIVOTDATA("Suma de PUNTO_EQUIPO_1",TD!$G$3,"ID_JUGADOR_2_EQUIPO_1",$A38),0)</f>
        <v>8</v>
      </c>
      <c r="D38" s="43" t="n">
        <f aca="false">IFERROR(GETPIVOTDATA("Suma de PUNTO_EQUIPO_2",TD!$M$3,"ID_JUGADOR_1_EQUIPO_2",$A38),0)</f>
        <v>4</v>
      </c>
      <c r="E38" s="43" t="n">
        <f aca="false">IFERROR(GETPIVOTDATA("Suma de PUNTO_EQUIPO_2",TD!$S$3,"ID_JUGADOR_2_EQUIPO_2",$A38),0)</f>
        <v>0</v>
      </c>
      <c r="F38" s="43" t="n">
        <f aca="false">IFERROR(GETPIVOTDATA("Suma de PUNTO_EQUIPO_1",TD!$A$30,"ID_JUGADOR_1_EQUIPO_1",$A38),0)</f>
        <v>0</v>
      </c>
      <c r="G38" s="43" t="n">
        <f aca="false">IFERROR(GETPIVOTDATA("Suma de PUNTO_EQUIPO_1",TD!$G$30,"ID_JUGADOR_2_EQUIPO_1",$A38),0)</f>
        <v>0</v>
      </c>
      <c r="H38" s="43" t="n">
        <f aca="false">IFERROR(GETPIVOTDATA("Suma de PUNTO_EQUIPO_2",TD!$M$30,"ID_JUGADOR_1_EQUIPO_2",$A38),0)</f>
        <v>3</v>
      </c>
      <c r="I38" s="43" t="n">
        <f aca="false">IFERROR(GETPIVOTDATA("Suma de PUNTO_EQUIPO_2",TD!$S$30,"ID_JUGADOR_2_EQUIPO_2",$A38),0)</f>
        <v>0</v>
      </c>
      <c r="J38" s="43" t="n">
        <f aca="false">SUM(B38:I38)</f>
        <v>22</v>
      </c>
      <c r="L38" s="42" t="s">
        <v>17</v>
      </c>
      <c r="M38" s="43" t="n">
        <f aca="false">IFERROR(GETPIVOTDATA("Cuenta de ID_PUNTO",TD!$A$3,"ID_JUGADOR_1_EQUIPO_1",$L38),0)</f>
        <v>11</v>
      </c>
      <c r="N38" s="43" t="n">
        <f aca="false">IFERROR(GETPIVOTDATA("Cuenta de ID_PUNTO",TD!$G$3,"ID_JUGADOR_2_EQUIPO_1",$L38),0)</f>
        <v>11</v>
      </c>
      <c r="O38" s="43" t="n">
        <f aca="false">IFERROR(GETPIVOTDATA("Cuenta de ID_PUNTO",TD!$M$3,"ID_JUGADOR_1_EQUIPO_2",$L38),0)</f>
        <v>11</v>
      </c>
      <c r="P38" s="43" t="n">
        <f aca="false">IFERROR(GETPIVOTDATA("Cuenta de ID_PUNTO",TD!$S$3,"ID_JUGADOR_2_EQUIPO_2",$L38),0)</f>
        <v>0</v>
      </c>
      <c r="Q38" s="43" t="n">
        <f aca="false">IFERROR(GETPIVOTDATA("Cuenta de ID_PUNTO",TD!$A$30,"ID_JUGADOR_1_EQUIPO_1",$L38),0)</f>
        <v>0</v>
      </c>
      <c r="R38" s="43" t="n">
        <f aca="false">IFERROR(GETPIVOTDATA("Cuenta de ID_PUNTO",TD!$G$30,"ID_JUGADOR_2_EQUIPO_1",$L38),0)</f>
        <v>0</v>
      </c>
      <c r="S38" s="43" t="n">
        <f aca="false">IFERROR(GETPIVOTDATA("Cuenta de ID_PUNTO",TD!$M$30,"ID_JUGADOR_1_EQUIPO_2",$L38),0)</f>
        <v>10</v>
      </c>
      <c r="T38" s="43" t="n">
        <f aca="false">IFERROR(GETPIVOTDATA("Cuenta de ID_PUNTO",TD!$S$30,"ID_JUGADOR_2_EQUIPO_2",$L38),0)</f>
        <v>0</v>
      </c>
      <c r="U38" s="43" t="n">
        <f aca="false">SUM(M38:T38)</f>
        <v>43</v>
      </c>
      <c r="Y38" s="42" t="s">
        <v>42</v>
      </c>
      <c r="Z38" s="43" t="n">
        <f aca="false">VLOOKUP(Y38,$A$6:$J$42,10,FALSE())</f>
        <v>27</v>
      </c>
      <c r="AA38" s="44" t="n">
        <f aca="false">VLOOKUP(Y38,$L$6:$U$42,10,FALSE())</f>
        <v>72</v>
      </c>
      <c r="AB38" s="45" t="n">
        <f aca="false">Z38/AA38</f>
        <v>0.375</v>
      </c>
    </row>
    <row r="39" customFormat="false" ht="14.25" hidden="false" customHeight="false" outlineLevel="0" collapsed="false">
      <c r="A39" s="42" t="s">
        <v>46</v>
      </c>
      <c r="B39" s="43" t="n">
        <f aca="false">IFERROR(GETPIVOTDATA("Suma de PUNTO_EQUIPO_1",TD!$A$3,"ID_JUGADOR_1_EQUIPO_1",$A39),0)</f>
        <v>0</v>
      </c>
      <c r="C39" s="43" t="n">
        <f aca="false">IFERROR(GETPIVOTDATA("Suma de PUNTO_EQUIPO_1",TD!$G$3,"ID_JUGADOR_2_EQUIPO_1",$A39),0)</f>
        <v>0</v>
      </c>
      <c r="D39" s="43" t="n">
        <f aca="false">IFERROR(GETPIVOTDATA("Suma de PUNTO_EQUIPO_2",TD!$M$3,"ID_JUGADOR_1_EQUIPO_2",$A39),0)</f>
        <v>7</v>
      </c>
      <c r="E39" s="43" t="n">
        <f aca="false">IFERROR(GETPIVOTDATA("Suma de PUNTO_EQUIPO_2",TD!$S$3,"ID_JUGADOR_2_EQUIPO_2",$A39),0)</f>
        <v>0</v>
      </c>
      <c r="F39" s="43" t="n">
        <f aca="false">IFERROR(GETPIVOTDATA("Suma de PUNTO_EQUIPO_1",TD!$A$30,"ID_JUGADOR_1_EQUIPO_1",$A39),0)</f>
        <v>6</v>
      </c>
      <c r="G39" s="43" t="n">
        <f aca="false">IFERROR(GETPIVOTDATA("Suma de PUNTO_EQUIPO_1",TD!$G$30,"ID_JUGADOR_2_EQUIPO_1",$A39),0)</f>
        <v>14</v>
      </c>
      <c r="H39" s="43" t="n">
        <f aca="false">IFERROR(GETPIVOTDATA("Suma de PUNTO_EQUIPO_2",TD!$M$30,"ID_JUGADOR_1_EQUIPO_2",$A39),0)</f>
        <v>7</v>
      </c>
      <c r="I39" s="43" t="n">
        <f aca="false">IFERROR(GETPIVOTDATA("Suma de PUNTO_EQUIPO_2",TD!$S$30,"ID_JUGADOR_2_EQUIPO_2",$A39),0)</f>
        <v>0</v>
      </c>
      <c r="J39" s="43" t="n">
        <f aca="false">SUM(B39:I39)</f>
        <v>34</v>
      </c>
      <c r="L39" s="42" t="s">
        <v>46</v>
      </c>
      <c r="M39" s="43" t="n">
        <f aca="false">IFERROR(GETPIVOTDATA("Cuenta de ID_PUNTO",TD!$A$3,"ID_JUGADOR_1_EQUIPO_1",$L39),0)</f>
        <v>0</v>
      </c>
      <c r="N39" s="43" t="n">
        <f aca="false">IFERROR(GETPIVOTDATA("Cuenta de ID_PUNTO",TD!$G$3,"ID_JUGADOR_2_EQUIPO_1",$L39),0)</f>
        <v>0</v>
      </c>
      <c r="O39" s="43" t="n">
        <f aca="false">IFERROR(GETPIVOTDATA("Cuenta de ID_PUNTO",TD!$M$3,"ID_JUGADOR_1_EQUIPO_2",$L39),0)</f>
        <v>9</v>
      </c>
      <c r="P39" s="43" t="n">
        <f aca="false">IFERROR(GETPIVOTDATA("Cuenta de ID_PUNTO",TD!$S$3,"ID_JUGADOR_2_EQUIPO_2",$L39),0)</f>
        <v>0</v>
      </c>
      <c r="Q39" s="43" t="n">
        <f aca="false">IFERROR(GETPIVOTDATA("Cuenta de ID_PUNTO",TD!$A$30,"ID_JUGADOR_1_EQUIPO_1",$L39),0)</f>
        <v>13</v>
      </c>
      <c r="R39" s="43" t="n">
        <f aca="false">IFERROR(GETPIVOTDATA("Cuenta de ID_PUNTO",TD!$G$30,"ID_JUGADOR_2_EQUIPO_1",$L39),0)</f>
        <v>18</v>
      </c>
      <c r="S39" s="43" t="n">
        <f aca="false">IFERROR(GETPIVOTDATA("Cuenta de ID_PUNTO",TD!$M$30,"ID_JUGADOR_1_EQUIPO_2",$L39),0)</f>
        <v>13</v>
      </c>
      <c r="T39" s="43" t="n">
        <f aca="false">IFERROR(GETPIVOTDATA("Cuenta de ID_PUNTO",TD!$S$30,"ID_JUGADOR_2_EQUIPO_2",$L39),0)</f>
        <v>0</v>
      </c>
      <c r="U39" s="43" t="n">
        <f aca="false">SUM(M39:T39)</f>
        <v>53</v>
      </c>
      <c r="Y39" s="42" t="s">
        <v>38</v>
      </c>
      <c r="Z39" s="43" t="n">
        <f aca="false">VLOOKUP(Y39,$A$6:$J$42,10,FALSE())</f>
        <v>4</v>
      </c>
      <c r="AA39" s="44" t="n">
        <f aca="false">VLOOKUP(Y39,$L$6:$U$42,10,FALSE())</f>
        <v>11</v>
      </c>
      <c r="AB39" s="45" t="n">
        <f aca="false">Z39/AA39</f>
        <v>0.363636363636364</v>
      </c>
    </row>
    <row r="40" customFormat="false" ht="14.25" hidden="false" customHeight="false" outlineLevel="0" collapsed="false">
      <c r="A40" s="42" t="s">
        <v>30</v>
      </c>
      <c r="B40" s="43" t="n">
        <f aca="false">IFERROR(GETPIVOTDATA("Suma de PUNTO_EQUIPO_1",TD!$A$3,"ID_JUGADOR_1_EQUIPO_1",$A40),0)</f>
        <v>0</v>
      </c>
      <c r="C40" s="43" t="n">
        <f aca="false">IFERROR(GETPIVOTDATA("Suma de PUNTO_EQUIPO_1",TD!$G$3,"ID_JUGADOR_2_EQUIPO_1",$A40),0)</f>
        <v>5</v>
      </c>
      <c r="D40" s="43" t="n">
        <f aca="false">IFERROR(GETPIVOTDATA("Suma de PUNTO_EQUIPO_2",TD!$M$3,"ID_JUGADOR_1_EQUIPO_2",$A40),0)</f>
        <v>0</v>
      </c>
      <c r="E40" s="43" t="n">
        <f aca="false">IFERROR(GETPIVOTDATA("Suma de PUNTO_EQUIPO_2",TD!$S$3,"ID_JUGADOR_2_EQUIPO_2",$A40),0)</f>
        <v>0</v>
      </c>
      <c r="F40" s="43" t="n">
        <f aca="false">IFERROR(GETPIVOTDATA("Suma de PUNTO_EQUIPO_1",TD!$A$30,"ID_JUGADOR_1_EQUIPO_1",$A40),0)</f>
        <v>0</v>
      </c>
      <c r="G40" s="43" t="n">
        <f aca="false">IFERROR(GETPIVOTDATA("Suma de PUNTO_EQUIPO_1",TD!$G$30,"ID_JUGADOR_2_EQUIPO_1",$A40),0)</f>
        <v>13</v>
      </c>
      <c r="H40" s="43" t="n">
        <f aca="false">IFERROR(GETPIVOTDATA("Suma de PUNTO_EQUIPO_2",TD!$M$30,"ID_JUGADOR_1_EQUIPO_2",$A40),0)</f>
        <v>0</v>
      </c>
      <c r="I40" s="43" t="n">
        <f aca="false">IFERROR(GETPIVOTDATA("Suma de PUNTO_EQUIPO_2",TD!$S$30,"ID_JUGADOR_2_EQUIPO_2",$A40),0)</f>
        <v>0</v>
      </c>
      <c r="J40" s="43" t="n">
        <f aca="false">SUM(B40:I40)</f>
        <v>18</v>
      </c>
      <c r="L40" s="42" t="s">
        <v>30</v>
      </c>
      <c r="M40" s="43" t="n">
        <f aca="false">IFERROR(GETPIVOTDATA("Cuenta de ID_PUNTO",TD!$A$3,"ID_JUGADOR_1_EQUIPO_1",$L40),0)</f>
        <v>0</v>
      </c>
      <c r="N40" s="43" t="n">
        <f aca="false">IFERROR(GETPIVOTDATA("Cuenta de ID_PUNTO",TD!$G$3,"ID_JUGADOR_2_EQUIPO_1",$L40),0)</f>
        <v>19</v>
      </c>
      <c r="O40" s="43" t="n">
        <f aca="false">IFERROR(GETPIVOTDATA("Cuenta de ID_PUNTO",TD!$M$3,"ID_JUGADOR_1_EQUIPO_2",$L40),0)</f>
        <v>0</v>
      </c>
      <c r="P40" s="43" t="n">
        <f aca="false">IFERROR(GETPIVOTDATA("Cuenta de ID_PUNTO",TD!$S$3,"ID_JUGADOR_2_EQUIPO_2",$L40),0)</f>
        <v>0</v>
      </c>
      <c r="Q40" s="43" t="n">
        <f aca="false">IFERROR(GETPIVOTDATA("Cuenta de ID_PUNTO",TD!$A$30,"ID_JUGADOR_1_EQUIPO_1",$L40),0)</f>
        <v>0</v>
      </c>
      <c r="R40" s="43" t="n">
        <f aca="false">IFERROR(GETPIVOTDATA("Cuenta de ID_PUNTO",TD!$G$30,"ID_JUGADOR_2_EQUIPO_1",$L40),0)</f>
        <v>20</v>
      </c>
      <c r="S40" s="43" t="n">
        <f aca="false">IFERROR(GETPIVOTDATA("Cuenta de ID_PUNTO",TD!$M$30,"ID_JUGADOR_1_EQUIPO_2",$L40),0)</f>
        <v>0</v>
      </c>
      <c r="T40" s="43" t="n">
        <f aca="false">IFERROR(GETPIVOTDATA("Cuenta de ID_PUNTO",TD!$S$30,"ID_JUGADOR_2_EQUIPO_2",$L40),0)</f>
        <v>0</v>
      </c>
      <c r="U40" s="43" t="n">
        <f aca="false">SUM(M40:T40)</f>
        <v>39</v>
      </c>
      <c r="Y40" s="42" t="s">
        <v>28</v>
      </c>
      <c r="Z40" s="43" t="n">
        <f aca="false">VLOOKUP(Y40,$A$6:$J$42,10,FALSE())</f>
        <v>4</v>
      </c>
      <c r="AA40" s="44" t="n">
        <f aca="false">VLOOKUP(Y40,$L$6:$U$42,10,FALSE())</f>
        <v>11</v>
      </c>
      <c r="AB40" s="45" t="n">
        <f aca="false">Z40/AA40</f>
        <v>0.363636363636364</v>
      </c>
    </row>
    <row r="41" customFormat="false" ht="14.25" hidden="false" customHeight="false" outlineLevel="0" collapsed="false">
      <c r="A41" s="42" t="s">
        <v>45</v>
      </c>
      <c r="B41" s="43" t="n">
        <f aca="false">IFERROR(GETPIVOTDATA("Suma de PUNTO_EQUIPO_1",TD!$A$3,"ID_JUGADOR_1_EQUIPO_1",$A41),0)</f>
        <v>0</v>
      </c>
      <c r="C41" s="43" t="n">
        <f aca="false">IFERROR(GETPIVOTDATA("Suma de PUNTO_EQUIPO_1",TD!$G$3,"ID_JUGADOR_2_EQUIPO_1",$A41),0)</f>
        <v>0</v>
      </c>
      <c r="D41" s="43" t="n">
        <f aca="false">IFERROR(GETPIVOTDATA("Suma de PUNTO_EQUIPO_2",TD!$M$3,"ID_JUGADOR_1_EQUIPO_2",$A41),0)</f>
        <v>13</v>
      </c>
      <c r="E41" s="43" t="n">
        <f aca="false">IFERROR(GETPIVOTDATA("Suma de PUNTO_EQUIPO_2",TD!$S$3,"ID_JUGADOR_2_EQUIPO_2",$A41),0)</f>
        <v>0</v>
      </c>
      <c r="F41" s="43" t="n">
        <f aca="false">IFERROR(GETPIVOTDATA("Suma de PUNTO_EQUIPO_1",TD!$A$30,"ID_JUGADOR_1_EQUIPO_1",$A41),0)</f>
        <v>0</v>
      </c>
      <c r="G41" s="43" t="n">
        <f aca="false">IFERROR(GETPIVOTDATA("Suma de PUNTO_EQUIPO_1",TD!$G$30,"ID_JUGADOR_2_EQUIPO_1",$A41),0)</f>
        <v>0</v>
      </c>
      <c r="H41" s="43" t="n">
        <f aca="false">IFERROR(GETPIVOTDATA("Suma de PUNTO_EQUIPO_2",TD!$M$30,"ID_JUGADOR_1_EQUIPO_2",$A41),0)</f>
        <v>0</v>
      </c>
      <c r="I41" s="43" t="n">
        <f aca="false">IFERROR(GETPIVOTDATA("Suma de PUNTO_EQUIPO_2",TD!$S$30,"ID_JUGADOR_2_EQUIPO_2",$A41),0)</f>
        <v>0</v>
      </c>
      <c r="J41" s="43" t="n">
        <f aca="false">SUM(B41:I41)</f>
        <v>13</v>
      </c>
      <c r="L41" s="42" t="s">
        <v>45</v>
      </c>
      <c r="M41" s="43" t="n">
        <f aca="false">IFERROR(GETPIVOTDATA("Cuenta de ID_PUNTO",TD!$A$3,"ID_JUGADOR_1_EQUIPO_1",$L41),0)</f>
        <v>0</v>
      </c>
      <c r="N41" s="43" t="n">
        <f aca="false">IFERROR(GETPIVOTDATA("Cuenta de ID_PUNTO",TD!$G$3,"ID_JUGADOR_2_EQUIPO_1",$L41),0)</f>
        <v>0</v>
      </c>
      <c r="O41" s="43" t="n">
        <f aca="false">IFERROR(GETPIVOTDATA("Cuenta de ID_PUNTO",TD!$M$3,"ID_JUGADOR_1_EQUIPO_2",$L41),0)</f>
        <v>23</v>
      </c>
      <c r="P41" s="43" t="n">
        <f aca="false">IFERROR(GETPIVOTDATA("Cuenta de ID_PUNTO",TD!$S$3,"ID_JUGADOR_2_EQUIPO_2",$L41),0)</f>
        <v>0</v>
      </c>
      <c r="Q41" s="43" t="n">
        <f aca="false">IFERROR(GETPIVOTDATA("Cuenta de ID_PUNTO",TD!$A$30,"ID_JUGADOR_1_EQUIPO_1",$L41),0)</f>
        <v>0</v>
      </c>
      <c r="R41" s="43" t="n">
        <f aca="false">IFERROR(GETPIVOTDATA("Cuenta de ID_PUNTO",TD!$G$30,"ID_JUGADOR_2_EQUIPO_1",$L41),0)</f>
        <v>0</v>
      </c>
      <c r="S41" s="43" t="n">
        <f aca="false">IFERROR(GETPIVOTDATA("Cuenta de ID_PUNTO",TD!$M$30,"ID_JUGADOR_1_EQUIPO_2",$L41),0)</f>
        <v>0</v>
      </c>
      <c r="T41" s="43" t="n">
        <f aca="false">IFERROR(GETPIVOTDATA("Cuenta de ID_PUNTO",TD!$S$30,"ID_JUGADOR_2_EQUIPO_2",$L41),0)</f>
        <v>0</v>
      </c>
      <c r="U41" s="43" t="n">
        <f aca="false">SUM(M41:T41)</f>
        <v>23</v>
      </c>
      <c r="Y41" s="42" t="s">
        <v>44</v>
      </c>
      <c r="Z41" s="43" t="n">
        <f aca="false">VLOOKUP(Y41,$A$6:$J$42,10,FALSE())</f>
        <v>3</v>
      </c>
      <c r="AA41" s="44" t="n">
        <f aca="false">VLOOKUP(Y41,$L$6:$U$42,10,FALSE())</f>
        <v>10</v>
      </c>
      <c r="AB41" s="45" t="n">
        <f aca="false">Z41/AA41</f>
        <v>0.3</v>
      </c>
    </row>
    <row r="42" customFormat="false" ht="14.25" hidden="false" customHeight="false" outlineLevel="0" collapsed="false">
      <c r="A42" s="42" t="s">
        <v>51</v>
      </c>
      <c r="B42" s="43" t="n">
        <f aca="false">IFERROR(GETPIVOTDATA("Suma de PUNTO_EQUIPO_1",TD!$A$3,"ID_JUGADOR_1_EQUIPO_1",$A42),0)</f>
        <v>0</v>
      </c>
      <c r="C42" s="43" t="n">
        <f aca="false">IFERROR(GETPIVOTDATA("Suma de PUNTO_EQUIPO_1",TD!$G$3,"ID_JUGADOR_2_EQUIPO_1",$A42),0)</f>
        <v>0</v>
      </c>
      <c r="D42" s="43" t="n">
        <f aca="false">IFERROR(GETPIVOTDATA("Suma de PUNTO_EQUIPO_2",TD!$M$3,"ID_JUGADOR_1_EQUIPO_2",$A42),0)</f>
        <v>0</v>
      </c>
      <c r="E42" s="43" t="n">
        <f aca="false">IFERROR(GETPIVOTDATA("Suma de PUNTO_EQUIPO_2",TD!$S$3,"ID_JUGADOR_2_EQUIPO_2",$A42),0)</f>
        <v>0</v>
      </c>
      <c r="F42" s="43" t="n">
        <f aca="false">IFERROR(GETPIVOTDATA("Suma de PUNTO_EQUIPO_1",TD!$A$30,"ID_JUGADOR_1_EQUIPO_1",$A42),0)</f>
        <v>0</v>
      </c>
      <c r="G42" s="43" t="n">
        <f aca="false">IFERROR(GETPIVOTDATA("Suma de PUNTO_EQUIPO_1",TD!$G$30,"ID_JUGADOR_2_EQUIPO_1",$A42),0)</f>
        <v>20</v>
      </c>
      <c r="H42" s="43" t="n">
        <f aca="false">IFERROR(GETPIVOTDATA("Suma de PUNTO_EQUIPO_2",TD!$M$30,"ID_JUGADOR_1_EQUIPO_2",$A42),0)</f>
        <v>6</v>
      </c>
      <c r="I42" s="43" t="n">
        <f aca="false">IFERROR(GETPIVOTDATA("Suma de PUNTO_EQUIPO_2",TD!$S$30,"ID_JUGADOR_2_EQUIPO_2",$A42),0)</f>
        <v>7</v>
      </c>
      <c r="J42" s="43" t="n">
        <f aca="false">SUM(B42:I42)</f>
        <v>33</v>
      </c>
      <c r="L42" s="42" t="s">
        <v>51</v>
      </c>
      <c r="M42" s="43" t="n">
        <f aca="false">IFERROR(GETPIVOTDATA("Cuenta de ID_PUNTO",TD!$A$3,"ID_JUGADOR_1_EQUIPO_1",$L42),0)</f>
        <v>0</v>
      </c>
      <c r="N42" s="43" t="n">
        <f aca="false">IFERROR(GETPIVOTDATA("Cuenta de ID_PUNTO",TD!$G$3,"ID_JUGADOR_2_EQUIPO_1",$L42),0)</f>
        <v>0</v>
      </c>
      <c r="O42" s="43" t="n">
        <f aca="false">IFERROR(GETPIVOTDATA("Cuenta de ID_PUNTO",TD!$M$3,"ID_JUGADOR_1_EQUIPO_2",$L42),0)</f>
        <v>0</v>
      </c>
      <c r="P42" s="43" t="n">
        <f aca="false">IFERROR(GETPIVOTDATA("Cuenta de ID_PUNTO",TD!$S$3,"ID_JUGADOR_2_EQUIPO_2",$L42),0)</f>
        <v>0</v>
      </c>
      <c r="Q42" s="43" t="n">
        <f aca="false">IFERROR(GETPIVOTDATA("Cuenta de ID_PUNTO",TD!$A$30,"ID_JUGADOR_1_EQUIPO_1",$L42),0)</f>
        <v>0</v>
      </c>
      <c r="R42" s="43" t="n">
        <f aca="false">IFERROR(GETPIVOTDATA("Cuenta de ID_PUNTO",TD!$G$30,"ID_JUGADOR_2_EQUIPO_1",$L42),0)</f>
        <v>35</v>
      </c>
      <c r="S42" s="43" t="n">
        <f aca="false">IFERROR(GETPIVOTDATA("Cuenta de ID_PUNTO",TD!$M$30,"ID_JUGADOR_1_EQUIPO_2",$L42),0)</f>
        <v>13</v>
      </c>
      <c r="T42" s="43" t="n">
        <f aca="false">IFERROR(GETPIVOTDATA("Cuenta de ID_PUNTO",TD!$S$30,"ID_JUGADOR_2_EQUIPO_2",$L42),0)</f>
        <v>13</v>
      </c>
      <c r="U42" s="43" t="n">
        <f aca="false">SUM(M42:T42)</f>
        <v>61</v>
      </c>
      <c r="Y42" s="42" t="s">
        <v>35</v>
      </c>
      <c r="Z42" s="43" t="n">
        <f aca="false">VLOOKUP(Y42,$A$6:$J$42,10,FALSE())</f>
        <v>11</v>
      </c>
      <c r="AA42" s="44" t="n">
        <f aca="false">VLOOKUP(Y42,$L$6:$U$42,10,FALSE())</f>
        <v>46</v>
      </c>
      <c r="AB42" s="45" t="n">
        <f aca="false">Z42/AA42</f>
        <v>0.239130434782609</v>
      </c>
    </row>
  </sheetData>
  <autoFilter ref="Y6:AB6">
    <sortState ref="Y7:AB6">
      <sortCondition ref="F7:F6" descending="1" customList=""/>
    </sortState>
  </autoFilter>
  <mergeCells count="14">
    <mergeCell ref="C2:G2"/>
    <mergeCell ref="N2:R2"/>
    <mergeCell ref="B4:E4"/>
    <mergeCell ref="F4:I4"/>
    <mergeCell ref="M4:P4"/>
    <mergeCell ref="Q4:T4"/>
    <mergeCell ref="B5:C5"/>
    <mergeCell ref="D5:E5"/>
    <mergeCell ref="F5:G5"/>
    <mergeCell ref="H5:I5"/>
    <mergeCell ref="M5:N5"/>
    <mergeCell ref="O5:P5"/>
    <mergeCell ref="Q5:R5"/>
    <mergeCell ref="S5:T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DFB645B232244D9776E37EF2080FB0" ma:contentTypeVersion="11" ma:contentTypeDescription="Crear nuevo documento." ma:contentTypeScope="" ma:versionID="480a9a7ececd7bee321af4825291f0a7">
  <xsd:schema xmlns:xsd="http://www.w3.org/2001/XMLSchema" xmlns:xs="http://www.w3.org/2001/XMLSchema" xmlns:p="http://schemas.microsoft.com/office/2006/metadata/properties" xmlns:ns2="c36ac320-a888-427b-a7c7-f8ea5411a5b6" xmlns:ns3="c2abac89-b20a-41d2-b82b-64ebb46b082f" targetNamespace="http://schemas.microsoft.com/office/2006/metadata/properties" ma:root="true" ma:fieldsID="5b612a0e81ec1a7d5f6c2de32b7f99d9" ns2:_="" ns3:_="">
    <xsd:import namespace="c36ac320-a888-427b-a7c7-f8ea5411a5b6"/>
    <xsd:import namespace="c2abac89-b20a-41d2-b82b-64ebb46b0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ac320-a888-427b-a7c7-f8ea5411a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bac89-b20a-41d2-b82b-64ebb46b08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e1e203-445e-4490-a817-da4cf60624ee}" ma:internalName="TaxCatchAll" ma:showField="CatchAllData" ma:web="c2abac89-b20a-41d2-b82b-64ebb46b0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6ac320-a888-427b-a7c7-f8ea5411a5b6">
      <Terms xmlns="http://schemas.microsoft.com/office/infopath/2007/PartnerControls"/>
    </lcf76f155ced4ddcb4097134ff3c332f>
    <TaxCatchAll xmlns="c2abac89-b20a-41d2-b82b-64ebb46b082f" xsi:nil="true"/>
  </documentManagement>
</p:properties>
</file>

<file path=customXml/itemProps1.xml><?xml version="1.0" encoding="utf-8"?>
<ds:datastoreItem xmlns:ds="http://schemas.openxmlformats.org/officeDocument/2006/customXml" ds:itemID="{B15AA43B-8044-4FEC-921F-8B90AED2862B}"/>
</file>

<file path=customXml/itemProps2.xml><?xml version="1.0" encoding="utf-8"?>
<ds:datastoreItem xmlns:ds="http://schemas.openxmlformats.org/officeDocument/2006/customXml" ds:itemID="{CBF34C4E-84DF-4493-8BF8-F4AE7183F524}"/>
</file>

<file path=customXml/itemProps3.xml><?xml version="1.0" encoding="utf-8"?>
<ds:datastoreItem xmlns:ds="http://schemas.openxmlformats.org/officeDocument/2006/customXml" ds:itemID="{B409D3FD-C70D-4B06-86DA-17E31B52995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2025-08-06T20:59:06Z</dcterms:created>
  <dc:creator>Maria Jose Sandoval Ricaurte</dc:creator>
  <dc:description/>
  <dc:language>en-US</dc:language>
  <cp:lastModifiedBy/>
  <dcterms:modified xsi:type="dcterms:W3CDTF">2026-05-26T17:23:59Z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0x01010008DFB645B232244D9776E37EF2080FB0</vt:lpwstr>
  </property>
</Properties>
</file>