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7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/>
  <mc:AlternateContent xmlns:mc="http://schemas.openxmlformats.org/markup-compatibility/2006">
    <mc:Choice Requires="x15">
      <x15ac:absPath xmlns:x15ac="http://schemas.microsoft.com/office/spreadsheetml/2010/11/ac" url="https://unisabanaedu-my.sharepoint.com/personal/luisgarcam_unisabana_edu_co/Documents/Documentos/Universidad de la Sabana/2025_02/Videos_Padel/"/>
    </mc:Choice>
  </mc:AlternateContent>
  <xr:revisionPtr revIDLastSave="330" documentId="8_{8323EA51-81BD-4BF4-83B7-B956ED47AB62}" xr6:coauthVersionLast="47" xr6:coauthVersionMax="47" xr10:uidLastSave="{5019D53E-6829-4AB6-B7AC-01D14928DEF3}"/>
  <bookViews>
    <workbookView xWindow="-108" yWindow="-108" windowWidth="30936" windowHeight="18696" firstSheet="2" activeTab="2" xr2:uid="{8948B8CE-CFFE-4F13-8B24-1043D4D4E237}"/>
  </bookViews>
  <sheets>
    <sheet name="DATOS_ANALISIS" sheetId="6" r:id="rId1"/>
    <sheet name="TD" sheetId="4" r:id="rId2"/>
    <sheet name="Cancha" sheetId="7" r:id="rId3"/>
    <sheet name="CANCHA_2" sheetId="2" r:id="rId4"/>
    <sheet name="Hoja2" sheetId="8" r:id="rId5"/>
    <sheet name="CANCHA_1" sheetId="1" r:id="rId6"/>
    <sheet name="Original" sheetId="3" r:id="rId7"/>
  </sheets>
  <calcPr calcId="191028"/>
  <pivotCaches>
    <pivotCache cacheId="300" r:id="rId8"/>
    <pivotCache cacheId="301" r:id="rId9"/>
    <pivotCache cacheId="302" r:id="rId10"/>
    <pivotCache cacheId="30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2" i="7" l="1"/>
  <c r="F472" i="7"/>
  <c r="E472" i="7"/>
  <c r="D472" i="7"/>
  <c r="G471" i="7"/>
  <c r="F471" i="7"/>
  <c r="E471" i="7"/>
  <c r="D471" i="7"/>
  <c r="G470" i="7"/>
  <c r="F470" i="7"/>
  <c r="E470" i="7"/>
  <c r="D470" i="7"/>
  <c r="G469" i="7"/>
  <c r="F469" i="7"/>
  <c r="E469" i="7"/>
  <c r="D469" i="7"/>
  <c r="G468" i="7"/>
  <c r="F468" i="7"/>
  <c r="E468" i="7"/>
  <c r="D468" i="7"/>
  <c r="G467" i="7"/>
  <c r="F467" i="7"/>
  <c r="E467" i="7"/>
  <c r="D467" i="7"/>
  <c r="G466" i="7"/>
  <c r="F466" i="7"/>
  <c r="E466" i="7"/>
  <c r="D466" i="7"/>
  <c r="G465" i="7"/>
  <c r="F465" i="7"/>
  <c r="E465" i="7"/>
  <c r="D465" i="7"/>
  <c r="G464" i="7"/>
  <c r="F464" i="7"/>
  <c r="E464" i="7"/>
  <c r="D464" i="7"/>
  <c r="G463" i="7"/>
  <c r="F463" i="7"/>
  <c r="E463" i="7"/>
  <c r="D463" i="7"/>
  <c r="G462" i="7"/>
  <c r="F462" i="7"/>
  <c r="E462" i="7"/>
  <c r="D462" i="7"/>
  <c r="G461" i="7"/>
  <c r="F461" i="7"/>
  <c r="E461" i="7"/>
  <c r="D461" i="7"/>
  <c r="G460" i="7"/>
  <c r="F460" i="7"/>
  <c r="E460" i="7"/>
  <c r="D460" i="7"/>
  <c r="G459" i="7"/>
  <c r="F459" i="7"/>
  <c r="E459" i="7"/>
  <c r="D459" i="7"/>
  <c r="G458" i="7"/>
  <c r="F458" i="7"/>
  <c r="E458" i="7"/>
  <c r="D458" i="7"/>
  <c r="G457" i="7"/>
  <c r="F457" i="7"/>
  <c r="E457" i="7"/>
  <c r="D457" i="7"/>
  <c r="G456" i="7"/>
  <c r="F456" i="7"/>
  <c r="E456" i="7"/>
  <c r="D456" i="7"/>
  <c r="G455" i="7"/>
  <c r="F455" i="7"/>
  <c r="E455" i="7"/>
  <c r="D455" i="7"/>
  <c r="G454" i="7"/>
  <c r="F454" i="7"/>
  <c r="E454" i="7"/>
  <c r="D454" i="7"/>
  <c r="G453" i="7"/>
  <c r="F453" i="7"/>
  <c r="E453" i="7"/>
  <c r="D453" i="7"/>
  <c r="G452" i="7"/>
  <c r="F452" i="7"/>
  <c r="E452" i="7"/>
  <c r="D452" i="7"/>
  <c r="G451" i="7"/>
  <c r="F451" i="7"/>
  <c r="E451" i="7"/>
  <c r="D451" i="7"/>
  <c r="G450" i="7"/>
  <c r="F450" i="7"/>
  <c r="E450" i="7"/>
  <c r="D450" i="7"/>
  <c r="G449" i="7"/>
  <c r="F449" i="7"/>
  <c r="E449" i="7"/>
  <c r="D449" i="7"/>
  <c r="G448" i="7"/>
  <c r="F448" i="7"/>
  <c r="E448" i="7"/>
  <c r="D448" i="7"/>
  <c r="G447" i="7"/>
  <c r="F447" i="7"/>
  <c r="E447" i="7"/>
  <c r="D447" i="7"/>
  <c r="G446" i="7"/>
  <c r="F446" i="7"/>
  <c r="E446" i="7"/>
  <c r="D446" i="7"/>
  <c r="G445" i="7"/>
  <c r="F445" i="7"/>
  <c r="E445" i="7"/>
  <c r="D445" i="7"/>
  <c r="G444" i="7"/>
  <c r="F444" i="7"/>
  <c r="E444" i="7"/>
  <c r="D444" i="7"/>
  <c r="G443" i="7"/>
  <c r="F443" i="7"/>
  <c r="E443" i="7"/>
  <c r="D443" i="7"/>
  <c r="G442" i="7"/>
  <c r="F442" i="7"/>
  <c r="E442" i="7"/>
  <c r="D442" i="7"/>
  <c r="G441" i="7"/>
  <c r="F441" i="7"/>
  <c r="E441" i="7"/>
  <c r="D441" i="7"/>
  <c r="G440" i="7"/>
  <c r="F440" i="7"/>
  <c r="E440" i="7"/>
  <c r="D440" i="7"/>
  <c r="G439" i="7"/>
  <c r="F439" i="7"/>
  <c r="E439" i="7"/>
  <c r="D439" i="7"/>
  <c r="G438" i="7"/>
  <c r="F438" i="7"/>
  <c r="E438" i="7"/>
  <c r="D438" i="7"/>
  <c r="G437" i="7"/>
  <c r="F437" i="7"/>
  <c r="E437" i="7"/>
  <c r="D437" i="7"/>
  <c r="G436" i="7"/>
  <c r="F436" i="7"/>
  <c r="E436" i="7"/>
  <c r="D436" i="7"/>
  <c r="G435" i="7"/>
  <c r="F435" i="7"/>
  <c r="E435" i="7"/>
  <c r="D435" i="7"/>
  <c r="G434" i="7"/>
  <c r="F434" i="7"/>
  <c r="E434" i="7"/>
  <c r="D434" i="7"/>
  <c r="G433" i="7"/>
  <c r="F433" i="7"/>
  <c r="E433" i="7"/>
  <c r="D433" i="7"/>
  <c r="G432" i="7"/>
  <c r="F432" i="7"/>
  <c r="E432" i="7"/>
  <c r="D432" i="7"/>
  <c r="G431" i="7"/>
  <c r="F431" i="7"/>
  <c r="E431" i="7"/>
  <c r="D431" i="7"/>
  <c r="G430" i="7"/>
  <c r="F430" i="7"/>
  <c r="E430" i="7"/>
  <c r="D430" i="7"/>
  <c r="G429" i="7"/>
  <c r="F429" i="7"/>
  <c r="E429" i="7"/>
  <c r="D429" i="7"/>
  <c r="G428" i="7"/>
  <c r="F428" i="7"/>
  <c r="E428" i="7"/>
  <c r="D428" i="7"/>
  <c r="G427" i="7"/>
  <c r="F427" i="7"/>
  <c r="E427" i="7"/>
  <c r="D427" i="7"/>
  <c r="G426" i="7"/>
  <c r="F426" i="7"/>
  <c r="E426" i="7"/>
  <c r="D426" i="7"/>
  <c r="G425" i="7"/>
  <c r="F425" i="7"/>
  <c r="E425" i="7"/>
  <c r="D425" i="7"/>
  <c r="G424" i="7"/>
  <c r="F424" i="7"/>
  <c r="E424" i="7"/>
  <c r="D424" i="7"/>
  <c r="G423" i="7"/>
  <c r="F423" i="7"/>
  <c r="E423" i="7"/>
  <c r="D423" i="7"/>
  <c r="G422" i="7"/>
  <c r="F422" i="7"/>
  <c r="E422" i="7"/>
  <c r="D422" i="7"/>
  <c r="G421" i="7"/>
  <c r="F421" i="7"/>
  <c r="E421" i="7"/>
  <c r="D421" i="7"/>
  <c r="G420" i="7"/>
  <c r="F420" i="7"/>
  <c r="E420" i="7"/>
  <c r="D420" i="7"/>
  <c r="G419" i="7"/>
  <c r="F419" i="7"/>
  <c r="E419" i="7"/>
  <c r="D419" i="7"/>
  <c r="G418" i="7"/>
  <c r="F418" i="7"/>
  <c r="E418" i="7"/>
  <c r="D418" i="7"/>
  <c r="G417" i="7"/>
  <c r="F417" i="7"/>
  <c r="E417" i="7"/>
  <c r="D417" i="7"/>
  <c r="G416" i="7"/>
  <c r="F416" i="7"/>
  <c r="E416" i="7"/>
  <c r="D416" i="7"/>
  <c r="G415" i="7"/>
  <c r="F415" i="7"/>
  <c r="E415" i="7"/>
  <c r="D415" i="7"/>
  <c r="G414" i="7"/>
  <c r="F414" i="7"/>
  <c r="E414" i="7"/>
  <c r="D414" i="7"/>
  <c r="G413" i="7"/>
  <c r="F413" i="7"/>
  <c r="E413" i="7"/>
  <c r="D413" i="7"/>
  <c r="G412" i="7"/>
  <c r="F412" i="7"/>
  <c r="E412" i="7"/>
  <c r="D412" i="7"/>
  <c r="G411" i="7"/>
  <c r="F411" i="7"/>
  <c r="E411" i="7"/>
  <c r="D411" i="7"/>
  <c r="G410" i="7"/>
  <c r="F410" i="7"/>
  <c r="E410" i="7"/>
  <c r="D410" i="7"/>
  <c r="G409" i="7"/>
  <c r="F409" i="7"/>
  <c r="E409" i="7"/>
  <c r="D409" i="7"/>
  <c r="G408" i="7"/>
  <c r="F408" i="7"/>
  <c r="E408" i="7"/>
  <c r="D408" i="7"/>
  <c r="G407" i="7"/>
  <c r="F407" i="7"/>
  <c r="E407" i="7"/>
  <c r="D407" i="7"/>
  <c r="G406" i="7"/>
  <c r="F406" i="7"/>
  <c r="E406" i="7"/>
  <c r="D406" i="7"/>
  <c r="G405" i="7"/>
  <c r="F405" i="7"/>
  <c r="E405" i="7"/>
  <c r="D405" i="7"/>
  <c r="G404" i="7"/>
  <c r="F404" i="7"/>
  <c r="E404" i="7"/>
  <c r="D404" i="7"/>
  <c r="G403" i="7"/>
  <c r="F403" i="7"/>
  <c r="E403" i="7"/>
  <c r="D403" i="7"/>
  <c r="G402" i="7"/>
  <c r="F402" i="7"/>
  <c r="E402" i="7"/>
  <c r="D402" i="7"/>
  <c r="G401" i="7"/>
  <c r="F401" i="7"/>
  <c r="E401" i="7"/>
  <c r="D401" i="7"/>
  <c r="G400" i="7"/>
  <c r="F400" i="7"/>
  <c r="E400" i="7"/>
  <c r="D400" i="7"/>
  <c r="G399" i="7"/>
  <c r="F399" i="7"/>
  <c r="E399" i="7"/>
  <c r="D399" i="7"/>
  <c r="G398" i="7"/>
  <c r="F398" i="7"/>
  <c r="E398" i="7"/>
  <c r="D398" i="7"/>
  <c r="G397" i="7"/>
  <c r="F397" i="7"/>
  <c r="E397" i="7"/>
  <c r="D397" i="7"/>
  <c r="G396" i="7"/>
  <c r="F396" i="7"/>
  <c r="E396" i="7"/>
  <c r="D396" i="7"/>
  <c r="G395" i="7"/>
  <c r="F395" i="7"/>
  <c r="E395" i="7"/>
  <c r="D395" i="7"/>
  <c r="G394" i="7"/>
  <c r="F394" i="7"/>
  <c r="E394" i="7"/>
  <c r="D394" i="7"/>
  <c r="G393" i="7"/>
  <c r="F393" i="7"/>
  <c r="E393" i="7"/>
  <c r="D393" i="7"/>
  <c r="G392" i="7"/>
  <c r="F392" i="7"/>
  <c r="E392" i="7"/>
  <c r="D392" i="7"/>
  <c r="G391" i="7"/>
  <c r="F391" i="7"/>
  <c r="E391" i="7"/>
  <c r="D391" i="7"/>
  <c r="G390" i="7"/>
  <c r="F390" i="7"/>
  <c r="E390" i="7"/>
  <c r="D390" i="7"/>
  <c r="G389" i="7"/>
  <c r="F389" i="7"/>
  <c r="E389" i="7"/>
  <c r="D389" i="7"/>
  <c r="G388" i="7"/>
  <c r="F388" i="7"/>
  <c r="E388" i="7"/>
  <c r="D388" i="7"/>
  <c r="G387" i="7"/>
  <c r="F387" i="7"/>
  <c r="E387" i="7"/>
  <c r="D387" i="7"/>
  <c r="G386" i="7"/>
  <c r="F386" i="7"/>
  <c r="E386" i="7"/>
  <c r="D386" i="7"/>
  <c r="G385" i="7"/>
  <c r="F385" i="7"/>
  <c r="E385" i="7"/>
  <c r="D385" i="7"/>
  <c r="G384" i="7"/>
  <c r="F384" i="7"/>
  <c r="E384" i="7"/>
  <c r="D384" i="7"/>
  <c r="G383" i="7"/>
  <c r="F383" i="7"/>
  <c r="E383" i="7"/>
  <c r="D383" i="7"/>
  <c r="G382" i="7"/>
  <c r="F382" i="7"/>
  <c r="E382" i="7"/>
  <c r="D382" i="7"/>
  <c r="G381" i="7"/>
  <c r="F381" i="7"/>
  <c r="E381" i="7"/>
  <c r="D381" i="7"/>
  <c r="G380" i="7"/>
  <c r="F380" i="7"/>
  <c r="E380" i="7"/>
  <c r="D380" i="7"/>
  <c r="G379" i="7"/>
  <c r="F379" i="7"/>
  <c r="E379" i="7"/>
  <c r="D379" i="7"/>
  <c r="G378" i="7"/>
  <c r="F378" i="7"/>
  <c r="E378" i="7"/>
  <c r="D378" i="7"/>
  <c r="G377" i="7"/>
  <c r="F377" i="7"/>
  <c r="E377" i="7"/>
  <c r="D377" i="7"/>
  <c r="G376" i="7"/>
  <c r="F376" i="7"/>
  <c r="E376" i="7"/>
  <c r="D376" i="7"/>
  <c r="G375" i="7"/>
  <c r="F375" i="7"/>
  <c r="E375" i="7"/>
  <c r="D375" i="7"/>
  <c r="G374" i="7"/>
  <c r="F374" i="7"/>
  <c r="E374" i="7"/>
  <c r="D374" i="7"/>
  <c r="G373" i="7"/>
  <c r="F373" i="7"/>
  <c r="E373" i="7"/>
  <c r="D373" i="7"/>
  <c r="G372" i="7"/>
  <c r="F372" i="7"/>
  <c r="E372" i="7"/>
  <c r="D372" i="7"/>
  <c r="G371" i="7"/>
  <c r="F371" i="7"/>
  <c r="E371" i="7"/>
  <c r="D371" i="7"/>
  <c r="G370" i="7"/>
  <c r="F370" i="7"/>
  <c r="E370" i="7"/>
  <c r="D370" i="7"/>
  <c r="G369" i="7"/>
  <c r="F369" i="7"/>
  <c r="E369" i="7"/>
  <c r="D369" i="7"/>
  <c r="G368" i="7"/>
  <c r="F368" i="7"/>
  <c r="E368" i="7"/>
  <c r="D368" i="7"/>
  <c r="G367" i="7"/>
  <c r="F367" i="7"/>
  <c r="E367" i="7"/>
  <c r="D367" i="7"/>
  <c r="G366" i="7"/>
  <c r="F366" i="7"/>
  <c r="E366" i="7"/>
  <c r="D366" i="7"/>
  <c r="G365" i="7"/>
  <c r="F365" i="7"/>
  <c r="E365" i="7"/>
  <c r="D365" i="7"/>
  <c r="G364" i="7"/>
  <c r="F364" i="7"/>
  <c r="E364" i="7"/>
  <c r="D364" i="7"/>
  <c r="G363" i="7"/>
  <c r="F363" i="7"/>
  <c r="E363" i="7"/>
  <c r="D363" i="7"/>
  <c r="G362" i="7"/>
  <c r="F362" i="7"/>
  <c r="E362" i="7"/>
  <c r="D362" i="7"/>
  <c r="G361" i="7"/>
  <c r="F361" i="7"/>
  <c r="E361" i="7"/>
  <c r="D361" i="7"/>
  <c r="G360" i="7"/>
  <c r="F360" i="7"/>
  <c r="E360" i="7"/>
  <c r="D360" i="7"/>
  <c r="G359" i="7"/>
  <c r="F359" i="7"/>
  <c r="E359" i="7"/>
  <c r="D359" i="7"/>
  <c r="G358" i="7"/>
  <c r="F358" i="7"/>
  <c r="E358" i="7"/>
  <c r="D358" i="7"/>
  <c r="G357" i="7"/>
  <c r="F357" i="7"/>
  <c r="E357" i="7"/>
  <c r="D357" i="7"/>
  <c r="G356" i="7"/>
  <c r="F356" i="7"/>
  <c r="E356" i="7"/>
  <c r="D356" i="7"/>
  <c r="G355" i="7"/>
  <c r="F355" i="7"/>
  <c r="E355" i="7"/>
  <c r="D355" i="7"/>
  <c r="G354" i="7"/>
  <c r="F354" i="7"/>
  <c r="E354" i="7"/>
  <c r="D354" i="7"/>
  <c r="G353" i="7"/>
  <c r="F353" i="7"/>
  <c r="E353" i="7"/>
  <c r="D353" i="7"/>
  <c r="G352" i="7"/>
  <c r="F352" i="7"/>
  <c r="E352" i="7"/>
  <c r="D352" i="7"/>
  <c r="G351" i="7"/>
  <c r="F351" i="7"/>
  <c r="E351" i="7"/>
  <c r="D351" i="7"/>
  <c r="G350" i="7"/>
  <c r="F350" i="7"/>
  <c r="E350" i="7"/>
  <c r="D350" i="7"/>
  <c r="G349" i="7"/>
  <c r="F349" i="7"/>
  <c r="E349" i="7"/>
  <c r="D349" i="7"/>
  <c r="G348" i="7"/>
  <c r="F348" i="7"/>
  <c r="E348" i="7"/>
  <c r="D348" i="7"/>
  <c r="G347" i="7"/>
  <c r="F347" i="7"/>
  <c r="E347" i="7"/>
  <c r="D347" i="7"/>
  <c r="G346" i="7"/>
  <c r="F346" i="7"/>
  <c r="E346" i="7"/>
  <c r="D346" i="7"/>
  <c r="G345" i="7"/>
  <c r="F345" i="7"/>
  <c r="E345" i="7"/>
  <c r="D345" i="7"/>
  <c r="G344" i="7"/>
  <c r="F344" i="7"/>
  <c r="E344" i="7"/>
  <c r="D344" i="7"/>
  <c r="G343" i="7"/>
  <c r="F343" i="7"/>
  <c r="E343" i="7"/>
  <c r="D343" i="7"/>
  <c r="G342" i="7"/>
  <c r="F342" i="7"/>
  <c r="E342" i="7"/>
  <c r="D342" i="7"/>
  <c r="G341" i="7"/>
  <c r="F341" i="7"/>
  <c r="E341" i="7"/>
  <c r="D341" i="7"/>
  <c r="G340" i="7"/>
  <c r="F340" i="7"/>
  <c r="E340" i="7"/>
  <c r="D340" i="7"/>
  <c r="G339" i="7"/>
  <c r="F339" i="7"/>
  <c r="E339" i="7"/>
  <c r="D339" i="7"/>
  <c r="G338" i="7"/>
  <c r="F338" i="7"/>
  <c r="E338" i="7"/>
  <c r="D338" i="7"/>
  <c r="G337" i="7"/>
  <c r="F337" i="7"/>
  <c r="E337" i="7"/>
  <c r="D337" i="7"/>
  <c r="G336" i="7"/>
  <c r="F336" i="7"/>
  <c r="E336" i="7"/>
  <c r="D336" i="7"/>
  <c r="G335" i="7"/>
  <c r="F335" i="7"/>
  <c r="E335" i="7"/>
  <c r="D335" i="7"/>
  <c r="G334" i="7"/>
  <c r="F334" i="7"/>
  <c r="E334" i="7"/>
  <c r="D334" i="7"/>
  <c r="G333" i="7"/>
  <c r="F333" i="7"/>
  <c r="E333" i="7"/>
  <c r="D333" i="7"/>
  <c r="G332" i="7"/>
  <c r="F332" i="7"/>
  <c r="E332" i="7"/>
  <c r="D332" i="7"/>
  <c r="G331" i="7"/>
  <c r="F331" i="7"/>
  <c r="E331" i="7"/>
  <c r="D331" i="7"/>
  <c r="G330" i="7"/>
  <c r="F330" i="7"/>
  <c r="E330" i="7"/>
  <c r="D330" i="7"/>
  <c r="G329" i="7"/>
  <c r="F329" i="7"/>
  <c r="E329" i="7"/>
  <c r="D329" i="7"/>
  <c r="G328" i="7"/>
  <c r="F328" i="7"/>
  <c r="E328" i="7"/>
  <c r="D328" i="7"/>
  <c r="G327" i="7"/>
  <c r="F327" i="7"/>
  <c r="E327" i="7"/>
  <c r="D327" i="7"/>
  <c r="G326" i="7"/>
  <c r="F326" i="7"/>
  <c r="E326" i="7"/>
  <c r="D326" i="7"/>
  <c r="G325" i="7"/>
  <c r="F325" i="7"/>
  <c r="E325" i="7"/>
  <c r="D325" i="7"/>
  <c r="G324" i="7"/>
  <c r="F324" i="7"/>
  <c r="E324" i="7"/>
  <c r="D324" i="7"/>
  <c r="G323" i="7"/>
  <c r="F323" i="7"/>
  <c r="E323" i="7"/>
  <c r="D323" i="7"/>
  <c r="G322" i="7"/>
  <c r="F322" i="7"/>
  <c r="E322" i="7"/>
  <c r="D322" i="7"/>
  <c r="G321" i="7"/>
  <c r="F321" i="7"/>
  <c r="E321" i="7"/>
  <c r="D321" i="7"/>
  <c r="G320" i="7"/>
  <c r="F320" i="7"/>
  <c r="E320" i="7"/>
  <c r="D320" i="7"/>
  <c r="G319" i="7"/>
  <c r="F319" i="7"/>
  <c r="E319" i="7"/>
  <c r="D319" i="7"/>
  <c r="G318" i="7"/>
  <c r="F318" i="7"/>
  <c r="E318" i="7"/>
  <c r="D318" i="7"/>
  <c r="G317" i="7"/>
  <c r="F317" i="7"/>
  <c r="E317" i="7"/>
  <c r="D317" i="7"/>
  <c r="G316" i="7"/>
  <c r="F316" i="7"/>
  <c r="E316" i="7"/>
  <c r="D316" i="7"/>
  <c r="G315" i="7"/>
  <c r="F315" i="7"/>
  <c r="E315" i="7"/>
  <c r="D315" i="7"/>
  <c r="G314" i="7"/>
  <c r="F314" i="7"/>
  <c r="E314" i="7"/>
  <c r="D314" i="7"/>
  <c r="G313" i="7"/>
  <c r="F313" i="7"/>
  <c r="E313" i="7"/>
  <c r="D313" i="7"/>
  <c r="G312" i="7"/>
  <c r="F312" i="7"/>
  <c r="E312" i="7"/>
  <c r="D312" i="7"/>
  <c r="G311" i="7"/>
  <c r="F311" i="7"/>
  <c r="E311" i="7"/>
  <c r="D311" i="7"/>
  <c r="G310" i="7"/>
  <c r="F310" i="7"/>
  <c r="E310" i="7"/>
  <c r="D310" i="7"/>
  <c r="G309" i="7"/>
  <c r="F309" i="7"/>
  <c r="E309" i="7"/>
  <c r="D309" i="7"/>
  <c r="G297" i="7"/>
  <c r="F297" i="7"/>
  <c r="E297" i="7"/>
  <c r="D297" i="7"/>
  <c r="G296" i="7"/>
  <c r="F296" i="7"/>
  <c r="E296" i="7"/>
  <c r="D296" i="7"/>
  <c r="G295" i="7"/>
  <c r="F295" i="7"/>
  <c r="E295" i="7"/>
  <c r="D295" i="7"/>
  <c r="G294" i="7"/>
  <c r="F294" i="7"/>
  <c r="E294" i="7"/>
  <c r="D294" i="7"/>
  <c r="G293" i="7"/>
  <c r="F293" i="7"/>
  <c r="E293" i="7"/>
  <c r="D293" i="7"/>
  <c r="G292" i="7"/>
  <c r="F292" i="7"/>
  <c r="E292" i="7"/>
  <c r="D292" i="7"/>
  <c r="G291" i="7"/>
  <c r="F291" i="7"/>
  <c r="E291" i="7"/>
  <c r="D291" i="7"/>
  <c r="G290" i="7"/>
  <c r="F290" i="7"/>
  <c r="E290" i="7"/>
  <c r="D290" i="7"/>
  <c r="G289" i="7"/>
  <c r="F289" i="7"/>
  <c r="E289" i="7"/>
  <c r="D289" i="7"/>
  <c r="G288" i="7"/>
  <c r="F288" i="7"/>
  <c r="E288" i="7"/>
  <c r="D288" i="7"/>
  <c r="G287" i="7"/>
  <c r="F287" i="7"/>
  <c r="E287" i="7"/>
  <c r="D287" i="7"/>
  <c r="G286" i="7"/>
  <c r="F286" i="7"/>
  <c r="E286" i="7"/>
  <c r="D286" i="7"/>
  <c r="G285" i="7"/>
  <c r="F285" i="7"/>
  <c r="E285" i="7"/>
  <c r="D285" i="7"/>
  <c r="G284" i="7"/>
  <c r="F284" i="7"/>
  <c r="E284" i="7"/>
  <c r="D284" i="7"/>
  <c r="G283" i="7"/>
  <c r="F283" i="7"/>
  <c r="E283" i="7"/>
  <c r="D283" i="7"/>
  <c r="G282" i="7"/>
  <c r="F282" i="7"/>
  <c r="E282" i="7"/>
  <c r="D282" i="7"/>
  <c r="G281" i="7"/>
  <c r="F281" i="7"/>
  <c r="E281" i="7"/>
  <c r="D281" i="7"/>
  <c r="G280" i="7"/>
  <c r="F280" i="7"/>
  <c r="E280" i="7"/>
  <c r="D280" i="7"/>
  <c r="G279" i="7"/>
  <c r="F279" i="7"/>
  <c r="E279" i="7"/>
  <c r="D279" i="7"/>
  <c r="G278" i="7"/>
  <c r="F278" i="7"/>
  <c r="E278" i="7"/>
  <c r="D278" i="7"/>
  <c r="G277" i="7"/>
  <c r="F277" i="7"/>
  <c r="E277" i="7"/>
  <c r="D277" i="7"/>
  <c r="G276" i="7"/>
  <c r="F276" i="7"/>
  <c r="E276" i="7"/>
  <c r="D276" i="7"/>
  <c r="G275" i="7"/>
  <c r="F275" i="7"/>
  <c r="E275" i="7"/>
  <c r="D275" i="7"/>
  <c r="G274" i="7"/>
  <c r="F274" i="7"/>
  <c r="E274" i="7"/>
  <c r="D274" i="7"/>
  <c r="G273" i="7"/>
  <c r="F273" i="7"/>
  <c r="E273" i="7"/>
  <c r="D273" i="7"/>
  <c r="G272" i="7"/>
  <c r="F272" i="7"/>
  <c r="E272" i="7"/>
  <c r="D272" i="7"/>
  <c r="G271" i="7"/>
  <c r="F271" i="7"/>
  <c r="E271" i="7"/>
  <c r="D271" i="7"/>
  <c r="G270" i="7"/>
  <c r="F270" i="7"/>
  <c r="E270" i="7"/>
  <c r="D270" i="7"/>
  <c r="G269" i="7"/>
  <c r="F269" i="7"/>
  <c r="E269" i="7"/>
  <c r="D269" i="7"/>
  <c r="G268" i="7"/>
  <c r="F268" i="7"/>
  <c r="E268" i="7"/>
  <c r="D268" i="7"/>
  <c r="G267" i="7"/>
  <c r="F267" i="7"/>
  <c r="E267" i="7"/>
  <c r="D267" i="7"/>
  <c r="G266" i="7"/>
  <c r="F266" i="7"/>
  <c r="E266" i="7"/>
  <c r="D266" i="7"/>
  <c r="G265" i="7"/>
  <c r="F265" i="7"/>
  <c r="E265" i="7"/>
  <c r="D265" i="7"/>
  <c r="G264" i="7"/>
  <c r="F264" i="7"/>
  <c r="E264" i="7"/>
  <c r="D264" i="7"/>
  <c r="G263" i="7"/>
  <c r="F263" i="7"/>
  <c r="E263" i="7"/>
  <c r="D263" i="7"/>
  <c r="G262" i="7"/>
  <c r="F262" i="7"/>
  <c r="E262" i="7"/>
  <c r="D262" i="7"/>
  <c r="G261" i="7"/>
  <c r="F261" i="7"/>
  <c r="E261" i="7"/>
  <c r="D261" i="7"/>
  <c r="G260" i="7"/>
  <c r="F260" i="7"/>
  <c r="E260" i="7"/>
  <c r="D260" i="7"/>
  <c r="G259" i="7"/>
  <c r="F259" i="7"/>
  <c r="E259" i="7"/>
  <c r="D259" i="7"/>
  <c r="G258" i="7"/>
  <c r="F258" i="7"/>
  <c r="E258" i="7"/>
  <c r="D258" i="7"/>
  <c r="G257" i="7"/>
  <c r="F257" i="7"/>
  <c r="E257" i="7"/>
  <c r="D257" i="7"/>
  <c r="G256" i="7"/>
  <c r="F256" i="7"/>
  <c r="E256" i="7"/>
  <c r="D256" i="7"/>
  <c r="G255" i="7"/>
  <c r="F255" i="7"/>
  <c r="E255" i="7"/>
  <c r="D255" i="7"/>
  <c r="G254" i="7"/>
  <c r="F254" i="7"/>
  <c r="E254" i="7"/>
  <c r="D254" i="7"/>
  <c r="G253" i="7"/>
  <c r="F253" i="7"/>
  <c r="E253" i="7"/>
  <c r="D253" i="7"/>
  <c r="G252" i="7"/>
  <c r="F252" i="7"/>
  <c r="E252" i="7"/>
  <c r="D252" i="7"/>
  <c r="G251" i="7"/>
  <c r="F251" i="7"/>
  <c r="E251" i="7"/>
  <c r="D251" i="7"/>
  <c r="G250" i="7"/>
  <c r="F250" i="7"/>
  <c r="E250" i="7"/>
  <c r="D250" i="7"/>
  <c r="G249" i="7"/>
  <c r="F249" i="7"/>
  <c r="E249" i="7"/>
  <c r="D249" i="7"/>
  <c r="G248" i="7"/>
  <c r="F248" i="7"/>
  <c r="E248" i="7"/>
  <c r="D248" i="7"/>
  <c r="G247" i="7"/>
  <c r="F247" i="7"/>
  <c r="E247" i="7"/>
  <c r="D247" i="7"/>
  <c r="G246" i="7"/>
  <c r="F246" i="7"/>
  <c r="E246" i="7"/>
  <c r="D246" i="7"/>
  <c r="G245" i="7"/>
  <c r="F245" i="7"/>
  <c r="E245" i="7"/>
  <c r="D245" i="7"/>
  <c r="G244" i="7"/>
  <c r="F244" i="7"/>
  <c r="E244" i="7"/>
  <c r="D244" i="7"/>
  <c r="G243" i="7"/>
  <c r="F243" i="7"/>
  <c r="E243" i="7"/>
  <c r="D243" i="7"/>
  <c r="G242" i="7"/>
  <c r="F242" i="7"/>
  <c r="E242" i="7"/>
  <c r="D242" i="7"/>
  <c r="G241" i="7"/>
  <c r="F241" i="7"/>
  <c r="E241" i="7"/>
  <c r="D241" i="7"/>
  <c r="G240" i="7"/>
  <c r="F240" i="7"/>
  <c r="E240" i="7"/>
  <c r="D240" i="7"/>
  <c r="G239" i="7"/>
  <c r="F239" i="7"/>
  <c r="E239" i="7"/>
  <c r="D239" i="7"/>
  <c r="G238" i="7"/>
  <c r="F238" i="7"/>
  <c r="E238" i="7"/>
  <c r="D238" i="7"/>
  <c r="G237" i="7"/>
  <c r="F237" i="7"/>
  <c r="E237" i="7"/>
  <c r="D237" i="7"/>
  <c r="G236" i="7"/>
  <c r="F236" i="7"/>
  <c r="E236" i="7"/>
  <c r="D236" i="7"/>
  <c r="F235" i="7"/>
  <c r="E235" i="7"/>
  <c r="D235" i="7"/>
  <c r="F234" i="7"/>
  <c r="E234" i="7"/>
  <c r="D234" i="7"/>
  <c r="F233" i="7"/>
  <c r="E233" i="7"/>
  <c r="D233" i="7"/>
  <c r="F232" i="7"/>
  <c r="E232" i="7"/>
  <c r="D232" i="7"/>
  <c r="F231" i="7"/>
  <c r="E231" i="7"/>
  <c r="D231" i="7"/>
  <c r="F230" i="7"/>
  <c r="E230" i="7"/>
  <c r="D230" i="7"/>
  <c r="F229" i="7"/>
  <c r="E229" i="7"/>
  <c r="D229" i="7"/>
  <c r="F228" i="7"/>
  <c r="E228" i="7"/>
  <c r="D228" i="7"/>
  <c r="F227" i="7"/>
  <c r="E227" i="7"/>
  <c r="D227" i="7"/>
  <c r="F226" i="7"/>
  <c r="E226" i="7"/>
  <c r="D226" i="7"/>
  <c r="G225" i="7"/>
  <c r="F225" i="7"/>
  <c r="E225" i="7"/>
  <c r="D225" i="7"/>
  <c r="G224" i="7"/>
  <c r="F224" i="7"/>
  <c r="E224" i="7"/>
  <c r="D224" i="7"/>
  <c r="G223" i="7"/>
  <c r="F223" i="7"/>
  <c r="E223" i="7"/>
  <c r="D223" i="7"/>
  <c r="G222" i="7"/>
  <c r="F222" i="7"/>
  <c r="E222" i="7"/>
  <c r="D222" i="7"/>
  <c r="G221" i="7"/>
  <c r="F221" i="7"/>
  <c r="E221" i="7"/>
  <c r="D221" i="7"/>
  <c r="G220" i="7"/>
  <c r="F220" i="7"/>
  <c r="E220" i="7"/>
  <c r="D220" i="7"/>
  <c r="G219" i="7"/>
  <c r="F219" i="7"/>
  <c r="E219" i="7"/>
  <c r="D219" i="7"/>
  <c r="G218" i="7"/>
  <c r="F218" i="7"/>
  <c r="E218" i="7"/>
  <c r="D218" i="7"/>
  <c r="G217" i="7"/>
  <c r="F217" i="7"/>
  <c r="E217" i="7"/>
  <c r="D217" i="7"/>
  <c r="G216" i="7"/>
  <c r="F216" i="7"/>
  <c r="E216" i="7"/>
  <c r="D216" i="7"/>
  <c r="G215" i="7"/>
  <c r="F215" i="7"/>
  <c r="E215" i="7"/>
  <c r="D215" i="7"/>
  <c r="G214" i="7"/>
  <c r="F214" i="7"/>
  <c r="E214" i="7"/>
  <c r="D214" i="7"/>
  <c r="G213" i="7"/>
  <c r="F213" i="7"/>
  <c r="E213" i="7"/>
  <c r="D213" i="7"/>
  <c r="G212" i="7"/>
  <c r="F212" i="7"/>
  <c r="E212" i="7"/>
  <c r="D212" i="7"/>
  <c r="G211" i="7"/>
  <c r="F211" i="7"/>
  <c r="E211" i="7"/>
  <c r="D211" i="7"/>
  <c r="G210" i="7"/>
  <c r="F210" i="7"/>
  <c r="E210" i="7"/>
  <c r="D210" i="7"/>
  <c r="G209" i="7"/>
  <c r="F209" i="7"/>
  <c r="E209" i="7"/>
  <c r="D209" i="7"/>
  <c r="G208" i="7"/>
  <c r="F208" i="7"/>
  <c r="E208" i="7"/>
  <c r="D208" i="7"/>
  <c r="G207" i="7"/>
  <c r="F207" i="7"/>
  <c r="E207" i="7"/>
  <c r="D207" i="7"/>
  <c r="G206" i="7"/>
  <c r="F206" i="7"/>
  <c r="E206" i="7"/>
  <c r="D206" i="7"/>
  <c r="G205" i="7"/>
  <c r="F205" i="7"/>
  <c r="E205" i="7"/>
  <c r="D205" i="7"/>
  <c r="G204" i="7"/>
  <c r="F204" i="7"/>
  <c r="E204" i="7"/>
  <c r="D204" i="7"/>
  <c r="G203" i="7"/>
  <c r="F203" i="7"/>
  <c r="E203" i="7"/>
  <c r="D203" i="7"/>
  <c r="G202" i="7"/>
  <c r="F202" i="7"/>
  <c r="E202" i="7"/>
  <c r="D202" i="7"/>
  <c r="G201" i="7"/>
  <c r="F201" i="7"/>
  <c r="E201" i="7"/>
  <c r="D201" i="7"/>
  <c r="G200" i="7"/>
  <c r="F200" i="7"/>
  <c r="E200" i="7"/>
  <c r="D200" i="7"/>
  <c r="G199" i="7"/>
  <c r="F199" i="7"/>
  <c r="E199" i="7"/>
  <c r="D199" i="7"/>
  <c r="G198" i="7"/>
  <c r="F198" i="7"/>
  <c r="E198" i="7"/>
  <c r="D198" i="7"/>
  <c r="G197" i="7"/>
  <c r="F197" i="7"/>
  <c r="E197" i="7"/>
  <c r="D197" i="7"/>
  <c r="G196" i="7"/>
  <c r="F196" i="7"/>
  <c r="E196" i="7"/>
  <c r="D196" i="7"/>
  <c r="G195" i="7"/>
  <c r="F195" i="7"/>
  <c r="E195" i="7"/>
  <c r="D195" i="7"/>
  <c r="G194" i="7"/>
  <c r="F194" i="7"/>
  <c r="E194" i="7"/>
  <c r="D194" i="7"/>
  <c r="G193" i="7"/>
  <c r="F193" i="7"/>
  <c r="E193" i="7"/>
  <c r="D193" i="7"/>
  <c r="G192" i="7"/>
  <c r="F192" i="7"/>
  <c r="E192" i="7"/>
  <c r="D192" i="7"/>
  <c r="G191" i="7"/>
  <c r="F191" i="7"/>
  <c r="E191" i="7"/>
  <c r="D191" i="7"/>
  <c r="G190" i="7"/>
  <c r="F190" i="7"/>
  <c r="E190" i="7"/>
  <c r="D190" i="7"/>
  <c r="G189" i="7"/>
  <c r="F189" i="7"/>
  <c r="E189" i="7"/>
  <c r="D189" i="7"/>
  <c r="G188" i="7"/>
  <c r="F188" i="7"/>
  <c r="E188" i="7"/>
  <c r="D188" i="7"/>
  <c r="G187" i="7"/>
  <c r="F187" i="7"/>
  <c r="E187" i="7"/>
  <c r="D187" i="7"/>
  <c r="G186" i="7"/>
  <c r="F186" i="7"/>
  <c r="E186" i="7"/>
  <c r="D186" i="7"/>
  <c r="G185" i="7"/>
  <c r="F185" i="7"/>
  <c r="E185" i="7"/>
  <c r="D185" i="7"/>
  <c r="G184" i="7"/>
  <c r="F184" i="7"/>
  <c r="E184" i="7"/>
  <c r="D184" i="7"/>
  <c r="G183" i="7"/>
  <c r="F183" i="7"/>
  <c r="E183" i="7"/>
  <c r="D183" i="7"/>
  <c r="G182" i="7"/>
  <c r="F182" i="7"/>
  <c r="E182" i="7"/>
  <c r="D182" i="7"/>
  <c r="G181" i="7"/>
  <c r="F181" i="7"/>
  <c r="E181" i="7"/>
  <c r="D181" i="7"/>
  <c r="G180" i="7"/>
  <c r="F180" i="7"/>
  <c r="E180" i="7"/>
  <c r="D180" i="7"/>
  <c r="G179" i="7"/>
  <c r="F179" i="7"/>
  <c r="E179" i="7"/>
  <c r="D179" i="7"/>
  <c r="G178" i="7"/>
  <c r="F178" i="7"/>
  <c r="E178" i="7"/>
  <c r="D178" i="7"/>
  <c r="G177" i="7"/>
  <c r="F177" i="7"/>
  <c r="E177" i="7"/>
  <c r="D177" i="7"/>
  <c r="G176" i="7"/>
  <c r="F176" i="7"/>
  <c r="E176" i="7"/>
  <c r="D176" i="7"/>
  <c r="G175" i="7"/>
  <c r="F175" i="7"/>
  <c r="E175" i="7"/>
  <c r="D175" i="7"/>
  <c r="G174" i="7"/>
  <c r="F174" i="7"/>
  <c r="E174" i="7"/>
  <c r="D174" i="7"/>
  <c r="G173" i="7"/>
  <c r="F173" i="7"/>
  <c r="E173" i="7"/>
  <c r="D173" i="7"/>
  <c r="G172" i="7"/>
  <c r="F172" i="7"/>
  <c r="E172" i="7"/>
  <c r="D172" i="7"/>
  <c r="G171" i="7"/>
  <c r="F171" i="7"/>
  <c r="E171" i="7"/>
  <c r="D171" i="7"/>
  <c r="G170" i="7"/>
  <c r="F170" i="7"/>
  <c r="E170" i="7"/>
  <c r="D170" i="7"/>
  <c r="G169" i="7"/>
  <c r="F169" i="7"/>
  <c r="E169" i="7"/>
  <c r="D169" i="7"/>
  <c r="G168" i="7"/>
  <c r="F168" i="7"/>
  <c r="E168" i="7"/>
  <c r="D168" i="7"/>
  <c r="G167" i="7"/>
  <c r="F167" i="7"/>
  <c r="E167" i="7"/>
  <c r="D167" i="7"/>
  <c r="G166" i="7"/>
  <c r="F166" i="7"/>
  <c r="E166" i="7"/>
  <c r="D166" i="7"/>
  <c r="G165" i="7"/>
  <c r="F165" i="7"/>
  <c r="E165" i="7"/>
  <c r="D165" i="7"/>
  <c r="G164" i="7"/>
  <c r="F164" i="7"/>
  <c r="E164" i="7"/>
  <c r="D164" i="7"/>
  <c r="G163" i="7"/>
  <c r="F163" i="7"/>
  <c r="E163" i="7"/>
  <c r="D163" i="7"/>
  <c r="G162" i="7"/>
  <c r="F162" i="7"/>
  <c r="E162" i="7"/>
  <c r="D162" i="7"/>
  <c r="G161" i="7"/>
  <c r="F161" i="7"/>
  <c r="E161" i="7"/>
  <c r="D161" i="7"/>
  <c r="G160" i="7"/>
  <c r="F160" i="7"/>
  <c r="E160" i="7"/>
  <c r="D160" i="7"/>
  <c r="G159" i="7"/>
  <c r="F159" i="7"/>
  <c r="E159" i="7"/>
  <c r="D159" i="7"/>
  <c r="G158" i="7"/>
  <c r="F158" i="7"/>
  <c r="E158" i="7"/>
  <c r="D158" i="7"/>
  <c r="G157" i="7"/>
  <c r="F157" i="7"/>
  <c r="E157" i="7"/>
  <c r="D157" i="7"/>
  <c r="G156" i="7"/>
  <c r="F156" i="7"/>
  <c r="E156" i="7"/>
  <c r="D156" i="7"/>
  <c r="G155" i="7"/>
  <c r="F155" i="7"/>
  <c r="E155" i="7"/>
  <c r="D155" i="7"/>
  <c r="G154" i="7"/>
  <c r="F154" i="7"/>
  <c r="E154" i="7"/>
  <c r="D154" i="7"/>
  <c r="G153" i="7"/>
  <c r="F153" i="7"/>
  <c r="E153" i="7"/>
  <c r="D153" i="7"/>
  <c r="G152" i="7"/>
  <c r="F152" i="7"/>
  <c r="E152" i="7"/>
  <c r="D152" i="7"/>
  <c r="G151" i="7"/>
  <c r="F151" i="7"/>
  <c r="E151" i="7"/>
  <c r="D151" i="7"/>
  <c r="G150" i="7"/>
  <c r="F150" i="7"/>
  <c r="E150" i="7"/>
  <c r="D150" i="7"/>
  <c r="G149" i="7"/>
  <c r="F149" i="7"/>
  <c r="E149" i="7"/>
  <c r="D149" i="7"/>
  <c r="G148" i="7"/>
  <c r="F148" i="7"/>
  <c r="E148" i="7"/>
  <c r="D148" i="7"/>
  <c r="G147" i="7"/>
  <c r="F147" i="7"/>
  <c r="E147" i="7"/>
  <c r="D147" i="7"/>
  <c r="G146" i="7"/>
  <c r="F146" i="7"/>
  <c r="E146" i="7"/>
  <c r="D146" i="7"/>
  <c r="G145" i="7"/>
  <c r="F145" i="7"/>
  <c r="E145" i="7"/>
  <c r="D145" i="7"/>
  <c r="G144" i="7"/>
  <c r="F144" i="7"/>
  <c r="E144" i="7"/>
  <c r="D144" i="7"/>
  <c r="G143" i="7"/>
  <c r="F143" i="7"/>
  <c r="E143" i="7"/>
  <c r="D143" i="7"/>
  <c r="G142" i="7"/>
  <c r="F142" i="7"/>
  <c r="E142" i="7"/>
  <c r="D142" i="7"/>
  <c r="G141" i="7"/>
  <c r="F141" i="7"/>
  <c r="E141" i="7"/>
  <c r="D141" i="7"/>
  <c r="G140" i="7"/>
  <c r="F140" i="7"/>
  <c r="E140" i="7"/>
  <c r="D140" i="7"/>
  <c r="G139" i="7"/>
  <c r="F139" i="7"/>
  <c r="E139" i="7"/>
  <c r="D139" i="7"/>
  <c r="G138" i="7"/>
  <c r="F138" i="7"/>
  <c r="E138" i="7"/>
  <c r="D138" i="7"/>
  <c r="G137" i="7"/>
  <c r="F137" i="7"/>
  <c r="E137" i="7"/>
  <c r="D137" i="7"/>
  <c r="G136" i="7"/>
  <c r="F136" i="7"/>
  <c r="E136" i="7"/>
  <c r="D136" i="7"/>
  <c r="G135" i="7"/>
  <c r="F135" i="7"/>
  <c r="E135" i="7"/>
  <c r="D135" i="7"/>
  <c r="G134" i="7"/>
  <c r="F134" i="7"/>
  <c r="E134" i="7"/>
  <c r="D134" i="7"/>
  <c r="G133" i="7"/>
  <c r="F133" i="7"/>
  <c r="E133" i="7"/>
  <c r="D133" i="7"/>
  <c r="G132" i="7"/>
  <c r="F132" i="7"/>
  <c r="E132" i="7"/>
  <c r="D132" i="7"/>
  <c r="G131" i="7"/>
  <c r="F131" i="7"/>
  <c r="E131" i="7"/>
  <c r="D131" i="7"/>
  <c r="G130" i="7"/>
  <c r="F130" i="7"/>
  <c r="E130" i="7"/>
  <c r="D130" i="7"/>
  <c r="G129" i="7"/>
  <c r="F129" i="7"/>
  <c r="E129" i="7"/>
  <c r="D129" i="7"/>
  <c r="G128" i="7"/>
  <c r="F128" i="7"/>
  <c r="E128" i="7"/>
  <c r="D128" i="7"/>
  <c r="G127" i="7"/>
  <c r="F127" i="7"/>
  <c r="E127" i="7"/>
  <c r="D127" i="7"/>
  <c r="G126" i="7"/>
  <c r="F126" i="7"/>
  <c r="E126" i="7"/>
  <c r="D126" i="7"/>
  <c r="G125" i="7"/>
  <c r="F125" i="7"/>
  <c r="E125" i="7"/>
  <c r="D125" i="7"/>
  <c r="G124" i="7"/>
  <c r="F124" i="7"/>
  <c r="E124" i="7"/>
  <c r="D124" i="7"/>
  <c r="G123" i="7"/>
  <c r="F123" i="7"/>
  <c r="E123" i="7"/>
  <c r="D123" i="7"/>
  <c r="G122" i="7"/>
  <c r="F122" i="7"/>
  <c r="E122" i="7"/>
  <c r="D122" i="7"/>
  <c r="G121" i="7"/>
  <c r="F121" i="7"/>
  <c r="E121" i="7"/>
  <c r="D121" i="7"/>
  <c r="G120" i="7"/>
  <c r="F120" i="7"/>
  <c r="E120" i="7"/>
  <c r="D120" i="7"/>
  <c r="G119" i="7"/>
  <c r="F119" i="7"/>
  <c r="E119" i="7"/>
  <c r="D119" i="7"/>
  <c r="G118" i="7"/>
  <c r="F118" i="7"/>
  <c r="E118" i="7"/>
  <c r="D118" i="7"/>
  <c r="G117" i="7"/>
  <c r="F117" i="7"/>
  <c r="E117" i="7"/>
  <c r="D117" i="7"/>
  <c r="G116" i="7"/>
  <c r="F116" i="7"/>
  <c r="E116" i="7"/>
  <c r="D116" i="7"/>
  <c r="G115" i="7"/>
  <c r="F115" i="7"/>
  <c r="E115" i="7"/>
  <c r="D115" i="7"/>
  <c r="G114" i="7"/>
  <c r="F114" i="7"/>
  <c r="E114" i="7"/>
  <c r="D114" i="7"/>
  <c r="G113" i="7"/>
  <c r="F113" i="7"/>
  <c r="E113" i="7"/>
  <c r="D113" i="7"/>
  <c r="G112" i="7"/>
  <c r="F112" i="7"/>
  <c r="E112" i="7"/>
  <c r="D112" i="7"/>
  <c r="G111" i="7"/>
  <c r="F111" i="7"/>
  <c r="E111" i="7"/>
  <c r="D111" i="7"/>
  <c r="G110" i="7"/>
  <c r="F110" i="7"/>
  <c r="E110" i="7"/>
  <c r="D110" i="7"/>
  <c r="G109" i="7"/>
  <c r="F109" i="7"/>
  <c r="E109" i="7"/>
  <c r="D109" i="7"/>
  <c r="G108" i="7"/>
  <c r="F108" i="7"/>
  <c r="E108" i="7"/>
  <c r="D108" i="7"/>
  <c r="G107" i="7"/>
  <c r="F107" i="7"/>
  <c r="E107" i="7"/>
  <c r="D107" i="7"/>
  <c r="G106" i="7"/>
  <c r="F106" i="7"/>
  <c r="E106" i="7"/>
  <c r="D106" i="7"/>
  <c r="G105" i="7"/>
  <c r="F105" i="7"/>
  <c r="E105" i="7"/>
  <c r="D105" i="7"/>
  <c r="G104" i="7"/>
  <c r="F104" i="7"/>
  <c r="E104" i="7"/>
  <c r="D104" i="7"/>
  <c r="G103" i="7"/>
  <c r="F103" i="7"/>
  <c r="E103" i="7"/>
  <c r="D103" i="7"/>
  <c r="G102" i="7"/>
  <c r="F102" i="7"/>
  <c r="E102" i="7"/>
  <c r="D102" i="7"/>
  <c r="G101" i="7"/>
  <c r="F101" i="7"/>
  <c r="E101" i="7"/>
  <c r="D101" i="7"/>
  <c r="G100" i="7"/>
  <c r="F100" i="7"/>
  <c r="E100" i="7"/>
  <c r="D100" i="7"/>
  <c r="G99" i="7"/>
  <c r="F99" i="7"/>
  <c r="E99" i="7"/>
  <c r="D99" i="7"/>
  <c r="G98" i="7"/>
  <c r="F98" i="7"/>
  <c r="E98" i="7"/>
  <c r="D98" i="7"/>
  <c r="G97" i="7"/>
  <c r="F97" i="7"/>
  <c r="E97" i="7"/>
  <c r="D97" i="7"/>
  <c r="G96" i="7"/>
  <c r="F96" i="7"/>
  <c r="E96" i="7"/>
  <c r="D96" i="7"/>
  <c r="G95" i="7"/>
  <c r="F95" i="7"/>
  <c r="E95" i="7"/>
  <c r="D95" i="7"/>
  <c r="G94" i="7"/>
  <c r="F94" i="7"/>
  <c r="E94" i="7"/>
  <c r="D94" i="7"/>
  <c r="G93" i="7"/>
  <c r="F93" i="7"/>
  <c r="E93" i="7"/>
  <c r="D93" i="7"/>
  <c r="G92" i="7"/>
  <c r="F92" i="7"/>
  <c r="E92" i="7"/>
  <c r="D92" i="7"/>
  <c r="G91" i="7"/>
  <c r="F91" i="7"/>
  <c r="E91" i="7"/>
  <c r="D91" i="7"/>
  <c r="G90" i="7"/>
  <c r="F90" i="7"/>
  <c r="E90" i="7"/>
  <c r="D90" i="7"/>
  <c r="G89" i="7"/>
  <c r="F89" i="7"/>
  <c r="E89" i="7"/>
  <c r="D89" i="7"/>
  <c r="G88" i="7"/>
  <c r="F88" i="7"/>
  <c r="E88" i="7"/>
  <c r="D88" i="7"/>
  <c r="G87" i="7"/>
  <c r="F87" i="7"/>
  <c r="E87" i="7"/>
  <c r="D87" i="7"/>
  <c r="G86" i="7"/>
  <c r="F86" i="7"/>
  <c r="E86" i="7"/>
  <c r="D86" i="7"/>
  <c r="G85" i="7"/>
  <c r="F85" i="7"/>
  <c r="E85" i="7"/>
  <c r="D85" i="7"/>
  <c r="G84" i="7"/>
  <c r="F84" i="7"/>
  <c r="E84" i="7"/>
  <c r="D84" i="7"/>
  <c r="G83" i="7"/>
  <c r="F83" i="7"/>
  <c r="E83" i="7"/>
  <c r="D83" i="7"/>
  <c r="G82" i="7"/>
  <c r="F82" i="7"/>
  <c r="E82" i="7"/>
  <c r="D82" i="7"/>
  <c r="G81" i="7"/>
  <c r="F81" i="7"/>
  <c r="E81" i="7"/>
  <c r="D81" i="7"/>
  <c r="G80" i="7"/>
  <c r="F80" i="7"/>
  <c r="E80" i="7"/>
  <c r="D80" i="7"/>
  <c r="G79" i="7"/>
  <c r="F79" i="7"/>
  <c r="E79" i="7"/>
  <c r="D79" i="7"/>
  <c r="G78" i="7"/>
  <c r="F78" i="7"/>
  <c r="E78" i="7"/>
  <c r="D78" i="7"/>
  <c r="G77" i="7"/>
  <c r="F77" i="7"/>
  <c r="E77" i="7"/>
  <c r="D77" i="7"/>
  <c r="G76" i="7"/>
  <c r="F76" i="7"/>
  <c r="E76" i="7"/>
  <c r="D76" i="7"/>
  <c r="G75" i="7"/>
  <c r="F75" i="7"/>
  <c r="E75" i="7"/>
  <c r="D75" i="7"/>
  <c r="G74" i="7"/>
  <c r="F74" i="7"/>
  <c r="E74" i="7"/>
  <c r="D74" i="7"/>
  <c r="G73" i="7"/>
  <c r="F73" i="7"/>
  <c r="E73" i="7"/>
  <c r="D73" i="7"/>
  <c r="G72" i="7"/>
  <c r="F72" i="7"/>
  <c r="E72" i="7"/>
  <c r="D72" i="7"/>
  <c r="G71" i="7"/>
  <c r="F71" i="7"/>
  <c r="E71" i="7"/>
  <c r="D71" i="7"/>
  <c r="G70" i="7"/>
  <c r="F70" i="7"/>
  <c r="E70" i="7"/>
  <c r="D70" i="7"/>
  <c r="G69" i="7"/>
  <c r="F69" i="7"/>
  <c r="E69" i="7"/>
  <c r="D69" i="7"/>
  <c r="G68" i="7"/>
  <c r="F68" i="7"/>
  <c r="E68" i="7"/>
  <c r="D68" i="7"/>
  <c r="G67" i="7"/>
  <c r="F67" i="7"/>
  <c r="E67" i="7"/>
  <c r="D67" i="7"/>
  <c r="G66" i="7"/>
  <c r="F66" i="7"/>
  <c r="E66" i="7"/>
  <c r="D66" i="7"/>
  <c r="G65" i="7"/>
  <c r="F65" i="7"/>
  <c r="E65" i="7"/>
  <c r="D65" i="7"/>
  <c r="G64" i="7"/>
  <c r="F64" i="7"/>
  <c r="E64" i="7"/>
  <c r="D64" i="7"/>
  <c r="G63" i="7"/>
  <c r="F63" i="7"/>
  <c r="E63" i="7"/>
  <c r="D63" i="7"/>
  <c r="G62" i="7"/>
  <c r="F62" i="7"/>
  <c r="E62" i="7"/>
  <c r="D62" i="7"/>
  <c r="G61" i="7"/>
  <c r="F61" i="7"/>
  <c r="E61" i="7"/>
  <c r="D61" i="7"/>
  <c r="G60" i="7"/>
  <c r="F60" i="7"/>
  <c r="E60" i="7"/>
  <c r="D60" i="7"/>
  <c r="G59" i="7"/>
  <c r="F59" i="7"/>
  <c r="E59" i="7"/>
  <c r="D59" i="7"/>
  <c r="G58" i="7"/>
  <c r="F58" i="7"/>
  <c r="E58" i="7"/>
  <c r="D58" i="7"/>
  <c r="G57" i="7"/>
  <c r="F57" i="7"/>
  <c r="E57" i="7"/>
  <c r="D57" i="7"/>
  <c r="G56" i="7"/>
  <c r="F56" i="7"/>
  <c r="E56" i="7"/>
  <c r="D56" i="7"/>
  <c r="G55" i="7"/>
  <c r="F55" i="7"/>
  <c r="E55" i="7"/>
  <c r="D55" i="7"/>
  <c r="G54" i="7"/>
  <c r="F54" i="7"/>
  <c r="E54" i="7"/>
  <c r="D54" i="7"/>
  <c r="G53" i="7"/>
  <c r="F53" i="7"/>
  <c r="E53" i="7"/>
  <c r="D53" i="7"/>
  <c r="G52" i="7"/>
  <c r="F52" i="7"/>
  <c r="E52" i="7"/>
  <c r="D52" i="7"/>
  <c r="G51" i="7"/>
  <c r="F51" i="7"/>
  <c r="E51" i="7"/>
  <c r="D51" i="7"/>
  <c r="G50" i="7"/>
  <c r="F50" i="7"/>
  <c r="E50" i="7"/>
  <c r="D50" i="7"/>
  <c r="G49" i="7"/>
  <c r="F49" i="7"/>
  <c r="E49" i="7"/>
  <c r="D49" i="7"/>
  <c r="G48" i="7"/>
  <c r="F48" i="7"/>
  <c r="E48" i="7"/>
  <c r="D48" i="7"/>
  <c r="G47" i="7"/>
  <c r="F47" i="7"/>
  <c r="E47" i="7"/>
  <c r="D47" i="7"/>
  <c r="G46" i="7"/>
  <c r="F46" i="7"/>
  <c r="E46" i="7"/>
  <c r="D46" i="7"/>
  <c r="G45" i="7"/>
  <c r="F45" i="7"/>
  <c r="E45" i="7"/>
  <c r="D45" i="7"/>
  <c r="G44" i="7"/>
  <c r="F44" i="7"/>
  <c r="E44" i="7"/>
  <c r="D44" i="7"/>
  <c r="G43" i="7"/>
  <c r="F43" i="7"/>
  <c r="E43" i="7"/>
  <c r="D43" i="7"/>
  <c r="G42" i="7"/>
  <c r="F42" i="7"/>
  <c r="E42" i="7"/>
  <c r="D42" i="7"/>
  <c r="G41" i="7"/>
  <c r="F41" i="7"/>
  <c r="E41" i="7"/>
  <c r="D41" i="7"/>
  <c r="G40" i="7"/>
  <c r="F40" i="7"/>
  <c r="E40" i="7"/>
  <c r="D40" i="7"/>
  <c r="G39" i="7"/>
  <c r="F39" i="7"/>
  <c r="E39" i="7"/>
  <c r="D39" i="7"/>
  <c r="G38" i="7"/>
  <c r="F38" i="7"/>
  <c r="E38" i="7"/>
  <c r="D38" i="7"/>
  <c r="G37" i="7"/>
  <c r="F37" i="7"/>
  <c r="E37" i="7"/>
  <c r="D37" i="7"/>
  <c r="G36" i="7"/>
  <c r="F36" i="7"/>
  <c r="E36" i="7"/>
  <c r="D36" i="7"/>
  <c r="G35" i="7"/>
  <c r="F35" i="7"/>
  <c r="E35" i="7"/>
  <c r="D35" i="7"/>
  <c r="G34" i="7"/>
  <c r="F34" i="7"/>
  <c r="E34" i="7"/>
  <c r="D34" i="7"/>
  <c r="G33" i="7"/>
  <c r="G32" i="7"/>
  <c r="G31" i="7"/>
  <c r="G30" i="7"/>
  <c r="G29" i="7"/>
  <c r="G28" i="7"/>
  <c r="G27" i="7"/>
  <c r="G26" i="7"/>
  <c r="G25" i="7"/>
  <c r="G24" i="7"/>
  <c r="G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G9" i="7"/>
  <c r="G8" i="7"/>
  <c r="G7" i="7"/>
  <c r="G6" i="7"/>
  <c r="G5" i="7"/>
  <c r="G4" i="7"/>
  <c r="G3" i="7"/>
  <c r="G2" i="7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D108" i="1"/>
  <c r="E108" i="1"/>
  <c r="F108" i="1"/>
  <c r="G108" i="1"/>
  <c r="D109" i="1"/>
  <c r="E109" i="1"/>
  <c r="F109" i="1"/>
  <c r="G109" i="1"/>
  <c r="D110" i="1"/>
  <c r="E110" i="1"/>
  <c r="F110" i="1"/>
  <c r="G110" i="1"/>
  <c r="D111" i="1"/>
  <c r="E111" i="1"/>
  <c r="F111" i="1"/>
  <c r="G111" i="1"/>
  <c r="D112" i="1"/>
  <c r="E112" i="1"/>
  <c r="F112" i="1"/>
  <c r="G112" i="1"/>
  <c r="D113" i="1"/>
  <c r="E113" i="1"/>
  <c r="F113" i="1"/>
  <c r="G113" i="1"/>
  <c r="D114" i="1"/>
  <c r="E114" i="1"/>
  <c r="F114" i="1"/>
  <c r="G114" i="1"/>
  <c r="D115" i="1"/>
  <c r="E115" i="1"/>
  <c r="F115" i="1"/>
  <c r="G115" i="1"/>
  <c r="D116" i="1"/>
  <c r="E116" i="1"/>
  <c r="F116" i="1"/>
  <c r="G116" i="1"/>
  <c r="D117" i="1"/>
  <c r="E117" i="1"/>
  <c r="F117" i="1"/>
  <c r="G117" i="1"/>
  <c r="D118" i="1"/>
  <c r="E118" i="1"/>
  <c r="F118" i="1"/>
  <c r="G118" i="1"/>
  <c r="D119" i="1"/>
  <c r="E119" i="1"/>
  <c r="F119" i="1"/>
  <c r="G119" i="1"/>
  <c r="D120" i="1"/>
  <c r="E120" i="1"/>
  <c r="F120" i="1"/>
  <c r="G120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24" i="1"/>
  <c r="E124" i="1"/>
  <c r="F124" i="1"/>
  <c r="G124" i="1"/>
  <c r="D125" i="1"/>
  <c r="E125" i="1"/>
  <c r="F125" i="1"/>
  <c r="G125" i="1"/>
  <c r="D126" i="1"/>
  <c r="E126" i="1"/>
  <c r="F126" i="1"/>
  <c r="G126" i="1"/>
  <c r="D127" i="1"/>
  <c r="E127" i="1"/>
  <c r="F127" i="1"/>
  <c r="G127" i="1"/>
  <c r="D128" i="1"/>
  <c r="E128" i="1"/>
  <c r="F128" i="1"/>
  <c r="G128" i="1"/>
  <c r="D129" i="1"/>
  <c r="E129" i="1"/>
  <c r="F129" i="1"/>
  <c r="G129" i="1"/>
  <c r="D130" i="1"/>
  <c r="E130" i="1"/>
  <c r="F130" i="1"/>
  <c r="G130" i="1"/>
  <c r="D131" i="1"/>
  <c r="E131" i="1"/>
  <c r="F131" i="1"/>
  <c r="G131" i="1"/>
  <c r="D132" i="1"/>
  <c r="E132" i="1"/>
  <c r="F132" i="1"/>
  <c r="G132" i="1"/>
  <c r="D133" i="1"/>
  <c r="E133" i="1"/>
  <c r="F133" i="1"/>
  <c r="G133" i="1"/>
  <c r="D134" i="1"/>
  <c r="E134" i="1"/>
  <c r="F134" i="1"/>
  <c r="G134" i="1"/>
  <c r="D135" i="1"/>
  <c r="E135" i="1"/>
  <c r="F135" i="1"/>
  <c r="G135" i="1"/>
  <c r="D136" i="1"/>
  <c r="E136" i="1"/>
  <c r="F136" i="1"/>
  <c r="G136" i="1"/>
  <c r="D137" i="1"/>
  <c r="E137" i="1"/>
  <c r="F137" i="1"/>
  <c r="G137" i="1"/>
  <c r="D138" i="1"/>
  <c r="E138" i="1"/>
  <c r="F138" i="1"/>
  <c r="G138" i="1"/>
  <c r="D139" i="1"/>
  <c r="E139" i="1"/>
  <c r="F139" i="1"/>
  <c r="G139" i="1"/>
  <c r="D140" i="1"/>
  <c r="E140" i="1"/>
  <c r="F140" i="1"/>
  <c r="G140" i="1"/>
  <c r="D141" i="1"/>
  <c r="E141" i="1"/>
  <c r="F141" i="1"/>
  <c r="G141" i="1"/>
  <c r="D142" i="1"/>
  <c r="E142" i="1"/>
  <c r="F142" i="1"/>
  <c r="G142" i="1"/>
  <c r="D143" i="1"/>
  <c r="E143" i="1"/>
  <c r="F143" i="1"/>
  <c r="G143" i="1"/>
  <c r="D144" i="1"/>
  <c r="E144" i="1"/>
  <c r="F144" i="1"/>
  <c r="G144" i="1"/>
  <c r="D145" i="1"/>
  <c r="E145" i="1"/>
  <c r="F145" i="1"/>
  <c r="G145" i="1"/>
  <c r="D146" i="1"/>
  <c r="E146" i="1"/>
  <c r="F146" i="1"/>
  <c r="G146" i="1"/>
  <c r="D147" i="1"/>
  <c r="E147" i="1"/>
  <c r="F147" i="1"/>
  <c r="G147" i="1"/>
  <c r="D148" i="1"/>
  <c r="E148" i="1"/>
  <c r="F148" i="1"/>
  <c r="G148" i="1"/>
  <c r="D149" i="1"/>
  <c r="E149" i="1"/>
  <c r="F149" i="1"/>
  <c r="G149" i="1"/>
  <c r="D150" i="1"/>
  <c r="E150" i="1"/>
  <c r="F150" i="1"/>
  <c r="G150" i="1"/>
  <c r="D151" i="1"/>
  <c r="E151" i="1"/>
  <c r="F151" i="1"/>
  <c r="G151" i="1"/>
  <c r="D152" i="1"/>
  <c r="E152" i="1"/>
  <c r="F152" i="1"/>
  <c r="G152" i="1"/>
  <c r="D153" i="1"/>
  <c r="E153" i="1"/>
  <c r="F153" i="1"/>
  <c r="G153" i="1"/>
  <c r="D154" i="1"/>
  <c r="E154" i="1"/>
  <c r="F154" i="1"/>
  <c r="G154" i="1"/>
  <c r="D155" i="1"/>
  <c r="E155" i="1"/>
  <c r="F155" i="1"/>
  <c r="G155" i="1"/>
  <c r="D156" i="1"/>
  <c r="E156" i="1"/>
  <c r="F156" i="1"/>
  <c r="G156" i="1"/>
  <c r="D157" i="1"/>
  <c r="E157" i="1"/>
  <c r="F157" i="1"/>
  <c r="G157" i="1"/>
  <c r="D158" i="1"/>
  <c r="E158" i="1"/>
  <c r="F158" i="1"/>
  <c r="G158" i="1"/>
  <c r="D159" i="1"/>
  <c r="E159" i="1"/>
  <c r="F159" i="1"/>
  <c r="G159" i="1"/>
  <c r="D160" i="1"/>
  <c r="E160" i="1"/>
  <c r="F160" i="1"/>
  <c r="G160" i="1"/>
  <c r="D161" i="1"/>
  <c r="E161" i="1"/>
  <c r="F161" i="1"/>
  <c r="G161" i="1"/>
  <c r="D162" i="1"/>
  <c r="E162" i="1"/>
  <c r="F162" i="1"/>
  <c r="G162" i="1"/>
  <c r="D163" i="1"/>
  <c r="E163" i="1"/>
  <c r="F163" i="1"/>
  <c r="G163" i="1"/>
  <c r="D164" i="1"/>
  <c r="E164" i="1"/>
  <c r="F164" i="1"/>
  <c r="G164" i="1"/>
  <c r="D165" i="1"/>
  <c r="E165" i="1"/>
  <c r="F165" i="1"/>
  <c r="G165" i="1"/>
  <c r="D166" i="1"/>
  <c r="E166" i="1"/>
  <c r="F166" i="1"/>
  <c r="G166" i="1"/>
  <c r="D167" i="1"/>
  <c r="E167" i="1"/>
  <c r="F167" i="1"/>
  <c r="G167" i="1"/>
  <c r="D168" i="1"/>
  <c r="E168" i="1"/>
  <c r="F168" i="1"/>
  <c r="G168" i="1"/>
  <c r="D169" i="1"/>
  <c r="E169" i="1"/>
  <c r="F169" i="1"/>
  <c r="G169" i="1"/>
  <c r="D170" i="1"/>
  <c r="E170" i="1"/>
  <c r="F170" i="1"/>
  <c r="G170" i="1"/>
  <c r="D171" i="1"/>
  <c r="E171" i="1"/>
  <c r="F171" i="1"/>
  <c r="G171" i="1"/>
  <c r="D172" i="1"/>
  <c r="E172" i="1"/>
  <c r="F172" i="1"/>
  <c r="G172" i="1"/>
  <c r="D173" i="1"/>
  <c r="E173" i="1"/>
  <c r="F173" i="1"/>
  <c r="G173" i="1"/>
  <c r="D174" i="1"/>
  <c r="E174" i="1"/>
  <c r="F174" i="1"/>
  <c r="G174" i="1"/>
  <c r="D175" i="1"/>
  <c r="E175" i="1"/>
  <c r="F175" i="1"/>
  <c r="G175" i="1"/>
  <c r="D176" i="1"/>
  <c r="E176" i="1"/>
  <c r="F176" i="1"/>
  <c r="G176" i="1"/>
  <c r="D177" i="1"/>
  <c r="E177" i="1"/>
  <c r="F177" i="1"/>
  <c r="G177" i="1"/>
  <c r="D178" i="1"/>
  <c r="E178" i="1"/>
  <c r="F178" i="1"/>
  <c r="G178" i="1"/>
  <c r="D179" i="1"/>
  <c r="E179" i="1"/>
  <c r="F179" i="1"/>
  <c r="G179" i="1"/>
  <c r="D180" i="1"/>
  <c r="E180" i="1"/>
  <c r="F180" i="1"/>
  <c r="G180" i="1"/>
  <c r="D181" i="1"/>
  <c r="E181" i="1"/>
  <c r="F181" i="1"/>
  <c r="G181" i="1"/>
  <c r="D182" i="1"/>
  <c r="E182" i="1"/>
  <c r="F182" i="1"/>
  <c r="G182" i="1"/>
  <c r="D183" i="1"/>
  <c r="E183" i="1"/>
  <c r="F183" i="1"/>
  <c r="G183" i="1"/>
  <c r="D184" i="1"/>
  <c r="E184" i="1"/>
  <c r="F184" i="1"/>
  <c r="G184" i="1"/>
  <c r="D185" i="1"/>
  <c r="E185" i="1"/>
  <c r="F185" i="1"/>
  <c r="G185" i="1"/>
  <c r="D186" i="1"/>
  <c r="E186" i="1"/>
  <c r="F186" i="1"/>
  <c r="G186" i="1"/>
  <c r="D187" i="1"/>
  <c r="E187" i="1"/>
  <c r="F187" i="1"/>
  <c r="G187" i="1"/>
  <c r="D188" i="1"/>
  <c r="E188" i="1"/>
  <c r="F188" i="1"/>
  <c r="G188" i="1"/>
  <c r="D189" i="1"/>
  <c r="E189" i="1"/>
  <c r="F189" i="1"/>
  <c r="G189" i="1"/>
  <c r="D190" i="1"/>
  <c r="E190" i="1"/>
  <c r="F190" i="1"/>
  <c r="G190" i="1"/>
  <c r="D191" i="1"/>
  <c r="E191" i="1"/>
  <c r="F191" i="1"/>
  <c r="G191" i="1"/>
  <c r="D192" i="1"/>
  <c r="E192" i="1"/>
  <c r="F192" i="1"/>
  <c r="G192" i="1"/>
  <c r="D193" i="1"/>
  <c r="E193" i="1"/>
  <c r="F193" i="1"/>
  <c r="G193" i="1"/>
  <c r="D194" i="1"/>
  <c r="E194" i="1"/>
  <c r="F194" i="1"/>
  <c r="G194" i="1"/>
  <c r="D195" i="1"/>
  <c r="E195" i="1"/>
  <c r="F195" i="1"/>
  <c r="G195" i="1"/>
  <c r="D196" i="1"/>
  <c r="E196" i="1"/>
  <c r="F196" i="1"/>
  <c r="G196" i="1"/>
  <c r="D197" i="1"/>
  <c r="E197" i="1"/>
  <c r="F197" i="1"/>
  <c r="G197" i="1"/>
  <c r="D198" i="1"/>
  <c r="E198" i="1"/>
  <c r="F198" i="1"/>
  <c r="G198" i="1"/>
  <c r="D199" i="1"/>
  <c r="E199" i="1"/>
  <c r="F199" i="1"/>
  <c r="G199" i="1"/>
  <c r="D200" i="1"/>
  <c r="E200" i="1"/>
  <c r="F200" i="1"/>
  <c r="G200" i="1"/>
  <c r="D201" i="1"/>
  <c r="E201" i="1"/>
  <c r="F201" i="1"/>
  <c r="G201" i="1"/>
  <c r="D202" i="1"/>
  <c r="E202" i="1"/>
  <c r="F202" i="1"/>
  <c r="G202" i="1"/>
  <c r="D203" i="1"/>
  <c r="E203" i="1"/>
  <c r="F203" i="1"/>
  <c r="G203" i="1"/>
  <c r="D204" i="1"/>
  <c r="E204" i="1"/>
  <c r="F204" i="1"/>
  <c r="G204" i="1"/>
  <c r="D205" i="1"/>
  <c r="E205" i="1"/>
  <c r="F205" i="1"/>
  <c r="G205" i="1"/>
  <c r="D206" i="1"/>
  <c r="E206" i="1"/>
  <c r="F206" i="1"/>
  <c r="G206" i="1"/>
  <c r="D207" i="1"/>
  <c r="E207" i="1"/>
  <c r="F207" i="1"/>
  <c r="G207" i="1"/>
  <c r="D208" i="1"/>
  <c r="E208" i="1"/>
  <c r="F208" i="1"/>
  <c r="G208" i="1"/>
  <c r="D209" i="1"/>
  <c r="E209" i="1"/>
  <c r="F209" i="1"/>
  <c r="G209" i="1"/>
  <c r="D210" i="1"/>
  <c r="E210" i="1"/>
  <c r="F210" i="1"/>
  <c r="G210" i="1"/>
  <c r="D211" i="1"/>
  <c r="E211" i="1"/>
  <c r="F211" i="1"/>
  <c r="G211" i="1"/>
  <c r="D212" i="1"/>
  <c r="E212" i="1"/>
  <c r="F212" i="1"/>
  <c r="G212" i="1"/>
  <c r="D213" i="1"/>
  <c r="E213" i="1"/>
  <c r="F213" i="1"/>
  <c r="G213" i="1"/>
  <c r="D214" i="1"/>
  <c r="E214" i="1"/>
  <c r="F214" i="1"/>
  <c r="G214" i="1"/>
  <c r="D215" i="1"/>
  <c r="E215" i="1"/>
  <c r="F215" i="1"/>
  <c r="G215" i="1"/>
  <c r="D216" i="1"/>
  <c r="E216" i="1"/>
  <c r="F216" i="1"/>
  <c r="G216" i="1"/>
  <c r="D217" i="1"/>
  <c r="E217" i="1"/>
  <c r="F217" i="1"/>
  <c r="G217" i="1"/>
  <c r="D218" i="1"/>
  <c r="E218" i="1"/>
  <c r="F218" i="1"/>
  <c r="G218" i="1"/>
  <c r="D219" i="1"/>
  <c r="E219" i="1"/>
  <c r="F219" i="1"/>
  <c r="G219" i="1"/>
  <c r="D220" i="1"/>
  <c r="E220" i="1"/>
  <c r="F220" i="1"/>
  <c r="G220" i="1"/>
  <c r="D221" i="1"/>
  <c r="E221" i="1"/>
  <c r="F221" i="1"/>
  <c r="G221" i="1"/>
  <c r="D222" i="1"/>
  <c r="E222" i="1"/>
  <c r="F222" i="1"/>
  <c r="G222" i="1"/>
  <c r="D223" i="1"/>
  <c r="E223" i="1"/>
  <c r="F223" i="1"/>
  <c r="G223" i="1"/>
  <c r="D224" i="1"/>
  <c r="E224" i="1"/>
  <c r="F224" i="1"/>
  <c r="G224" i="1"/>
  <c r="F206" i="2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G249" i="2"/>
  <c r="F249" i="2"/>
  <c r="E249" i="2"/>
  <c r="D249" i="2"/>
  <c r="G248" i="2"/>
  <c r="F248" i="2"/>
  <c r="E248" i="2"/>
  <c r="D248" i="2"/>
  <c r="G247" i="2"/>
  <c r="F247" i="2"/>
  <c r="E247" i="2"/>
  <c r="D247" i="2"/>
  <c r="G246" i="2"/>
  <c r="F246" i="2"/>
  <c r="E246" i="2"/>
  <c r="D246" i="2"/>
  <c r="G245" i="2"/>
  <c r="F245" i="2"/>
  <c r="E245" i="2"/>
  <c r="D245" i="2"/>
  <c r="G244" i="2"/>
  <c r="F244" i="2"/>
  <c r="E244" i="2"/>
  <c r="D244" i="2"/>
  <c r="G243" i="2"/>
  <c r="F243" i="2"/>
  <c r="E243" i="2"/>
  <c r="D243" i="2"/>
  <c r="G242" i="2"/>
  <c r="F242" i="2"/>
  <c r="E242" i="2"/>
  <c r="D242" i="2"/>
  <c r="G241" i="2"/>
  <c r="F241" i="2"/>
  <c r="E241" i="2"/>
  <c r="D241" i="2"/>
  <c r="G240" i="2"/>
  <c r="F240" i="2"/>
  <c r="E240" i="2"/>
  <c r="D240" i="2"/>
  <c r="G239" i="2"/>
  <c r="F239" i="2"/>
  <c r="E239" i="2"/>
  <c r="D239" i="2"/>
  <c r="G238" i="2"/>
  <c r="F238" i="2"/>
  <c r="E238" i="2"/>
  <c r="D238" i="2"/>
  <c r="G237" i="2"/>
  <c r="F237" i="2"/>
  <c r="E237" i="2"/>
  <c r="D237" i="2"/>
  <c r="G236" i="2"/>
  <c r="F236" i="2"/>
  <c r="E236" i="2"/>
  <c r="D236" i="2"/>
  <c r="F235" i="2"/>
  <c r="E235" i="2"/>
  <c r="D235" i="2"/>
  <c r="F234" i="2"/>
  <c r="E234" i="2"/>
  <c r="D234" i="2"/>
  <c r="F233" i="2"/>
  <c r="E233" i="2"/>
  <c r="D233" i="2"/>
  <c r="F232" i="2"/>
  <c r="E232" i="2"/>
  <c r="D232" i="2"/>
  <c r="F231" i="2"/>
  <c r="E231" i="2"/>
  <c r="D231" i="2"/>
  <c r="F230" i="2"/>
  <c r="E230" i="2"/>
  <c r="D230" i="2"/>
  <c r="F229" i="2"/>
  <c r="E229" i="2"/>
  <c r="D229" i="2"/>
  <c r="F228" i="2"/>
  <c r="E228" i="2"/>
  <c r="D228" i="2"/>
  <c r="F227" i="2"/>
  <c r="E227" i="2"/>
  <c r="D227" i="2"/>
  <c r="F226" i="2"/>
  <c r="E226" i="2"/>
  <c r="D226" i="2"/>
  <c r="G225" i="2"/>
  <c r="F225" i="2"/>
  <c r="E225" i="2"/>
  <c r="D225" i="2"/>
  <c r="G224" i="2"/>
  <c r="F224" i="2"/>
  <c r="E224" i="2"/>
  <c r="D224" i="2"/>
  <c r="G223" i="2"/>
  <c r="F223" i="2"/>
  <c r="E223" i="2"/>
  <c r="D223" i="2"/>
  <c r="G222" i="2"/>
  <c r="F222" i="2"/>
  <c r="E222" i="2"/>
  <c r="D222" i="2"/>
  <c r="G218" i="2"/>
  <c r="G219" i="2"/>
  <c r="G220" i="2"/>
  <c r="G221" i="2"/>
  <c r="F218" i="2"/>
  <c r="F219" i="2"/>
  <c r="F220" i="2"/>
  <c r="F221" i="2"/>
  <c r="E218" i="2"/>
  <c r="E219" i="2"/>
  <c r="E220" i="2"/>
  <c r="E221" i="2"/>
  <c r="D218" i="2"/>
  <c r="D219" i="2"/>
  <c r="D220" i="2"/>
  <c r="D221" i="2"/>
  <c r="G217" i="2"/>
  <c r="F217" i="2"/>
  <c r="E217" i="2"/>
  <c r="D217" i="2"/>
  <c r="G216" i="2"/>
  <c r="F216" i="2"/>
  <c r="E216" i="2"/>
  <c r="D216" i="2"/>
  <c r="G215" i="2"/>
  <c r="F215" i="2"/>
  <c r="E215" i="2"/>
  <c r="D215" i="2"/>
  <c r="G214" i="2"/>
  <c r="F214" i="2"/>
  <c r="E214" i="2"/>
  <c r="D214" i="2"/>
  <c r="G213" i="2"/>
  <c r="F213" i="2"/>
  <c r="E213" i="2"/>
  <c r="D213" i="2"/>
  <c r="G212" i="2"/>
  <c r="F212" i="2"/>
  <c r="E212" i="2"/>
  <c r="D212" i="2"/>
  <c r="G211" i="2"/>
  <c r="F211" i="2"/>
  <c r="E211" i="2"/>
  <c r="D211" i="2"/>
  <c r="G210" i="2"/>
  <c r="F210" i="2"/>
  <c r="E210" i="2"/>
  <c r="D210" i="2"/>
  <c r="G207" i="2"/>
  <c r="G208" i="2"/>
  <c r="G209" i="2"/>
  <c r="F207" i="2"/>
  <c r="F208" i="2"/>
  <c r="F209" i="2"/>
  <c r="E207" i="2"/>
  <c r="E208" i="2"/>
  <c r="E209" i="2"/>
  <c r="D207" i="2"/>
  <c r="D208" i="2"/>
  <c r="D209" i="2"/>
  <c r="G206" i="2"/>
  <c r="E206" i="2"/>
  <c r="D206" i="2"/>
  <c r="G205" i="2"/>
  <c r="F205" i="2"/>
  <c r="E205" i="2"/>
  <c r="D205" i="2"/>
  <c r="G204" i="2"/>
  <c r="F204" i="2"/>
  <c r="E204" i="2"/>
  <c r="D204" i="2"/>
  <c r="G203" i="2"/>
  <c r="F203" i="2"/>
  <c r="E203" i="2"/>
  <c r="D203" i="2"/>
  <c r="G202" i="2"/>
  <c r="F202" i="2"/>
  <c r="E202" i="2"/>
  <c r="D202" i="2"/>
  <c r="G196" i="2"/>
  <c r="G197" i="2"/>
  <c r="G198" i="2"/>
  <c r="G199" i="2"/>
  <c r="G200" i="2"/>
  <c r="G201" i="2"/>
  <c r="F196" i="2"/>
  <c r="F197" i="2"/>
  <c r="F198" i="2"/>
  <c r="F199" i="2"/>
  <c r="F200" i="2"/>
  <c r="F201" i="2"/>
  <c r="E196" i="2"/>
  <c r="E197" i="2"/>
  <c r="E198" i="2"/>
  <c r="E199" i="2"/>
  <c r="E200" i="2"/>
  <c r="E201" i="2"/>
  <c r="D196" i="2"/>
  <c r="D197" i="2"/>
  <c r="D198" i="2"/>
  <c r="D199" i="2"/>
  <c r="D200" i="2"/>
  <c r="D201" i="2"/>
  <c r="G195" i="2"/>
  <c r="F195" i="2"/>
  <c r="E195" i="2"/>
  <c r="D195" i="2"/>
  <c r="G194" i="2"/>
  <c r="F194" i="2"/>
  <c r="E194" i="2"/>
  <c r="D194" i="2"/>
  <c r="G193" i="2"/>
  <c r="F193" i="2"/>
  <c r="E193" i="2"/>
  <c r="D193" i="2"/>
  <c r="G192" i="2"/>
  <c r="F192" i="2"/>
  <c r="E192" i="2"/>
  <c r="D192" i="2"/>
  <c r="G187" i="2"/>
  <c r="G188" i="2"/>
  <c r="G189" i="2"/>
  <c r="G190" i="2"/>
  <c r="G191" i="2"/>
  <c r="F187" i="2"/>
  <c r="F188" i="2"/>
  <c r="F189" i="2"/>
  <c r="F190" i="2"/>
  <c r="F191" i="2"/>
  <c r="E187" i="2"/>
  <c r="E188" i="2"/>
  <c r="E189" i="2"/>
  <c r="E190" i="2"/>
  <c r="E191" i="2"/>
  <c r="D187" i="2"/>
  <c r="D188" i="2"/>
  <c r="D189" i="2"/>
  <c r="D190" i="2"/>
  <c r="D191" i="2"/>
  <c r="G186" i="2"/>
  <c r="F186" i="2"/>
  <c r="E186" i="2"/>
  <c r="D186" i="2"/>
  <c r="G185" i="2"/>
  <c r="F185" i="2"/>
  <c r="E185" i="2"/>
  <c r="D185" i="2"/>
  <c r="G184" i="2"/>
  <c r="F184" i="2"/>
  <c r="E184" i="2"/>
  <c r="D184" i="2"/>
  <c r="G183" i="2"/>
  <c r="F183" i="2"/>
  <c r="E183" i="2"/>
  <c r="D183" i="2"/>
  <c r="G182" i="2"/>
  <c r="F182" i="2"/>
  <c r="E182" i="2"/>
  <c r="D182" i="2"/>
  <c r="G181" i="2"/>
  <c r="F181" i="2"/>
  <c r="E181" i="2"/>
  <c r="D181" i="2"/>
  <c r="G180" i="2"/>
  <c r="F180" i="2"/>
  <c r="E180" i="2"/>
  <c r="D180" i="2"/>
  <c r="G179" i="2"/>
  <c r="F179" i="2"/>
  <c r="E179" i="2"/>
  <c r="D179" i="2"/>
  <c r="G178" i="2"/>
  <c r="F178" i="2"/>
  <c r="E178" i="2"/>
  <c r="D178" i="2"/>
  <c r="G177" i="2"/>
  <c r="F177" i="2"/>
  <c r="E177" i="2"/>
  <c r="D177" i="2"/>
  <c r="G174" i="2"/>
  <c r="G175" i="2"/>
  <c r="G176" i="2"/>
  <c r="F174" i="2"/>
  <c r="F175" i="2"/>
  <c r="F176" i="2"/>
  <c r="E174" i="2"/>
  <c r="E175" i="2"/>
  <c r="E176" i="2"/>
  <c r="D174" i="2"/>
  <c r="D175" i="2"/>
  <c r="D176" i="2"/>
  <c r="G173" i="2"/>
  <c r="F173" i="2"/>
  <c r="E173" i="2"/>
  <c r="D173" i="2"/>
  <c r="G172" i="2"/>
  <c r="F172" i="2"/>
  <c r="E172" i="2"/>
  <c r="D172" i="2"/>
  <c r="G171" i="2"/>
  <c r="F171" i="2"/>
  <c r="E171" i="2"/>
  <c r="D171" i="2"/>
  <c r="G170" i="2"/>
  <c r="F170" i="2"/>
  <c r="E170" i="2"/>
  <c r="D170" i="2"/>
  <c r="G169" i="2"/>
  <c r="F169" i="2"/>
  <c r="E169" i="2"/>
  <c r="D169" i="2"/>
  <c r="G168" i="2"/>
  <c r="F168" i="2"/>
  <c r="E168" i="2"/>
  <c r="D168" i="2"/>
  <c r="G167" i="2"/>
  <c r="F167" i="2"/>
  <c r="E167" i="2"/>
  <c r="D167" i="2"/>
  <c r="G166" i="2"/>
  <c r="F166" i="2"/>
  <c r="E166" i="2"/>
  <c r="D166" i="2"/>
  <c r="G165" i="2"/>
  <c r="F165" i="2"/>
  <c r="E165" i="2"/>
  <c r="D165" i="2"/>
  <c r="G164" i="2"/>
  <c r="F164" i="2"/>
  <c r="E164" i="2"/>
  <c r="D164" i="2"/>
  <c r="G163" i="2"/>
  <c r="F163" i="2"/>
  <c r="E163" i="2"/>
  <c r="D163" i="2"/>
  <c r="G162" i="2"/>
  <c r="F162" i="2"/>
  <c r="E162" i="2"/>
  <c r="D162" i="2"/>
  <c r="G161" i="2"/>
  <c r="F161" i="2"/>
  <c r="E161" i="2"/>
  <c r="D161" i="2"/>
  <c r="G160" i="2"/>
  <c r="F160" i="2"/>
  <c r="E160" i="2"/>
  <c r="D160" i="2"/>
  <c r="G159" i="2"/>
  <c r="F159" i="2"/>
  <c r="E159" i="2"/>
  <c r="D159" i="2"/>
  <c r="G158" i="2"/>
  <c r="F158" i="2"/>
  <c r="E158" i="2"/>
  <c r="D158" i="2"/>
  <c r="G157" i="2"/>
  <c r="F157" i="2"/>
  <c r="E157" i="2"/>
  <c r="D157" i="2"/>
  <c r="G156" i="2"/>
  <c r="F156" i="2"/>
  <c r="E156" i="2"/>
  <c r="D156" i="2"/>
  <c r="G155" i="2"/>
  <c r="F155" i="2"/>
  <c r="E155" i="2"/>
  <c r="D155" i="2"/>
  <c r="G154" i="2"/>
  <c r="F154" i="2"/>
  <c r="E154" i="2"/>
  <c r="D154" i="2"/>
  <c r="G152" i="2"/>
  <c r="G153" i="2"/>
  <c r="F152" i="2"/>
  <c r="F153" i="2"/>
  <c r="E152" i="2"/>
  <c r="E153" i="2"/>
  <c r="D152" i="2"/>
  <c r="D153" i="2"/>
  <c r="G151" i="2"/>
  <c r="F151" i="2"/>
  <c r="E151" i="2"/>
  <c r="D151" i="2"/>
  <c r="G150" i="2"/>
  <c r="F150" i="2"/>
  <c r="E150" i="2"/>
  <c r="D150" i="2"/>
  <c r="G149" i="2"/>
  <c r="F149" i="2"/>
  <c r="E149" i="2"/>
  <c r="D149" i="2"/>
  <c r="G148" i="2"/>
  <c r="F148" i="2"/>
  <c r="E148" i="2"/>
  <c r="D148" i="2"/>
  <c r="G147" i="2"/>
  <c r="F147" i="2"/>
  <c r="E147" i="2"/>
  <c r="D147" i="2"/>
  <c r="G146" i="2"/>
  <c r="F146" i="2"/>
  <c r="E146" i="2"/>
  <c r="D146" i="2"/>
  <c r="G145" i="2"/>
  <c r="F145" i="2"/>
  <c r="E145" i="2"/>
  <c r="D145" i="2"/>
  <c r="G143" i="2"/>
  <c r="G144" i="2"/>
  <c r="F143" i="2"/>
  <c r="F144" i="2"/>
  <c r="E143" i="2"/>
  <c r="E144" i="2"/>
  <c r="D143" i="2"/>
  <c r="D144" i="2"/>
  <c r="G142" i="2"/>
  <c r="F142" i="2"/>
  <c r="E142" i="2"/>
  <c r="D142" i="2"/>
  <c r="G141" i="2"/>
  <c r="F141" i="2"/>
  <c r="E141" i="2"/>
  <c r="D141" i="2"/>
  <c r="G140" i="2"/>
  <c r="F140" i="2"/>
  <c r="E140" i="2"/>
  <c r="D140" i="2"/>
  <c r="G139" i="2"/>
  <c r="F139" i="2"/>
  <c r="E139" i="2"/>
  <c r="D139" i="2"/>
  <c r="G138" i="2"/>
  <c r="F138" i="2"/>
  <c r="E138" i="2"/>
  <c r="D138" i="2"/>
  <c r="G134" i="2"/>
  <c r="G135" i="2"/>
  <c r="G136" i="2"/>
  <c r="G137" i="2"/>
  <c r="F134" i="2"/>
  <c r="F135" i="2"/>
  <c r="F136" i="2"/>
  <c r="F137" i="2"/>
  <c r="E134" i="2"/>
  <c r="E135" i="2"/>
  <c r="E136" i="2"/>
  <c r="E137" i="2"/>
  <c r="D134" i="2"/>
  <c r="D135" i="2"/>
  <c r="D136" i="2"/>
  <c r="D137" i="2"/>
  <c r="G133" i="2"/>
  <c r="F133" i="2"/>
  <c r="E133" i="2"/>
  <c r="D133" i="2"/>
  <c r="G132" i="2"/>
  <c r="F132" i="2"/>
  <c r="E132" i="2"/>
  <c r="D132" i="2"/>
  <c r="G131" i="2"/>
  <c r="F131" i="2"/>
  <c r="E131" i="2"/>
  <c r="D131" i="2"/>
  <c r="G130" i="2"/>
  <c r="F130" i="2"/>
  <c r="E130" i="2"/>
  <c r="D130" i="2"/>
  <c r="G129" i="2"/>
  <c r="F129" i="2"/>
  <c r="E129" i="2"/>
  <c r="D129" i="2"/>
  <c r="G128" i="2"/>
  <c r="F128" i="2"/>
  <c r="E128" i="2"/>
  <c r="D128" i="2"/>
  <c r="G123" i="2"/>
  <c r="G124" i="2"/>
  <c r="G125" i="2"/>
  <c r="G126" i="2"/>
  <c r="G127" i="2"/>
  <c r="F123" i="2"/>
  <c r="F124" i="2"/>
  <c r="F125" i="2"/>
  <c r="F126" i="2"/>
  <c r="F127" i="2"/>
  <c r="E123" i="2"/>
  <c r="E124" i="2"/>
  <c r="E125" i="2"/>
  <c r="E126" i="2"/>
  <c r="E127" i="2"/>
  <c r="D123" i="2"/>
  <c r="D124" i="2"/>
  <c r="D125" i="2"/>
  <c r="D126" i="2"/>
  <c r="D127" i="2"/>
  <c r="G122" i="2"/>
  <c r="F122" i="2"/>
  <c r="E122" i="2"/>
  <c r="D122" i="2"/>
  <c r="G121" i="2"/>
  <c r="F121" i="2"/>
  <c r="E121" i="2"/>
  <c r="D121" i="2"/>
  <c r="G120" i="2"/>
  <c r="F120" i="2"/>
  <c r="E120" i="2"/>
  <c r="D120" i="2"/>
  <c r="G119" i="2"/>
  <c r="F119" i="2"/>
  <c r="E119" i="2"/>
  <c r="D119" i="2"/>
  <c r="G118" i="2"/>
  <c r="F118" i="2"/>
  <c r="E118" i="2"/>
  <c r="D118" i="2"/>
  <c r="G117" i="2"/>
  <c r="F117" i="2"/>
  <c r="E117" i="2"/>
  <c r="D117" i="2"/>
  <c r="G116" i="2"/>
  <c r="F116" i="2"/>
  <c r="E116" i="2"/>
  <c r="D116" i="2"/>
  <c r="G115" i="2"/>
  <c r="F115" i="2"/>
  <c r="E115" i="2"/>
  <c r="D115" i="2"/>
  <c r="G114" i="2"/>
  <c r="F114" i="2"/>
  <c r="E114" i="2"/>
  <c r="D114" i="2"/>
  <c r="G113" i="2"/>
  <c r="F113" i="2"/>
  <c r="E113" i="2"/>
  <c r="D113" i="2"/>
  <c r="G110" i="2"/>
  <c r="G111" i="2"/>
  <c r="G112" i="2"/>
  <c r="F110" i="2"/>
  <c r="F111" i="2"/>
  <c r="F112" i="2"/>
  <c r="E110" i="2"/>
  <c r="E111" i="2"/>
  <c r="E112" i="2"/>
  <c r="D110" i="2"/>
  <c r="D111" i="2"/>
  <c r="D112" i="2"/>
  <c r="G109" i="2"/>
  <c r="F109" i="2"/>
  <c r="E109" i="2"/>
  <c r="D109" i="2"/>
  <c r="G108" i="2"/>
  <c r="F108" i="2"/>
  <c r="E108" i="2"/>
  <c r="D108" i="2"/>
  <c r="G107" i="2"/>
  <c r="F107" i="2"/>
  <c r="E107" i="2"/>
  <c r="D107" i="2"/>
  <c r="G106" i="2"/>
  <c r="F106" i="2"/>
  <c r="E106" i="2"/>
  <c r="D106" i="2"/>
  <c r="G105" i="2"/>
  <c r="F105" i="2"/>
  <c r="E105" i="2"/>
  <c r="D105" i="2"/>
  <c r="G104" i="2"/>
  <c r="F104" i="2"/>
  <c r="E104" i="2"/>
  <c r="D104" i="2"/>
  <c r="G103" i="2"/>
  <c r="F103" i="2"/>
  <c r="E103" i="2"/>
  <c r="D103" i="2"/>
  <c r="G102" i="2"/>
  <c r="F102" i="2"/>
  <c r="E102" i="2"/>
  <c r="D102" i="2"/>
  <c r="G101" i="2"/>
  <c r="F101" i="2"/>
  <c r="E101" i="2"/>
  <c r="D101" i="2"/>
  <c r="G97" i="2"/>
  <c r="G98" i="2"/>
  <c r="G99" i="2"/>
  <c r="G100" i="2"/>
  <c r="F97" i="2"/>
  <c r="F98" i="2"/>
  <c r="F99" i="2"/>
  <c r="F100" i="2"/>
  <c r="E97" i="2"/>
  <c r="E98" i="2"/>
  <c r="E99" i="2"/>
  <c r="E100" i="2"/>
  <c r="D97" i="2"/>
  <c r="D98" i="2"/>
  <c r="D99" i="2"/>
  <c r="D100" i="2"/>
  <c r="G96" i="2"/>
  <c r="F96" i="2"/>
  <c r="E96" i="2"/>
  <c r="D96" i="2"/>
  <c r="G95" i="2"/>
  <c r="F95" i="2"/>
  <c r="E95" i="2"/>
  <c r="D95" i="2"/>
  <c r="G94" i="2"/>
  <c r="F94" i="2"/>
  <c r="E94" i="2"/>
  <c r="D94" i="2"/>
  <c r="G93" i="2"/>
  <c r="F93" i="2"/>
  <c r="E93" i="2"/>
  <c r="D93" i="2"/>
  <c r="G92" i="2"/>
  <c r="F92" i="2"/>
  <c r="E92" i="2"/>
  <c r="D92" i="2"/>
  <c r="G91" i="2"/>
  <c r="F91" i="2"/>
  <c r="E91" i="2"/>
  <c r="D91" i="2"/>
  <c r="G90" i="2"/>
  <c r="F90" i="2"/>
  <c r="E90" i="2"/>
  <c r="D90" i="2"/>
  <c r="G89" i="2"/>
  <c r="F89" i="2"/>
  <c r="E89" i="2"/>
  <c r="D89" i="2"/>
  <c r="G88" i="2"/>
  <c r="F88" i="2"/>
  <c r="E88" i="2"/>
  <c r="D88" i="2"/>
  <c r="G87" i="2"/>
  <c r="F87" i="2"/>
  <c r="E87" i="2"/>
  <c r="D87" i="2"/>
  <c r="G86" i="2"/>
  <c r="F86" i="2"/>
  <c r="E86" i="2"/>
  <c r="D86" i="2"/>
  <c r="G85" i="2"/>
  <c r="F85" i="2"/>
  <c r="E85" i="2"/>
  <c r="D85" i="2"/>
  <c r="G84" i="2"/>
  <c r="F84" i="2"/>
  <c r="E84" i="2"/>
  <c r="D84" i="2"/>
  <c r="G83" i="2"/>
  <c r="F83" i="2"/>
  <c r="E83" i="2"/>
  <c r="D83" i="2"/>
  <c r="G82" i="2"/>
  <c r="F82" i="2"/>
  <c r="E82" i="2"/>
  <c r="D82" i="2"/>
  <c r="G81" i="2"/>
  <c r="F81" i="2"/>
  <c r="E81" i="2"/>
  <c r="D81" i="2"/>
  <c r="G80" i="2"/>
  <c r="F80" i="2"/>
  <c r="E80" i="2"/>
  <c r="D80" i="2"/>
  <c r="G79" i="2"/>
  <c r="F79" i="2"/>
  <c r="E79" i="2"/>
  <c r="D79" i="2"/>
  <c r="G78" i="2"/>
  <c r="F78" i="2"/>
  <c r="E78" i="2"/>
  <c r="D78" i="2"/>
  <c r="G77" i="2"/>
  <c r="F77" i="2"/>
  <c r="E77" i="2"/>
  <c r="D77" i="2"/>
  <c r="G76" i="2"/>
  <c r="F76" i="2"/>
  <c r="E76" i="2"/>
  <c r="D76" i="2"/>
  <c r="G75" i="2"/>
  <c r="F75" i="2"/>
  <c r="E75" i="2"/>
  <c r="D75" i="2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G67" i="2"/>
  <c r="F67" i="2"/>
  <c r="E67" i="2"/>
  <c r="D67" i="2"/>
  <c r="G66" i="2"/>
  <c r="F66" i="2"/>
  <c r="E66" i="2"/>
  <c r="D66" i="2"/>
  <c r="G65" i="2"/>
  <c r="F65" i="2"/>
  <c r="E65" i="2"/>
  <c r="D65" i="2"/>
  <c r="G64" i="2"/>
  <c r="F64" i="2"/>
  <c r="E64" i="2"/>
  <c r="D64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G32" i="2"/>
  <c r="G31" i="2"/>
  <c r="G30" i="2"/>
  <c r="G29" i="2"/>
  <c r="G28" i="2"/>
  <c r="G27" i="2"/>
  <c r="G26" i="2"/>
  <c r="G25" i="2"/>
  <c r="G24" i="2"/>
  <c r="G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G9" i="2"/>
  <c r="G8" i="2"/>
  <c r="G7" i="2"/>
  <c r="G6" i="2"/>
  <c r="G5" i="2"/>
  <c r="G4" i="2"/>
  <c r="G3" i="2"/>
  <c r="G2" i="2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L1" i="3"/>
</calcChain>
</file>

<file path=xl/sharedStrings.xml><?xml version="1.0" encoding="utf-8"?>
<sst xmlns="http://schemas.openxmlformats.org/spreadsheetml/2006/main" count="5147" uniqueCount="84">
  <si>
    <t>CANCHA</t>
  </si>
  <si>
    <t>JUGADOR</t>
  </si>
  <si>
    <t>POSICION</t>
  </si>
  <si>
    <t>PUNTOS</t>
  </si>
  <si>
    <t>Etiquetas de fila</t>
  </si>
  <si>
    <t>Suma de PUNTOS</t>
  </si>
  <si>
    <t>Andrea Julieth Sosa Rodriguez</t>
  </si>
  <si>
    <t>DERECHA</t>
  </si>
  <si>
    <t>Nicole Lizarazo</t>
  </si>
  <si>
    <t xml:space="preserve">Daniel Gutierrez </t>
  </si>
  <si>
    <t xml:space="preserve">Santiago Gutiérrez de Piñeres Barbosa  </t>
  </si>
  <si>
    <t>David Santiago Medina Buitrago</t>
  </si>
  <si>
    <t>Juan Pablo Benitez Bernal</t>
  </si>
  <si>
    <t xml:space="preserve">David Santiago Murcia Barrera </t>
  </si>
  <si>
    <t>IZQUIERDA</t>
  </si>
  <si>
    <t xml:space="preserve">Sergio Andrés López Rodríguez </t>
  </si>
  <si>
    <t>Jaime Andres Castillo Alvarez</t>
  </si>
  <si>
    <t>Samuel Andrés Rodríguez Ulloa</t>
  </si>
  <si>
    <t>Jorge Enrique Lugo Lopez</t>
  </si>
  <si>
    <t>Tomas Barrios Guevara</t>
  </si>
  <si>
    <t xml:space="preserve">juan miguel venegas garzón </t>
  </si>
  <si>
    <t>Luis Mario Ramirez Muñoz</t>
  </si>
  <si>
    <t xml:space="preserve">Juan Pablo Aponte Veloza </t>
  </si>
  <si>
    <t>Luis Jorge Garcia Camargo</t>
  </si>
  <si>
    <t xml:space="preserve">Juliana Beltrán Díaz </t>
  </si>
  <si>
    <t>Fermin Alejandro Escalona Guillen</t>
  </si>
  <si>
    <t xml:space="preserve">Juan Pablo Vargas Jiménez </t>
  </si>
  <si>
    <t xml:space="preserve">María José Cifuentes </t>
  </si>
  <si>
    <t xml:space="preserve">maria jose martinez villabona </t>
  </si>
  <si>
    <t>Nikol sofia avendaño</t>
  </si>
  <si>
    <t>Cristian Stevan Soto Zapata</t>
  </si>
  <si>
    <t>Maria Fernanda Tamayo Lopez</t>
  </si>
  <si>
    <t>Santiago Peña Beltran</t>
  </si>
  <si>
    <t>César Camilo Díaz Cufiño</t>
  </si>
  <si>
    <t>Valentina Alejandra Lopez Romero</t>
  </si>
  <si>
    <t>Rafael Andres Salcedo Valdivieso</t>
  </si>
  <si>
    <t>Valentina Jimenez Gomez</t>
  </si>
  <si>
    <t>Isabella Buitrago Hurtado</t>
  </si>
  <si>
    <t xml:space="preserve">Nicolas Navarro </t>
  </si>
  <si>
    <t xml:space="preserve">Carlos Felipe Andrade Sáenz </t>
  </si>
  <si>
    <t xml:space="preserve">Jonatan Nicolas Marmolejo Lopez </t>
  </si>
  <si>
    <t>sara juliana solano boada</t>
  </si>
  <si>
    <t>Santiago Navarro Cuy</t>
  </si>
  <si>
    <t>Santiago Urrego Rodríguez</t>
  </si>
  <si>
    <t>Total general</t>
  </si>
  <si>
    <t>ID_JUGADOR_1_EQUIPO_1</t>
  </si>
  <si>
    <t>POSICION_JUGADOR_1_EQUIPO_1</t>
  </si>
  <si>
    <t>Suma de PUNTO_EQUIPO_1</t>
  </si>
  <si>
    <t>ID_JUGADOR_2_EQUIPO_1</t>
  </si>
  <si>
    <t>POSICION_JUGADOR_2_EQUIPO_1</t>
  </si>
  <si>
    <t>ID_JUGADOR_1_EQUIPO_2</t>
  </si>
  <si>
    <t>POSICION_JUGADOR_1_EQUIPO_2</t>
  </si>
  <si>
    <t>Suma de PUNTO_EQUIPO_2</t>
  </si>
  <si>
    <t>ID_JUGADOR_2_EQUIPO_2</t>
  </si>
  <si>
    <t>POSICION_JUGADOR_2_EQUIPO_2</t>
  </si>
  <si>
    <t>Grand Total</t>
  </si>
  <si>
    <t>ID_PARTIDO</t>
  </si>
  <si>
    <t>ID_PUNTO</t>
  </si>
  <si>
    <t>PUNTO_EQUIPO_1</t>
  </si>
  <si>
    <t>PUNTO_EQUIPO_2</t>
  </si>
  <si>
    <t>Luis Mario Ramirez Munoz</t>
  </si>
  <si>
    <t>Santiago Gutierrez de Pineres</t>
  </si>
  <si>
    <t>Nikol sofia avendano</t>
  </si>
  <si>
    <t xml:space="preserve">Carlos Felipe Andrade Saenz </t>
  </si>
  <si>
    <t>(en blanco)</t>
  </si>
  <si>
    <t>|</t>
  </si>
  <si>
    <t>cia</t>
  </si>
  <si>
    <t># partido</t>
  </si>
  <si>
    <t>info equipo</t>
  </si>
  <si>
    <t>puntos</t>
  </si>
  <si>
    <t>Partido</t>
  </si>
  <si>
    <t>Equipo1_Jugador1</t>
  </si>
  <si>
    <t>Equipo1_Jugador2</t>
  </si>
  <si>
    <t>Equipo2_Jugador1</t>
  </si>
  <si>
    <t>Equipo2_Jugador2</t>
  </si>
  <si>
    <t>Cancha</t>
  </si>
  <si>
    <t>Cancha 1</t>
  </si>
  <si>
    <t>partido 1</t>
  </si>
  <si>
    <t>Equipo 1 (derecha)</t>
  </si>
  <si>
    <t>Jugador 1 (Derecha)</t>
  </si>
  <si>
    <t>Cancha 2</t>
  </si>
  <si>
    <t>Jugador 2 (Izquierda)</t>
  </si>
  <si>
    <t>Equipo 2 (Izquierda)</t>
  </si>
  <si>
    <t>partido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</si>
</sst>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  <xf numFmtId="14" fontId="0" fillId="2" borderId="0" xfId="0" applyNumberFormat="1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Jorge Garcia Camargo" refreshedDate="45883.74864351852" createdVersion="8" refreshedVersion="8" minRefreshableVersion="3" recordCount="223" xr:uid="{8EF1AFA7-1AE4-4CFC-A2B6-248C591D6CEA}">
  <cacheSource type="worksheet">
    <worksheetSource name="Tabla1"/>
  </cacheSource>
  <cacheFields count="13">
    <cacheField name="ID_PARTIDO" numFmtId="0">
      <sharedItems containsSemiMixedTypes="0" containsString="0" containsNumber="1" containsInteger="1" minValue="1" maxValue="41"/>
    </cacheField>
    <cacheField name="CANCHA" numFmtId="0">
      <sharedItems containsSemiMixedTypes="0" containsString="0" containsNumber="1" containsInteger="1" minValue="1" maxValue="1" count="1">
        <n v="1"/>
      </sharedItems>
    </cacheField>
    <cacheField name="ID_PUNTO" numFmtId="0">
      <sharedItems containsSemiMixedTypes="0" containsString="0" containsNumber="1" containsInteger="1" minValue="1" maxValue="13"/>
    </cacheField>
    <cacheField name="ID_JUGADOR_1_EQUIPO_1" numFmtId="0">
      <sharedItems count="16">
        <s v="Juan Pablo Aponte Veloza "/>
        <s v="María José Cifuentes "/>
        <s v="Jorge Enrique Lugo Lopez"/>
        <s v="Jaime Andres Castillo Alvarez"/>
        <s v="Santiago Gutiérrez de Piñeres Barbosa  "/>
        <s v="Luis Mario Ramirez Muñoz"/>
        <s v="juan miguel venegas garzón "/>
        <s v="Valentina Alejandra Lopez Romero"/>
        <s v="Nikol sofia avendaño"/>
        <s v="David Santiago Medina Buitrago"/>
        <s v="Daniel Gutierrez "/>
        <s v="Juliana Beltrán Díaz "/>
        <s v="Nicole Lizarazo"/>
        <s v="Andrea Julieth Sosa Rodriguez"/>
        <s v="David Santiago Murcia Barrera "/>
        <s v="Santiago Peña Beltran"/>
      </sharedItems>
    </cacheField>
    <cacheField name="ID_JUGADOR_2_EQUIPO_1" numFmtId="0">
      <sharedItems count="16">
        <s v="Cristian Stevan Soto Zapata"/>
        <s v="Santiago Urrego Rodríguez"/>
        <s v="Isabella Buitrago Hurtado"/>
        <s v="Daniel Gutierrez "/>
        <s v="Santiago Peña Beltran"/>
        <s v="Juan Pablo Benitez Bernal"/>
        <s v="Fermin Alejandro Escalona Guillen"/>
        <s v="Juan Pablo Aponte Veloza "/>
        <s v="maria jose martinez villabona "/>
        <s v="Maria Fernanda Tamayo Lopez"/>
        <s v="Valentina Alejandra Lopez Romero"/>
        <s v="Nicole Lizarazo"/>
        <s v="Jaime Andres Castillo Alvarez"/>
        <s v="María José Cifuentes "/>
        <s v="Nicolas Navarro "/>
        <s v="David Santiago Murcia Barrera "/>
      </sharedItems>
    </cacheField>
    <cacheField name="ID_JUGADOR_1_EQUIPO_2" numFmtId="0">
      <sharedItems count="14">
        <s v="Carlos Felipe Andrade Sáenz "/>
        <s v="Jonatan Nicolas Marmolejo Lopez "/>
        <s v="Daniel Gutierrez "/>
        <s v="Tomas Barrios Guevara"/>
        <s v="Isabella Buitrago Hurtado"/>
        <s v="Juan Pablo Vargas Jiménez "/>
        <s v="Sergio Andrés López Rodríguez "/>
        <s v="Andrea Julieth Sosa Rodriguez"/>
        <s v="Samuel Andrés Rodríguez Ulloa"/>
        <s v="Luis Jorge Garcia Camargo"/>
        <s v="Valentina Jimenez Gomez"/>
        <s v="David Santiago Murcia Barrera "/>
        <s v="Juan Pablo Benitez Bernal"/>
        <s v="Nicole Lizarazo"/>
      </sharedItems>
    </cacheField>
    <cacheField name="ID_JUGADOR_2_EQUIPO_2" numFmtId="0">
      <sharedItems count="15">
        <s v="Santiago Navarro Cuy"/>
        <s v="Fermin Alejandro Escalona Guillen"/>
        <s v="César Camilo Díaz Cufiño"/>
        <s v="Valentina Jimenez Gomez"/>
        <s v="Juan Pablo Benitez Bernal"/>
        <s v="María José Cifuentes "/>
        <s v="Juan Pablo Vargas Jiménez "/>
        <s v="Jorge Enrique Lugo Lopez"/>
        <s v="Andrea Julieth Sosa Rodriguez"/>
        <s v="Tomas Barrios Guevara"/>
        <s v="Nikol sofia avendaño"/>
        <s v="Luis Jorge Garcia Camargo"/>
        <s v="Valentina Alejandra Lopez Romero"/>
        <s v="Samuel Andrés Rodríguez Ulloa"/>
        <s v="Cristian Stevan Soto Zapata"/>
      </sharedItems>
    </cacheField>
    <cacheField name="POSICION_JUGADOR_1_EQUIPO_1" numFmtId="0">
      <sharedItems count="4">
        <s v="DERECHA"/>
        <s v="IZQUIERDA"/>
        <s v="DERECHA " u="1"/>
        <s v="IZQUIERDA " u="1"/>
      </sharedItems>
    </cacheField>
    <cacheField name="POSICION_JUGADOR_2_EQUIPO_1" numFmtId="0">
      <sharedItems count="4">
        <s v="IZQUIERDA"/>
        <s v="DERECHA"/>
        <s v="DERECHA " u="1"/>
        <s v="DERECHO" u="1"/>
      </sharedItems>
    </cacheField>
    <cacheField name="POSICION_JUGADOR_1_EQUIPO_2" numFmtId="0">
      <sharedItems count="3">
        <s v="IZQUIERDA"/>
        <s v="DERECHA"/>
        <s v="DERECHA " u="1"/>
      </sharedItems>
    </cacheField>
    <cacheField name="POSICION_JUGADOR_2_EQUIPO_2" numFmtId="0">
      <sharedItems count="4">
        <s v="DERECHA"/>
        <s v="IZQUIERDA"/>
        <s v="DERECHA " u="1"/>
        <s v="DERECHO " u="1"/>
      </sharedItems>
    </cacheField>
    <cacheField name="PUNTO_EQUIPO_1" numFmtId="0">
      <sharedItems containsMixedTypes="1" containsNumber="1" containsInteger="1" minValue="0" maxValue="1"/>
    </cacheField>
    <cacheField name="PUNTO_EQUIPO_2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Jorge Garcia Camargo" refreshedDate="45883.748643865743" createdVersion="8" refreshedVersion="8" minRefreshableVersion="3" recordCount="248" xr:uid="{038256C9-693F-4B9F-B68F-5DDE5D706985}">
  <cacheSource type="worksheet">
    <worksheetSource name="Tabla13"/>
  </cacheSource>
  <cacheFields count="13">
    <cacheField name="ID_PARTIDO" numFmtId="0">
      <sharedItems containsSemiMixedTypes="0" containsString="0" containsNumber="1" containsInteger="1" minValue="2" maxValue="44"/>
    </cacheField>
    <cacheField name="CANCHA" numFmtId="0">
      <sharedItems containsSemiMixedTypes="0" containsString="0" containsNumber="1" containsInteger="1" minValue="2" maxValue="2" count="1">
        <n v="2"/>
      </sharedItems>
    </cacheField>
    <cacheField name="ID_PUNTO" numFmtId="0">
      <sharedItems containsSemiMixedTypes="0" containsString="0" containsNumber="1" containsInteger="1" minValue="1" maxValue="14"/>
    </cacheField>
    <cacheField name="ID_JUGADOR_1_EQUIPO_1" numFmtId="0">
      <sharedItems count="16">
        <s v="Luis Mario Ramirez Muñoz"/>
        <s v="Samuel Andrés Rodríguez Ulloa"/>
        <s v="Rafael Andres Salcedo Valdivieso"/>
        <s v="Santiago Urrego Rodríguez"/>
        <s v="Santiago Navarro Cuy"/>
        <s v="Juliana Beltrán Díaz "/>
        <s v="María José Cifuentes "/>
        <s v="Santiago Peña Beltran"/>
        <s v="Daniel Gutierrez "/>
        <s v="Cristian Stevan Soto Zapata"/>
        <s v="Andrea Julieth Sosa Rodriguez"/>
        <s v="David Santiago Murcia Barrera "/>
        <s v="sara juliana solano boada"/>
        <s v="Nicolas Navarro "/>
        <s v="Sergio Andrés López Rodríguez "/>
        <s v="Maria Fernanda Tamayo Lopez"/>
      </sharedItems>
    </cacheField>
    <cacheField name="ID_JUGADOR_2_EQUIPO_1" numFmtId="0">
      <sharedItems count="18">
        <s v="Santiago Gutiérrez de Piñeres Barbosa  "/>
        <s v="Carlos Felipe Andrade Sáenz "/>
        <s v="Sergio Andrés López Rodríguez "/>
        <s v="Luis Jorge Garcia Camargo"/>
        <s v="Maria Fernanda Tamayo Lopez"/>
        <s v="Santiago Peña Beltran"/>
        <s v="Juan Pablo Vargas Jiménez "/>
        <s v="Jonatan Nicolas Marmolejo Lopez "/>
        <s v="Rafael Andres Salcedo Valdivieso"/>
        <s v="Samuel Andrés Rodríguez Ulloa"/>
        <s v="Valentina Jimenez Gomez"/>
        <s v="Jorge Enrique Lugo Lopez"/>
        <s v="Isabella Buitrago Hurtado"/>
        <s v="sara juliana solano boada"/>
        <s v="juan miguel venegas garzón "/>
        <s v="Juliana Beltrán Díaz "/>
        <s v="Juan Pablo Aponte Veloza "/>
        <s v="maria jose martinez villabona "/>
      </sharedItems>
    </cacheField>
    <cacheField name="ID_JUGADOR_1_EQUIPO_2" numFmtId="0">
      <sharedItems count="18">
        <s v="Nikol sofia avendaño"/>
        <s v="Fermin Alejandro Escalona Guillen"/>
        <s v="maria jose martinez villabona "/>
        <s v="Santiago Navarro Cuy"/>
        <s v="Luis Jorge Garcia Camargo"/>
        <s v="sara juliana solano boada"/>
        <s v="Santiago Gutiérrez de Piñeres Barbosa  "/>
        <s v="Luis Mario Ramirez Muñoz"/>
        <s v="Maria Fernanda Tamayo Lopez"/>
        <s v="Isabella Buitrago Hurtado"/>
        <s v="César Camilo Díaz Cufiño"/>
        <s v="Tomas Barrios Guevara"/>
        <s v="David Santiago Medina Buitrago"/>
        <s v="juan miguel venegas garzón "/>
        <s v="Juan Pablo Benitez Bernal"/>
        <s v="Jonatan Nicolas Marmolejo Lopez "/>
        <s v="Cristian Stevan Soto Zapata"/>
        <s v="Juliana Beltrán Díaz "/>
      </sharedItems>
    </cacheField>
    <cacheField name="ID_JUGADOR_2_EQUIPO_2" numFmtId="0">
      <sharedItems count="17">
        <s v="Valentina Jimenez Gomez"/>
        <s v="David Santiago Medina Buitrago"/>
        <s v="Nicolas Navarro "/>
        <s v="Juan Pablo Aponte Veloza "/>
        <s v="Nikol sofia avendaño"/>
        <s v="Sergio Andrés López Rodríguez "/>
        <s v="Jaime Andres Castillo Alvarez"/>
        <s v="César Camilo Díaz Cufiño"/>
        <s v="maria jose martinez villabona "/>
        <s v="Santiago Gutiérrez de Piñeres Barbosa  "/>
        <s v="Valentina Alejandra Lopez Romero"/>
        <s v="Samuel Andrés Rodríguez Ulloa"/>
        <s v="Rafael Andres Salcedo Valdivieso"/>
        <s v="Jorge Enrique Lugo Lopez"/>
        <s v="sara juliana solano boada"/>
        <s v="Luis Mario Ramirez Muñoz"/>
        <s v="Juan Pablo Vargas Jiménez "/>
      </sharedItems>
    </cacheField>
    <cacheField name="POSICION_JUGADOR_1_EQUIPO_1" numFmtId="0">
      <sharedItems count="2">
        <s v="IZQUIERDA"/>
        <s v="DERECHA"/>
      </sharedItems>
    </cacheField>
    <cacheField name="POSICION_JUGADOR_2_EQUIPO_1" numFmtId="0">
      <sharedItems count="2">
        <s v="DERECHA"/>
        <s v="IZQUIERDA"/>
      </sharedItems>
    </cacheField>
    <cacheField name="POSICION_JUGADOR_1_EQUIPO_2" numFmtId="0">
      <sharedItems count="2">
        <s v="IZQUIERDA"/>
        <s v="DERECHA"/>
      </sharedItems>
    </cacheField>
    <cacheField name="POSICION_JUGADOR_2_EQUIPO_2" numFmtId="0">
      <sharedItems count="2">
        <s v="DERECHA"/>
        <s v="IZQUIERDA"/>
      </sharedItems>
    </cacheField>
    <cacheField name="PUNTO_EQUIPO_1" numFmtId="0">
      <sharedItems containsString="0" containsBlank="1" containsNumber="1" containsInteger="1" minValue="0" maxValue="1"/>
    </cacheField>
    <cacheField name="PUNTO_EQUIPO_2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Jorge Garcia Camargo" refreshedDate="45883.750578935185" createdVersion="8" refreshedVersion="8" minRefreshableVersion="3" recordCount="142" xr:uid="{741CD4FA-0326-42E8-AEF1-0AB90751EC3C}">
  <cacheSource type="worksheet">
    <worksheetSource ref="A1:D1048576" sheet="DATOS_ANALISIS"/>
  </cacheSource>
  <cacheFields count="4">
    <cacheField name="CANCHA" numFmtId="0">
      <sharedItems containsString="0" containsBlank="1" containsNumber="1" containsInteger="1" minValue="1" maxValue="2"/>
    </cacheField>
    <cacheField name="JUGADOR" numFmtId="0">
      <sharedItems containsBlank="1" count="37">
        <s v="Andrea Julieth Sosa Rodriguez"/>
        <s v="Daniel Gutierrez "/>
        <s v="David Santiago Medina Buitrago"/>
        <s v="David Santiago Murcia Barrera "/>
        <s v="Jaime Andres Castillo Alvarez"/>
        <s v="Jorge Enrique Lugo Lopez"/>
        <s v="juan miguel venegas garzón "/>
        <s v="Juan Pablo Aponte Veloza "/>
        <s v="Juliana Beltrán Díaz "/>
        <s v="Luis Mario Ramirez Muñoz"/>
        <s v="María José Cifuentes "/>
        <s v="Nicole Lizarazo"/>
        <s v="Nikol sofia avendaño"/>
        <s v="Santiago Gutiérrez de Piñeres Barbosa  "/>
        <s v="Santiago Peña Beltran"/>
        <s v="Valentina Alejandra Lopez Romero"/>
        <s v="Cristian Stevan Soto Zapata"/>
        <s v="Fermin Alejandro Escalona Guillen"/>
        <s v="Isabella Buitrago Hurtado"/>
        <s v="Juan Pablo Benitez Bernal"/>
        <s v="Maria Fernanda Tamayo Lopez"/>
        <s v="maria jose martinez villabona "/>
        <s v="Nicolas Navarro "/>
        <s v="Santiago Urrego Rodríguez"/>
        <s v="Carlos Felipe Andrade Sáenz "/>
        <s v="Jonatan Nicolas Marmolejo Lopez "/>
        <s v="Juan Pablo Vargas Jiménez "/>
        <s v="Luis Jorge Garcia Camargo"/>
        <s v="Samuel Andrés Rodríguez Ulloa"/>
        <s v="Sergio Andrés López Rodríguez "/>
        <s v="Tomas Barrios Guevara"/>
        <s v="Valentina Jimenez Gomez"/>
        <s v="César Camilo Díaz Cufiño"/>
        <s v="Santiago Navarro Cuy"/>
        <s v="Rafael Andres Salcedo Valdivieso"/>
        <s v="sara juliana solano boada"/>
        <m/>
      </sharedItems>
    </cacheField>
    <cacheField name="POSICION" numFmtId="0">
      <sharedItems containsBlank="1"/>
    </cacheField>
    <cacheField name="PUNTOS" numFmtId="0">
      <sharedItems containsString="0" containsBlank="1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Jorge Garcia Camargo" refreshedDate="45980.361925925929" createdVersion="8" refreshedVersion="8" minRefreshableVersion="3" recordCount="472" xr:uid="{BBBE8291-8E83-4584-8417-1426656EEAF4}">
  <cacheSource type="worksheet">
    <worksheetSource ref="A1:M1048576" sheet="Cancha"/>
  </cacheSource>
  <cacheFields count="13">
    <cacheField name="ID_PARTIDO" numFmtId="0">
      <sharedItems containsString="0" containsBlank="1" containsNumber="1" containsInteger="1" minValue="1" maxValue="44" count="44">
        <n v="2"/>
        <n v="6"/>
        <n v="8"/>
        <n v="4"/>
        <n v="10"/>
        <n v="12"/>
        <n v="20"/>
        <n v="18"/>
        <n v="14"/>
        <n v="16"/>
        <n v="22"/>
        <n v="24"/>
        <n v="26"/>
        <n v="28"/>
        <n v="32"/>
        <n v="34"/>
        <n v="30"/>
        <n v="36"/>
        <n v="40"/>
        <n v="38"/>
        <n v="42"/>
        <n v="44"/>
        <n v="39"/>
        <n v="27"/>
        <n v="3"/>
        <n v="9"/>
        <n v="29"/>
        <n v="37"/>
        <n v="23"/>
        <n v="35"/>
        <n v="25"/>
        <n v="11"/>
        <n v="21"/>
        <n v="33"/>
        <n v="5"/>
        <n v="31"/>
        <n v="13"/>
        <n v="17"/>
        <n v="19"/>
        <n v="41"/>
        <n v="7"/>
        <n v="1"/>
        <n v="15"/>
        <m/>
      </sharedItems>
    </cacheField>
    <cacheField name="CANCHA" numFmtId="0">
      <sharedItems containsBlank="1" containsMixedTypes="1" containsNumber="1" containsInteger="1" minValue="1" maxValue="2"/>
    </cacheField>
    <cacheField name="ID_PUNTO" numFmtId="0">
      <sharedItems containsString="0" containsBlank="1" containsNumber="1" containsInteger="1" minValue="1" maxValue="14"/>
    </cacheField>
    <cacheField name="ID_JUGADOR_1_EQUIPO_1" numFmtId="0">
      <sharedItems containsBlank="1" count="19">
        <s v="Luis Mario Ramirez Munoz"/>
        <s v="Samuel Andrés Rodríguez Ulloa"/>
        <s v="Rafael Andres Salcedo Valdivieso"/>
        <s v="Santiago Urrego Rodríguez"/>
        <s v="Santiago Navarro Cuy"/>
        <s v="Juliana Beltrán Díaz "/>
        <s v="María José Cifuentes "/>
        <s v="Santiago Peña Beltran"/>
        <s v="Daniel Gutierrez "/>
        <s v="Cristian Stevan Soto Zapata"/>
        <s v="Andrea Julieth Sosa Rodriguez"/>
        <s v="David Santiago Murcia Barrera "/>
        <s v="sara juliana solano boada"/>
        <s v="Nicolas Navarro "/>
        <s v="Sergio Andrés López Rodríguez "/>
        <s v="Maria Fernanda Tamayo Lopez"/>
        <e v="#VALUE!"/>
        <s v="Jaime Andres Castillo Alvarez"/>
        <m/>
      </sharedItems>
    </cacheField>
    <cacheField name="ID_JUGADOR_2_EQUIPO_1" numFmtId="0">
      <sharedItems containsBlank="1" count="21">
        <s v="Santiago Gutierrez de Pineres"/>
        <s v="Carlos Felipe Andrade Saenz "/>
        <s v="Sergio Andrés López Rodríguez "/>
        <s v="Luis Jorge Garcia Camargo"/>
        <s v="Maria Fernanda Tamayo Lopez"/>
        <s v="Santiago Peña Beltran"/>
        <s v="Juan Pablo Vargas Jiménez "/>
        <s v="Jonatan Nicolas Marmolejo Lopez "/>
        <s v="Rafael Andres Salcedo Valdivieso"/>
        <s v="Samuel Andrés Rodríguez Ulloa"/>
        <s v="Valentina Jimenez Gomez"/>
        <s v="Jorge Enrique Lugo Lopez"/>
        <s v="Isabella Buitrago Hurtado"/>
        <s v="sara juliana solano boada"/>
        <s v="juan miguel venegas garzón "/>
        <s v="Juliana Beltrán Díaz "/>
        <s v="Juan Pablo Aponte Veloza "/>
        <s v="maria jose martinez villabona "/>
        <e v="#VALUE!"/>
        <s v="Nicolas Navarro "/>
        <m/>
      </sharedItems>
    </cacheField>
    <cacheField name="ID_JUGADOR_1_EQUIPO_2" numFmtId="0">
      <sharedItems containsBlank="1" count="22">
        <s v="Nikol sofia avendano"/>
        <s v="Fermin Alejandro Escalona Guillen"/>
        <s v="maria jose martinez villabona "/>
        <s v="Santiago Navarro Cuy"/>
        <s v="Luis Jorge Garcia Camargo"/>
        <s v="sara juliana solano boada"/>
        <s v="Santiago Gutiérrez de Piñeres Barbosa  "/>
        <s v="Luis Mario Ramirez Muñoz"/>
        <s v="Maria Fernanda Tamayo Lopez"/>
        <s v="Isabella Buitrago Hurtado"/>
        <s v="César Camilo Díaz Cufiño"/>
        <s v="Tomas Barrios Guevara"/>
        <s v="David Santiago Medina Buitrago"/>
        <s v="juan miguel venegas garzón "/>
        <s v="Nikol sofia avendaño"/>
        <s v="Juan Pablo Benitez Bernal"/>
        <s v="Jonatan Nicolas Marmolejo Lopez "/>
        <s v="Cristian Stevan Soto Zapata"/>
        <s v="Juliana Beltrán Díaz "/>
        <e v="#VALUE!"/>
        <s v="Nicole Lizarazo"/>
        <m/>
      </sharedItems>
    </cacheField>
    <cacheField name="ID_JUGADOR_2_EQUIPO_2" numFmtId="0">
      <sharedItems containsBlank="1" count="20">
        <s v="Valentina Jimenez Gomez"/>
        <s v="David Santiago Medina Buitrago"/>
        <s v="Nicolas Navarro "/>
        <s v="Juan Pablo Aponte Veloza "/>
        <s v="Nikol sofia avendaño"/>
        <s v="Sergio Andrés López Rodríguez "/>
        <s v="Jaime Andres Castillo Alvarez"/>
        <s v="César Camilo Díaz Cufiño"/>
        <s v="maria jose martinez villabona "/>
        <s v="Santiago Gutiérrez de Piñeres Barbosa  "/>
        <s v="Valentina Alejandra Lopez Romero"/>
        <s v="Samuel Andrés Rodríguez Ulloa"/>
        <s v="Rafael Andres Salcedo Valdivieso"/>
        <s v="Jorge Enrique Lugo Lopez"/>
        <s v="sara juliana solano boada"/>
        <s v="Luis Mario Ramirez Munoz"/>
        <s v="Juan Pablo Vargas Jiménez "/>
        <e v="#VALUE!"/>
        <s v="Juan Pablo Benitez Bernal"/>
        <m/>
      </sharedItems>
    </cacheField>
    <cacheField name="POSICION_JUGADOR_1_EQUIPO_1" numFmtId="0">
      <sharedItems containsBlank="1"/>
    </cacheField>
    <cacheField name="POSICION_JUGADOR_2_EQUIPO_1" numFmtId="0">
      <sharedItems containsBlank="1"/>
    </cacheField>
    <cacheField name="POSICION_JUGADOR_1_EQUIPO_2" numFmtId="0">
      <sharedItems containsBlank="1"/>
    </cacheField>
    <cacheField name="POSICION_JUGADOR_2_EQUIPO_2" numFmtId="0">
      <sharedItems containsBlank="1"/>
    </cacheField>
    <cacheField name="PUNTO_EQUIPO_1" numFmtId="0">
      <sharedItems containsBlank="1" containsMixedTypes="1" containsNumber="1" containsInteger="1" minValue="0" maxValue="1"/>
    </cacheField>
    <cacheField name="PUNTO_EQUIPO_2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1"/>
    <x v="0"/>
    <n v="1"/>
    <x v="0"/>
    <x v="0"/>
    <x v="0"/>
    <x v="0"/>
    <x v="0"/>
    <x v="0"/>
    <x v="0"/>
    <x v="0"/>
    <n v="1"/>
    <n v="0"/>
  </r>
  <r>
    <n v="1"/>
    <x v="0"/>
    <n v="2"/>
    <x v="0"/>
    <x v="0"/>
    <x v="0"/>
    <x v="0"/>
    <x v="0"/>
    <x v="0"/>
    <x v="0"/>
    <x v="0"/>
    <n v="0"/>
    <n v="1"/>
  </r>
  <r>
    <n v="1"/>
    <x v="0"/>
    <n v="3"/>
    <x v="0"/>
    <x v="0"/>
    <x v="0"/>
    <x v="0"/>
    <x v="0"/>
    <x v="0"/>
    <x v="0"/>
    <x v="0"/>
    <n v="1"/>
    <n v="0"/>
  </r>
  <r>
    <n v="1"/>
    <x v="0"/>
    <n v="4"/>
    <x v="0"/>
    <x v="0"/>
    <x v="0"/>
    <x v="0"/>
    <x v="0"/>
    <x v="0"/>
    <x v="0"/>
    <x v="0"/>
    <n v="1"/>
    <n v="0"/>
  </r>
  <r>
    <n v="1"/>
    <x v="0"/>
    <n v="5"/>
    <x v="0"/>
    <x v="0"/>
    <x v="0"/>
    <x v="0"/>
    <x v="0"/>
    <x v="0"/>
    <x v="0"/>
    <x v="0"/>
    <n v="1"/>
    <n v="0"/>
  </r>
  <r>
    <n v="1"/>
    <x v="0"/>
    <n v="6"/>
    <x v="0"/>
    <x v="0"/>
    <x v="0"/>
    <x v="0"/>
    <x v="0"/>
    <x v="0"/>
    <x v="0"/>
    <x v="0"/>
    <n v="1"/>
    <n v="0"/>
  </r>
  <r>
    <n v="1"/>
    <x v="0"/>
    <n v="7"/>
    <x v="0"/>
    <x v="0"/>
    <x v="0"/>
    <x v="0"/>
    <x v="0"/>
    <x v="0"/>
    <x v="0"/>
    <x v="0"/>
    <n v="1"/>
    <n v="0"/>
  </r>
  <r>
    <n v="1"/>
    <x v="0"/>
    <n v="8"/>
    <x v="0"/>
    <x v="0"/>
    <x v="0"/>
    <x v="0"/>
    <x v="0"/>
    <x v="0"/>
    <x v="0"/>
    <x v="0"/>
    <n v="1"/>
    <n v="0"/>
  </r>
  <r>
    <n v="3"/>
    <x v="0"/>
    <n v="1"/>
    <x v="1"/>
    <x v="1"/>
    <x v="1"/>
    <x v="1"/>
    <x v="0"/>
    <x v="0"/>
    <x v="0"/>
    <x v="0"/>
    <n v="1"/>
    <n v="0"/>
  </r>
  <r>
    <n v="3"/>
    <x v="0"/>
    <n v="2"/>
    <x v="1"/>
    <x v="1"/>
    <x v="1"/>
    <x v="1"/>
    <x v="0"/>
    <x v="0"/>
    <x v="0"/>
    <x v="0"/>
    <n v="1"/>
    <n v="0"/>
  </r>
  <r>
    <n v="3"/>
    <x v="0"/>
    <n v="3"/>
    <x v="1"/>
    <x v="1"/>
    <x v="1"/>
    <x v="1"/>
    <x v="0"/>
    <x v="0"/>
    <x v="0"/>
    <x v="0"/>
    <n v="1"/>
    <n v="0"/>
  </r>
  <r>
    <n v="3"/>
    <x v="0"/>
    <n v="4"/>
    <x v="1"/>
    <x v="1"/>
    <x v="1"/>
    <x v="1"/>
    <x v="0"/>
    <x v="0"/>
    <x v="0"/>
    <x v="0"/>
    <n v="0"/>
    <n v="1"/>
  </r>
  <r>
    <n v="3"/>
    <x v="0"/>
    <n v="5"/>
    <x v="1"/>
    <x v="1"/>
    <x v="1"/>
    <x v="1"/>
    <x v="0"/>
    <x v="0"/>
    <x v="0"/>
    <x v="0"/>
    <n v="0"/>
    <n v="1"/>
  </r>
  <r>
    <n v="3"/>
    <x v="0"/>
    <n v="6"/>
    <x v="1"/>
    <x v="1"/>
    <x v="1"/>
    <x v="1"/>
    <x v="0"/>
    <x v="0"/>
    <x v="0"/>
    <x v="0"/>
    <n v="0"/>
    <n v="1"/>
  </r>
  <r>
    <n v="3"/>
    <x v="0"/>
    <n v="7"/>
    <x v="1"/>
    <x v="1"/>
    <x v="1"/>
    <x v="1"/>
    <x v="0"/>
    <x v="0"/>
    <x v="0"/>
    <x v="0"/>
    <n v="1"/>
    <n v="0"/>
  </r>
  <r>
    <n v="3"/>
    <x v="0"/>
    <n v="8"/>
    <x v="1"/>
    <x v="1"/>
    <x v="1"/>
    <x v="1"/>
    <x v="0"/>
    <x v="0"/>
    <x v="0"/>
    <x v="0"/>
    <n v="1"/>
    <n v="0"/>
  </r>
  <r>
    <n v="3"/>
    <x v="0"/>
    <n v="9"/>
    <x v="1"/>
    <x v="1"/>
    <x v="1"/>
    <x v="1"/>
    <x v="0"/>
    <x v="0"/>
    <x v="0"/>
    <x v="0"/>
    <n v="0"/>
    <n v="1"/>
  </r>
  <r>
    <n v="3"/>
    <x v="0"/>
    <n v="10"/>
    <x v="1"/>
    <x v="1"/>
    <x v="1"/>
    <x v="1"/>
    <x v="0"/>
    <x v="0"/>
    <x v="0"/>
    <x v="0"/>
    <n v="0"/>
    <n v="1"/>
  </r>
  <r>
    <n v="3"/>
    <x v="0"/>
    <n v="11"/>
    <x v="1"/>
    <x v="1"/>
    <x v="1"/>
    <x v="1"/>
    <x v="0"/>
    <x v="0"/>
    <x v="0"/>
    <x v="0"/>
    <n v="0"/>
    <n v="1"/>
  </r>
  <r>
    <n v="3"/>
    <x v="0"/>
    <n v="12"/>
    <x v="1"/>
    <x v="1"/>
    <x v="1"/>
    <x v="1"/>
    <x v="0"/>
    <x v="0"/>
    <x v="0"/>
    <x v="0"/>
    <n v="0"/>
    <n v="1"/>
  </r>
  <r>
    <n v="5"/>
    <x v="0"/>
    <n v="1"/>
    <x v="2"/>
    <x v="2"/>
    <x v="2"/>
    <x v="2"/>
    <x v="0"/>
    <x v="0"/>
    <x v="0"/>
    <x v="0"/>
    <n v="0"/>
    <n v="1"/>
  </r>
  <r>
    <n v="5"/>
    <x v="0"/>
    <n v="2"/>
    <x v="2"/>
    <x v="2"/>
    <x v="2"/>
    <x v="2"/>
    <x v="0"/>
    <x v="0"/>
    <x v="0"/>
    <x v="0"/>
    <n v="1"/>
    <n v="0"/>
  </r>
  <r>
    <n v="5"/>
    <x v="0"/>
    <n v="3"/>
    <x v="2"/>
    <x v="2"/>
    <x v="2"/>
    <x v="2"/>
    <x v="0"/>
    <x v="0"/>
    <x v="0"/>
    <x v="0"/>
    <n v="1"/>
    <n v="0"/>
  </r>
  <r>
    <n v="5"/>
    <x v="0"/>
    <n v="4"/>
    <x v="2"/>
    <x v="2"/>
    <x v="2"/>
    <x v="2"/>
    <x v="0"/>
    <x v="0"/>
    <x v="0"/>
    <x v="0"/>
    <n v="1"/>
    <n v="0"/>
  </r>
  <r>
    <n v="5"/>
    <x v="0"/>
    <n v="5"/>
    <x v="2"/>
    <x v="2"/>
    <x v="2"/>
    <x v="2"/>
    <x v="0"/>
    <x v="0"/>
    <x v="0"/>
    <x v="0"/>
    <n v="0"/>
    <n v="1"/>
  </r>
  <r>
    <n v="5"/>
    <x v="0"/>
    <n v="6"/>
    <x v="2"/>
    <x v="2"/>
    <x v="2"/>
    <x v="2"/>
    <x v="0"/>
    <x v="0"/>
    <x v="0"/>
    <x v="0"/>
    <n v="0"/>
    <n v="1"/>
  </r>
  <r>
    <n v="5"/>
    <x v="0"/>
    <n v="7"/>
    <x v="2"/>
    <x v="2"/>
    <x v="2"/>
    <x v="2"/>
    <x v="0"/>
    <x v="0"/>
    <x v="0"/>
    <x v="0"/>
    <n v="1"/>
    <n v="0"/>
  </r>
  <r>
    <n v="5"/>
    <x v="0"/>
    <n v="8"/>
    <x v="2"/>
    <x v="2"/>
    <x v="2"/>
    <x v="2"/>
    <x v="0"/>
    <x v="0"/>
    <x v="0"/>
    <x v="0"/>
    <n v="0"/>
    <n v="1"/>
  </r>
  <r>
    <n v="5"/>
    <x v="0"/>
    <n v="9"/>
    <x v="2"/>
    <x v="2"/>
    <x v="2"/>
    <x v="2"/>
    <x v="0"/>
    <x v="0"/>
    <x v="0"/>
    <x v="0"/>
    <n v="1"/>
    <n v="0"/>
  </r>
  <r>
    <n v="5"/>
    <x v="0"/>
    <n v="10"/>
    <x v="2"/>
    <x v="2"/>
    <x v="2"/>
    <x v="2"/>
    <x v="0"/>
    <x v="0"/>
    <x v="0"/>
    <x v="0"/>
    <n v="1"/>
    <n v="0"/>
  </r>
  <r>
    <n v="5"/>
    <x v="0"/>
    <n v="11"/>
    <x v="2"/>
    <x v="2"/>
    <x v="2"/>
    <x v="2"/>
    <x v="0"/>
    <x v="0"/>
    <x v="0"/>
    <x v="0"/>
    <n v="0"/>
    <n v="1"/>
  </r>
  <r>
    <n v="5"/>
    <x v="0"/>
    <n v="12"/>
    <x v="2"/>
    <x v="2"/>
    <x v="2"/>
    <x v="2"/>
    <x v="0"/>
    <x v="0"/>
    <x v="0"/>
    <x v="0"/>
    <n v="0"/>
    <n v="1"/>
  </r>
  <r>
    <n v="5"/>
    <x v="0"/>
    <n v="13"/>
    <x v="2"/>
    <x v="2"/>
    <x v="2"/>
    <x v="2"/>
    <x v="0"/>
    <x v="0"/>
    <x v="0"/>
    <x v="0"/>
    <n v="1"/>
    <n v="0"/>
  </r>
  <r>
    <n v="7"/>
    <x v="0"/>
    <n v="1"/>
    <x v="3"/>
    <x v="3"/>
    <x v="3"/>
    <x v="0"/>
    <x v="0"/>
    <x v="0"/>
    <x v="1"/>
    <x v="1"/>
    <n v="1"/>
    <n v="0"/>
  </r>
  <r>
    <n v="7"/>
    <x v="0"/>
    <n v="2"/>
    <x v="3"/>
    <x v="3"/>
    <x v="3"/>
    <x v="0"/>
    <x v="0"/>
    <x v="0"/>
    <x v="1"/>
    <x v="1"/>
    <n v="1"/>
    <n v="0"/>
  </r>
  <r>
    <n v="7"/>
    <x v="0"/>
    <n v="3"/>
    <x v="3"/>
    <x v="3"/>
    <x v="3"/>
    <x v="0"/>
    <x v="0"/>
    <x v="0"/>
    <x v="1"/>
    <x v="1"/>
    <n v="0"/>
    <n v="1"/>
  </r>
  <r>
    <n v="7"/>
    <x v="0"/>
    <n v="4"/>
    <x v="3"/>
    <x v="3"/>
    <x v="3"/>
    <x v="0"/>
    <x v="0"/>
    <x v="0"/>
    <x v="1"/>
    <x v="1"/>
    <n v="0"/>
    <n v="1"/>
  </r>
  <r>
    <n v="7"/>
    <x v="0"/>
    <n v="5"/>
    <x v="3"/>
    <x v="3"/>
    <x v="3"/>
    <x v="0"/>
    <x v="0"/>
    <x v="0"/>
    <x v="1"/>
    <x v="1"/>
    <n v="0"/>
    <n v="1"/>
  </r>
  <r>
    <n v="7"/>
    <x v="0"/>
    <n v="6"/>
    <x v="3"/>
    <x v="3"/>
    <x v="3"/>
    <x v="0"/>
    <x v="0"/>
    <x v="0"/>
    <x v="1"/>
    <x v="1"/>
    <n v="0"/>
    <n v="1"/>
  </r>
  <r>
    <n v="7"/>
    <x v="0"/>
    <n v="7"/>
    <x v="3"/>
    <x v="3"/>
    <x v="3"/>
    <x v="0"/>
    <x v="0"/>
    <x v="0"/>
    <x v="1"/>
    <x v="1"/>
    <n v="0"/>
    <n v="1"/>
  </r>
  <r>
    <n v="7"/>
    <x v="0"/>
    <n v="8"/>
    <x v="3"/>
    <x v="3"/>
    <x v="3"/>
    <x v="0"/>
    <x v="0"/>
    <x v="0"/>
    <x v="1"/>
    <x v="1"/>
    <n v="0"/>
    <n v="1"/>
  </r>
  <r>
    <n v="7"/>
    <x v="0"/>
    <n v="9"/>
    <x v="3"/>
    <x v="3"/>
    <x v="3"/>
    <x v="0"/>
    <x v="0"/>
    <x v="0"/>
    <x v="1"/>
    <x v="1"/>
    <n v="0"/>
    <n v="1"/>
  </r>
  <r>
    <n v="9"/>
    <x v="0"/>
    <n v="1"/>
    <x v="4"/>
    <x v="4"/>
    <x v="3"/>
    <x v="2"/>
    <x v="1"/>
    <x v="1"/>
    <x v="0"/>
    <x v="0"/>
    <s v="|"/>
    <n v="0"/>
  </r>
  <r>
    <n v="9"/>
    <x v="0"/>
    <n v="2"/>
    <x v="4"/>
    <x v="4"/>
    <x v="3"/>
    <x v="2"/>
    <x v="1"/>
    <x v="1"/>
    <x v="0"/>
    <x v="0"/>
    <n v="0"/>
    <n v="1"/>
  </r>
  <r>
    <n v="9"/>
    <x v="0"/>
    <n v="3"/>
    <x v="4"/>
    <x v="4"/>
    <x v="3"/>
    <x v="2"/>
    <x v="1"/>
    <x v="1"/>
    <x v="0"/>
    <x v="0"/>
    <n v="1"/>
    <n v="0"/>
  </r>
  <r>
    <n v="9"/>
    <x v="0"/>
    <n v="4"/>
    <x v="4"/>
    <x v="4"/>
    <x v="3"/>
    <x v="2"/>
    <x v="1"/>
    <x v="1"/>
    <x v="0"/>
    <x v="0"/>
    <n v="0"/>
    <n v="1"/>
  </r>
  <r>
    <n v="9"/>
    <x v="0"/>
    <n v="5"/>
    <x v="4"/>
    <x v="4"/>
    <x v="3"/>
    <x v="2"/>
    <x v="1"/>
    <x v="1"/>
    <x v="0"/>
    <x v="0"/>
    <n v="1"/>
    <n v="0"/>
  </r>
  <r>
    <n v="9"/>
    <x v="0"/>
    <n v="6"/>
    <x v="4"/>
    <x v="4"/>
    <x v="3"/>
    <x v="2"/>
    <x v="1"/>
    <x v="1"/>
    <x v="0"/>
    <x v="0"/>
    <n v="0"/>
    <n v="1"/>
  </r>
  <r>
    <n v="9"/>
    <x v="0"/>
    <n v="7"/>
    <x v="4"/>
    <x v="4"/>
    <x v="3"/>
    <x v="2"/>
    <x v="1"/>
    <x v="1"/>
    <x v="0"/>
    <x v="0"/>
    <n v="1"/>
    <n v="0"/>
  </r>
  <r>
    <n v="9"/>
    <x v="0"/>
    <n v="8"/>
    <x v="4"/>
    <x v="4"/>
    <x v="3"/>
    <x v="2"/>
    <x v="1"/>
    <x v="1"/>
    <x v="0"/>
    <x v="0"/>
    <n v="1"/>
    <n v="0"/>
  </r>
  <r>
    <n v="9"/>
    <x v="0"/>
    <n v="9"/>
    <x v="4"/>
    <x v="4"/>
    <x v="3"/>
    <x v="2"/>
    <x v="1"/>
    <x v="1"/>
    <x v="0"/>
    <x v="0"/>
    <n v="1"/>
    <n v="0"/>
  </r>
  <r>
    <n v="9"/>
    <x v="0"/>
    <n v="10"/>
    <x v="4"/>
    <x v="4"/>
    <x v="3"/>
    <x v="2"/>
    <x v="1"/>
    <x v="1"/>
    <x v="0"/>
    <x v="0"/>
    <n v="0"/>
    <n v="1"/>
  </r>
  <r>
    <n v="9"/>
    <x v="0"/>
    <n v="11"/>
    <x v="4"/>
    <x v="4"/>
    <x v="3"/>
    <x v="2"/>
    <x v="1"/>
    <x v="1"/>
    <x v="0"/>
    <x v="0"/>
    <n v="0"/>
    <n v="1"/>
  </r>
  <r>
    <n v="9"/>
    <x v="0"/>
    <n v="12"/>
    <x v="4"/>
    <x v="4"/>
    <x v="3"/>
    <x v="2"/>
    <x v="1"/>
    <x v="1"/>
    <x v="0"/>
    <x v="0"/>
    <n v="1"/>
    <n v="0"/>
  </r>
  <r>
    <n v="11"/>
    <x v="0"/>
    <n v="1"/>
    <x v="5"/>
    <x v="5"/>
    <x v="4"/>
    <x v="3"/>
    <x v="1"/>
    <x v="1"/>
    <x v="0"/>
    <x v="0"/>
    <n v="0"/>
    <n v="1"/>
  </r>
  <r>
    <n v="11"/>
    <x v="0"/>
    <n v="2"/>
    <x v="5"/>
    <x v="5"/>
    <x v="4"/>
    <x v="3"/>
    <x v="1"/>
    <x v="1"/>
    <x v="0"/>
    <x v="0"/>
    <n v="0"/>
    <n v="1"/>
  </r>
  <r>
    <n v="11"/>
    <x v="0"/>
    <n v="3"/>
    <x v="5"/>
    <x v="5"/>
    <x v="4"/>
    <x v="3"/>
    <x v="1"/>
    <x v="1"/>
    <x v="0"/>
    <x v="0"/>
    <n v="1"/>
    <n v="0"/>
  </r>
  <r>
    <n v="11"/>
    <x v="0"/>
    <n v="4"/>
    <x v="5"/>
    <x v="5"/>
    <x v="4"/>
    <x v="3"/>
    <x v="1"/>
    <x v="1"/>
    <x v="0"/>
    <x v="0"/>
    <n v="1"/>
    <n v="0"/>
  </r>
  <r>
    <n v="11"/>
    <x v="0"/>
    <n v="5"/>
    <x v="5"/>
    <x v="5"/>
    <x v="4"/>
    <x v="3"/>
    <x v="1"/>
    <x v="1"/>
    <x v="0"/>
    <x v="0"/>
    <n v="1"/>
    <n v="0"/>
  </r>
  <r>
    <n v="11"/>
    <x v="0"/>
    <n v="6"/>
    <x v="5"/>
    <x v="5"/>
    <x v="4"/>
    <x v="3"/>
    <x v="1"/>
    <x v="1"/>
    <x v="0"/>
    <x v="0"/>
    <n v="0"/>
    <n v="1"/>
  </r>
  <r>
    <n v="11"/>
    <x v="0"/>
    <n v="7"/>
    <x v="5"/>
    <x v="5"/>
    <x v="4"/>
    <x v="3"/>
    <x v="1"/>
    <x v="1"/>
    <x v="0"/>
    <x v="0"/>
    <n v="1"/>
    <n v="0"/>
  </r>
  <r>
    <n v="11"/>
    <x v="0"/>
    <n v="8"/>
    <x v="5"/>
    <x v="5"/>
    <x v="4"/>
    <x v="3"/>
    <x v="1"/>
    <x v="1"/>
    <x v="0"/>
    <x v="0"/>
    <n v="0"/>
    <n v="1"/>
  </r>
  <r>
    <n v="11"/>
    <x v="0"/>
    <n v="9"/>
    <x v="5"/>
    <x v="5"/>
    <x v="4"/>
    <x v="3"/>
    <x v="1"/>
    <x v="1"/>
    <x v="0"/>
    <x v="0"/>
    <n v="1"/>
    <n v="0"/>
  </r>
  <r>
    <n v="11"/>
    <x v="0"/>
    <n v="10"/>
    <x v="5"/>
    <x v="5"/>
    <x v="4"/>
    <x v="3"/>
    <x v="1"/>
    <x v="1"/>
    <x v="0"/>
    <x v="0"/>
    <n v="1"/>
    <n v="0"/>
  </r>
  <r>
    <n v="11"/>
    <x v="0"/>
    <n v="11"/>
    <x v="5"/>
    <x v="5"/>
    <x v="4"/>
    <x v="3"/>
    <x v="1"/>
    <x v="1"/>
    <x v="0"/>
    <x v="0"/>
    <n v="0"/>
    <n v="1"/>
  </r>
  <r>
    <n v="11"/>
    <x v="0"/>
    <n v="12"/>
    <x v="5"/>
    <x v="5"/>
    <x v="4"/>
    <x v="3"/>
    <x v="1"/>
    <x v="1"/>
    <x v="0"/>
    <x v="0"/>
    <n v="0"/>
    <n v="1"/>
  </r>
  <r>
    <n v="11"/>
    <x v="0"/>
    <n v="13"/>
    <x v="5"/>
    <x v="5"/>
    <x v="4"/>
    <x v="3"/>
    <x v="1"/>
    <x v="1"/>
    <x v="0"/>
    <x v="0"/>
    <n v="1"/>
    <n v="0"/>
  </r>
  <r>
    <n v="13"/>
    <x v="0"/>
    <n v="1"/>
    <x v="6"/>
    <x v="6"/>
    <x v="5"/>
    <x v="4"/>
    <x v="1"/>
    <x v="1"/>
    <x v="1"/>
    <x v="1"/>
    <n v="0"/>
    <n v="1"/>
  </r>
  <r>
    <n v="13"/>
    <x v="0"/>
    <n v="2"/>
    <x v="6"/>
    <x v="6"/>
    <x v="5"/>
    <x v="4"/>
    <x v="1"/>
    <x v="1"/>
    <x v="1"/>
    <x v="1"/>
    <n v="0"/>
    <n v="1"/>
  </r>
  <r>
    <n v="13"/>
    <x v="0"/>
    <n v="3"/>
    <x v="6"/>
    <x v="6"/>
    <x v="5"/>
    <x v="4"/>
    <x v="1"/>
    <x v="1"/>
    <x v="1"/>
    <x v="1"/>
    <n v="0"/>
    <n v="1"/>
  </r>
  <r>
    <n v="13"/>
    <x v="0"/>
    <n v="4"/>
    <x v="6"/>
    <x v="6"/>
    <x v="5"/>
    <x v="4"/>
    <x v="1"/>
    <x v="1"/>
    <x v="1"/>
    <x v="1"/>
    <n v="1"/>
    <n v="0"/>
  </r>
  <r>
    <n v="13"/>
    <x v="0"/>
    <n v="5"/>
    <x v="6"/>
    <x v="6"/>
    <x v="5"/>
    <x v="4"/>
    <x v="1"/>
    <x v="1"/>
    <x v="1"/>
    <x v="1"/>
    <n v="1"/>
    <n v="0"/>
  </r>
  <r>
    <n v="13"/>
    <x v="0"/>
    <n v="6"/>
    <x v="6"/>
    <x v="6"/>
    <x v="5"/>
    <x v="4"/>
    <x v="1"/>
    <x v="1"/>
    <x v="1"/>
    <x v="1"/>
    <n v="0"/>
    <n v="1"/>
  </r>
  <r>
    <n v="13"/>
    <x v="0"/>
    <n v="7"/>
    <x v="6"/>
    <x v="6"/>
    <x v="5"/>
    <x v="4"/>
    <x v="1"/>
    <x v="1"/>
    <x v="1"/>
    <x v="1"/>
    <n v="1"/>
    <n v="0"/>
  </r>
  <r>
    <n v="13"/>
    <x v="0"/>
    <n v="8"/>
    <x v="6"/>
    <x v="6"/>
    <x v="5"/>
    <x v="4"/>
    <x v="1"/>
    <x v="1"/>
    <x v="1"/>
    <x v="1"/>
    <n v="1"/>
    <n v="0"/>
  </r>
  <r>
    <n v="13"/>
    <x v="0"/>
    <n v="9"/>
    <x v="6"/>
    <x v="6"/>
    <x v="5"/>
    <x v="4"/>
    <x v="1"/>
    <x v="1"/>
    <x v="1"/>
    <x v="1"/>
    <n v="0"/>
    <n v="1"/>
  </r>
  <r>
    <n v="13"/>
    <x v="0"/>
    <n v="10"/>
    <x v="6"/>
    <x v="6"/>
    <x v="5"/>
    <x v="4"/>
    <x v="1"/>
    <x v="1"/>
    <x v="1"/>
    <x v="1"/>
    <n v="0"/>
    <n v="1"/>
  </r>
  <r>
    <n v="13"/>
    <x v="0"/>
    <n v="11"/>
    <x v="6"/>
    <x v="6"/>
    <x v="5"/>
    <x v="4"/>
    <x v="1"/>
    <x v="1"/>
    <x v="1"/>
    <x v="1"/>
    <n v="0"/>
    <n v="1"/>
  </r>
  <r>
    <n v="15"/>
    <x v="0"/>
    <n v="1"/>
    <x v="7"/>
    <x v="0"/>
    <x v="6"/>
    <x v="5"/>
    <x v="0"/>
    <x v="0"/>
    <x v="1"/>
    <x v="1"/>
    <n v="0"/>
    <n v="1"/>
  </r>
  <r>
    <n v="15"/>
    <x v="0"/>
    <n v="2"/>
    <x v="7"/>
    <x v="0"/>
    <x v="6"/>
    <x v="5"/>
    <x v="0"/>
    <x v="0"/>
    <x v="1"/>
    <x v="1"/>
    <n v="0"/>
    <n v="1"/>
  </r>
  <r>
    <n v="15"/>
    <x v="0"/>
    <n v="3"/>
    <x v="7"/>
    <x v="0"/>
    <x v="6"/>
    <x v="5"/>
    <x v="0"/>
    <x v="0"/>
    <x v="1"/>
    <x v="1"/>
    <n v="1"/>
    <n v="0"/>
  </r>
  <r>
    <n v="15"/>
    <x v="0"/>
    <n v="4"/>
    <x v="7"/>
    <x v="0"/>
    <x v="6"/>
    <x v="5"/>
    <x v="0"/>
    <x v="0"/>
    <x v="1"/>
    <x v="1"/>
    <n v="0"/>
    <n v="1"/>
  </r>
  <r>
    <n v="15"/>
    <x v="0"/>
    <n v="5"/>
    <x v="7"/>
    <x v="0"/>
    <x v="6"/>
    <x v="5"/>
    <x v="0"/>
    <x v="0"/>
    <x v="1"/>
    <x v="1"/>
    <n v="1"/>
    <n v="0"/>
  </r>
  <r>
    <n v="15"/>
    <x v="0"/>
    <n v="6"/>
    <x v="7"/>
    <x v="0"/>
    <x v="6"/>
    <x v="5"/>
    <x v="0"/>
    <x v="0"/>
    <x v="1"/>
    <x v="1"/>
    <n v="1"/>
    <n v="0"/>
  </r>
  <r>
    <n v="15"/>
    <x v="0"/>
    <n v="7"/>
    <x v="7"/>
    <x v="0"/>
    <x v="6"/>
    <x v="5"/>
    <x v="0"/>
    <x v="0"/>
    <x v="1"/>
    <x v="1"/>
    <n v="1"/>
    <n v="0"/>
  </r>
  <r>
    <n v="15"/>
    <x v="0"/>
    <n v="8"/>
    <x v="7"/>
    <x v="0"/>
    <x v="6"/>
    <x v="5"/>
    <x v="0"/>
    <x v="0"/>
    <x v="1"/>
    <x v="1"/>
    <n v="1"/>
    <n v="0"/>
  </r>
  <r>
    <n v="15"/>
    <x v="0"/>
    <n v="9"/>
    <x v="7"/>
    <x v="0"/>
    <x v="6"/>
    <x v="5"/>
    <x v="0"/>
    <x v="0"/>
    <x v="1"/>
    <x v="1"/>
    <n v="0"/>
    <n v="1"/>
  </r>
  <r>
    <n v="15"/>
    <x v="0"/>
    <n v="10"/>
    <x v="7"/>
    <x v="0"/>
    <x v="6"/>
    <x v="5"/>
    <x v="0"/>
    <x v="0"/>
    <x v="1"/>
    <x v="1"/>
    <n v="0"/>
    <n v="1"/>
  </r>
  <r>
    <n v="15"/>
    <x v="0"/>
    <n v="11"/>
    <x v="7"/>
    <x v="0"/>
    <x v="6"/>
    <x v="5"/>
    <x v="0"/>
    <x v="0"/>
    <x v="1"/>
    <x v="1"/>
    <n v="0"/>
    <n v="1"/>
  </r>
  <r>
    <n v="15"/>
    <x v="0"/>
    <n v="12"/>
    <x v="7"/>
    <x v="0"/>
    <x v="6"/>
    <x v="5"/>
    <x v="0"/>
    <x v="0"/>
    <x v="1"/>
    <x v="1"/>
    <n v="1"/>
    <n v="0"/>
  </r>
  <r>
    <n v="15"/>
    <x v="0"/>
    <n v="13"/>
    <x v="7"/>
    <x v="0"/>
    <x v="6"/>
    <x v="5"/>
    <x v="0"/>
    <x v="0"/>
    <x v="1"/>
    <x v="1"/>
    <n v="0"/>
    <n v="1"/>
  </r>
  <r>
    <n v="17"/>
    <x v="0"/>
    <n v="1"/>
    <x v="8"/>
    <x v="6"/>
    <x v="7"/>
    <x v="6"/>
    <x v="0"/>
    <x v="0"/>
    <x v="0"/>
    <x v="0"/>
    <n v="1"/>
    <n v="0"/>
  </r>
  <r>
    <n v="17"/>
    <x v="0"/>
    <n v="2"/>
    <x v="8"/>
    <x v="6"/>
    <x v="7"/>
    <x v="6"/>
    <x v="0"/>
    <x v="0"/>
    <x v="0"/>
    <x v="0"/>
    <n v="0"/>
    <n v="1"/>
  </r>
  <r>
    <n v="17"/>
    <x v="0"/>
    <n v="3"/>
    <x v="8"/>
    <x v="6"/>
    <x v="7"/>
    <x v="6"/>
    <x v="0"/>
    <x v="0"/>
    <x v="0"/>
    <x v="0"/>
    <n v="0"/>
    <n v="1"/>
  </r>
  <r>
    <n v="17"/>
    <x v="0"/>
    <n v="4"/>
    <x v="8"/>
    <x v="6"/>
    <x v="7"/>
    <x v="6"/>
    <x v="0"/>
    <x v="0"/>
    <x v="0"/>
    <x v="0"/>
    <n v="1"/>
    <n v="0"/>
  </r>
  <r>
    <n v="17"/>
    <x v="0"/>
    <n v="5"/>
    <x v="8"/>
    <x v="6"/>
    <x v="7"/>
    <x v="6"/>
    <x v="0"/>
    <x v="0"/>
    <x v="0"/>
    <x v="0"/>
    <n v="0"/>
    <n v="1"/>
  </r>
  <r>
    <n v="17"/>
    <x v="0"/>
    <n v="6"/>
    <x v="8"/>
    <x v="6"/>
    <x v="7"/>
    <x v="6"/>
    <x v="0"/>
    <x v="0"/>
    <x v="0"/>
    <x v="0"/>
    <n v="1"/>
    <n v="0"/>
  </r>
  <r>
    <n v="17"/>
    <x v="0"/>
    <n v="7"/>
    <x v="8"/>
    <x v="6"/>
    <x v="7"/>
    <x v="6"/>
    <x v="0"/>
    <x v="0"/>
    <x v="0"/>
    <x v="0"/>
    <n v="1"/>
    <n v="0"/>
  </r>
  <r>
    <n v="17"/>
    <x v="0"/>
    <n v="8"/>
    <x v="8"/>
    <x v="6"/>
    <x v="7"/>
    <x v="6"/>
    <x v="0"/>
    <x v="0"/>
    <x v="0"/>
    <x v="0"/>
    <n v="0"/>
    <n v="1"/>
  </r>
  <r>
    <n v="17"/>
    <x v="0"/>
    <n v="9"/>
    <x v="8"/>
    <x v="6"/>
    <x v="7"/>
    <x v="6"/>
    <x v="0"/>
    <x v="0"/>
    <x v="0"/>
    <x v="0"/>
    <n v="1"/>
    <n v="0"/>
  </r>
  <r>
    <n v="17"/>
    <x v="0"/>
    <n v="10"/>
    <x v="8"/>
    <x v="6"/>
    <x v="7"/>
    <x v="6"/>
    <x v="0"/>
    <x v="0"/>
    <x v="0"/>
    <x v="0"/>
    <n v="1"/>
    <n v="0"/>
  </r>
  <r>
    <n v="17"/>
    <x v="0"/>
    <n v="11"/>
    <x v="8"/>
    <x v="6"/>
    <x v="7"/>
    <x v="6"/>
    <x v="0"/>
    <x v="0"/>
    <x v="0"/>
    <x v="0"/>
    <n v="0"/>
    <n v="1"/>
  </r>
  <r>
    <n v="17"/>
    <x v="0"/>
    <n v="12"/>
    <x v="8"/>
    <x v="6"/>
    <x v="7"/>
    <x v="6"/>
    <x v="0"/>
    <x v="0"/>
    <x v="0"/>
    <x v="0"/>
    <n v="0"/>
    <n v="1"/>
  </r>
  <r>
    <n v="19"/>
    <x v="0"/>
    <n v="1"/>
    <x v="9"/>
    <x v="6"/>
    <x v="0"/>
    <x v="5"/>
    <x v="0"/>
    <x v="0"/>
    <x v="1"/>
    <x v="1"/>
    <n v="0"/>
    <n v="1"/>
  </r>
  <r>
    <n v="19"/>
    <x v="0"/>
    <n v="2"/>
    <x v="9"/>
    <x v="6"/>
    <x v="0"/>
    <x v="5"/>
    <x v="0"/>
    <x v="0"/>
    <x v="1"/>
    <x v="1"/>
    <n v="1"/>
    <n v="0"/>
  </r>
  <r>
    <n v="19"/>
    <x v="0"/>
    <n v="3"/>
    <x v="9"/>
    <x v="6"/>
    <x v="0"/>
    <x v="5"/>
    <x v="0"/>
    <x v="0"/>
    <x v="1"/>
    <x v="1"/>
    <n v="0"/>
    <n v="1"/>
  </r>
  <r>
    <n v="19"/>
    <x v="0"/>
    <n v="4"/>
    <x v="9"/>
    <x v="6"/>
    <x v="0"/>
    <x v="5"/>
    <x v="0"/>
    <x v="0"/>
    <x v="1"/>
    <x v="1"/>
    <n v="1"/>
    <n v="0"/>
  </r>
  <r>
    <n v="19"/>
    <x v="0"/>
    <n v="5"/>
    <x v="9"/>
    <x v="6"/>
    <x v="0"/>
    <x v="5"/>
    <x v="0"/>
    <x v="0"/>
    <x v="1"/>
    <x v="1"/>
    <n v="1"/>
    <n v="0"/>
  </r>
  <r>
    <n v="19"/>
    <x v="0"/>
    <n v="6"/>
    <x v="9"/>
    <x v="6"/>
    <x v="0"/>
    <x v="5"/>
    <x v="0"/>
    <x v="0"/>
    <x v="1"/>
    <x v="1"/>
    <n v="0"/>
    <n v="1"/>
  </r>
  <r>
    <n v="19"/>
    <x v="0"/>
    <n v="7"/>
    <x v="9"/>
    <x v="6"/>
    <x v="0"/>
    <x v="5"/>
    <x v="0"/>
    <x v="0"/>
    <x v="1"/>
    <x v="1"/>
    <n v="1"/>
    <n v="0"/>
  </r>
  <r>
    <n v="19"/>
    <x v="0"/>
    <n v="8"/>
    <x v="9"/>
    <x v="6"/>
    <x v="0"/>
    <x v="5"/>
    <x v="0"/>
    <x v="0"/>
    <x v="1"/>
    <x v="1"/>
    <n v="1"/>
    <n v="0"/>
  </r>
  <r>
    <n v="19"/>
    <x v="0"/>
    <n v="9"/>
    <x v="9"/>
    <x v="6"/>
    <x v="0"/>
    <x v="5"/>
    <x v="0"/>
    <x v="0"/>
    <x v="1"/>
    <x v="1"/>
    <n v="1"/>
    <n v="0"/>
  </r>
  <r>
    <n v="19"/>
    <x v="0"/>
    <n v="10"/>
    <x v="9"/>
    <x v="6"/>
    <x v="0"/>
    <x v="5"/>
    <x v="0"/>
    <x v="0"/>
    <x v="1"/>
    <x v="1"/>
    <n v="0"/>
    <n v="1"/>
  </r>
  <r>
    <n v="19"/>
    <x v="0"/>
    <n v="11"/>
    <x v="9"/>
    <x v="6"/>
    <x v="0"/>
    <x v="5"/>
    <x v="0"/>
    <x v="0"/>
    <x v="1"/>
    <x v="1"/>
    <n v="1"/>
    <n v="0"/>
  </r>
  <r>
    <n v="21"/>
    <x v="0"/>
    <n v="1"/>
    <x v="10"/>
    <x v="7"/>
    <x v="0"/>
    <x v="7"/>
    <x v="0"/>
    <x v="0"/>
    <x v="1"/>
    <x v="1"/>
    <n v="0"/>
    <n v="1"/>
  </r>
  <r>
    <n v="21"/>
    <x v="0"/>
    <n v="2"/>
    <x v="10"/>
    <x v="7"/>
    <x v="0"/>
    <x v="7"/>
    <x v="0"/>
    <x v="0"/>
    <x v="1"/>
    <x v="1"/>
    <n v="0"/>
    <n v="1"/>
  </r>
  <r>
    <n v="21"/>
    <x v="0"/>
    <n v="3"/>
    <x v="10"/>
    <x v="7"/>
    <x v="0"/>
    <x v="7"/>
    <x v="0"/>
    <x v="0"/>
    <x v="1"/>
    <x v="1"/>
    <n v="1"/>
    <n v="0"/>
  </r>
  <r>
    <n v="21"/>
    <x v="0"/>
    <n v="4"/>
    <x v="10"/>
    <x v="7"/>
    <x v="0"/>
    <x v="7"/>
    <x v="0"/>
    <x v="0"/>
    <x v="1"/>
    <x v="1"/>
    <n v="0"/>
    <n v="1"/>
  </r>
  <r>
    <n v="21"/>
    <x v="0"/>
    <n v="5"/>
    <x v="10"/>
    <x v="7"/>
    <x v="0"/>
    <x v="7"/>
    <x v="0"/>
    <x v="0"/>
    <x v="1"/>
    <x v="1"/>
    <n v="1"/>
    <n v="0"/>
  </r>
  <r>
    <n v="21"/>
    <x v="0"/>
    <n v="6"/>
    <x v="10"/>
    <x v="7"/>
    <x v="0"/>
    <x v="7"/>
    <x v="0"/>
    <x v="0"/>
    <x v="1"/>
    <x v="1"/>
    <n v="0"/>
    <n v="1"/>
  </r>
  <r>
    <n v="21"/>
    <x v="0"/>
    <n v="7"/>
    <x v="10"/>
    <x v="7"/>
    <x v="0"/>
    <x v="7"/>
    <x v="0"/>
    <x v="0"/>
    <x v="1"/>
    <x v="1"/>
    <n v="0"/>
    <n v="1"/>
  </r>
  <r>
    <n v="21"/>
    <x v="0"/>
    <n v="8"/>
    <x v="10"/>
    <x v="7"/>
    <x v="0"/>
    <x v="7"/>
    <x v="0"/>
    <x v="0"/>
    <x v="1"/>
    <x v="1"/>
    <n v="0"/>
    <n v="1"/>
  </r>
  <r>
    <n v="21"/>
    <x v="0"/>
    <n v="9"/>
    <x v="10"/>
    <x v="7"/>
    <x v="0"/>
    <x v="7"/>
    <x v="0"/>
    <x v="0"/>
    <x v="1"/>
    <x v="1"/>
    <n v="0"/>
    <n v="1"/>
  </r>
  <r>
    <n v="23"/>
    <x v="0"/>
    <n v="1"/>
    <x v="3"/>
    <x v="8"/>
    <x v="8"/>
    <x v="8"/>
    <x v="0"/>
    <x v="0"/>
    <x v="1"/>
    <x v="1"/>
    <n v="0"/>
    <n v="1"/>
  </r>
  <r>
    <n v="23"/>
    <x v="0"/>
    <n v="2"/>
    <x v="3"/>
    <x v="8"/>
    <x v="8"/>
    <x v="8"/>
    <x v="0"/>
    <x v="0"/>
    <x v="1"/>
    <x v="1"/>
    <n v="1"/>
    <n v="0"/>
  </r>
  <r>
    <n v="23"/>
    <x v="0"/>
    <n v="3"/>
    <x v="3"/>
    <x v="8"/>
    <x v="8"/>
    <x v="8"/>
    <x v="0"/>
    <x v="0"/>
    <x v="1"/>
    <x v="1"/>
    <n v="0"/>
    <n v="1"/>
  </r>
  <r>
    <n v="23"/>
    <x v="0"/>
    <n v="4"/>
    <x v="3"/>
    <x v="8"/>
    <x v="8"/>
    <x v="8"/>
    <x v="0"/>
    <x v="0"/>
    <x v="1"/>
    <x v="1"/>
    <n v="1"/>
    <n v="0"/>
  </r>
  <r>
    <n v="23"/>
    <x v="0"/>
    <n v="5"/>
    <x v="3"/>
    <x v="8"/>
    <x v="8"/>
    <x v="8"/>
    <x v="0"/>
    <x v="0"/>
    <x v="1"/>
    <x v="1"/>
    <n v="1"/>
    <n v="0"/>
  </r>
  <r>
    <n v="23"/>
    <x v="0"/>
    <n v="6"/>
    <x v="3"/>
    <x v="8"/>
    <x v="8"/>
    <x v="8"/>
    <x v="0"/>
    <x v="0"/>
    <x v="1"/>
    <x v="1"/>
    <n v="0"/>
    <n v="1"/>
  </r>
  <r>
    <n v="23"/>
    <x v="0"/>
    <n v="7"/>
    <x v="3"/>
    <x v="8"/>
    <x v="8"/>
    <x v="8"/>
    <x v="0"/>
    <x v="0"/>
    <x v="1"/>
    <x v="1"/>
    <n v="0"/>
    <n v="1"/>
  </r>
  <r>
    <n v="23"/>
    <x v="0"/>
    <n v="8"/>
    <x v="3"/>
    <x v="8"/>
    <x v="8"/>
    <x v="8"/>
    <x v="0"/>
    <x v="0"/>
    <x v="1"/>
    <x v="1"/>
    <n v="1"/>
    <n v="0"/>
  </r>
  <r>
    <n v="23"/>
    <x v="0"/>
    <n v="9"/>
    <x v="3"/>
    <x v="8"/>
    <x v="8"/>
    <x v="8"/>
    <x v="0"/>
    <x v="0"/>
    <x v="1"/>
    <x v="1"/>
    <n v="0"/>
    <n v="1"/>
  </r>
  <r>
    <n v="23"/>
    <x v="0"/>
    <n v="10"/>
    <x v="3"/>
    <x v="8"/>
    <x v="8"/>
    <x v="8"/>
    <x v="0"/>
    <x v="0"/>
    <x v="1"/>
    <x v="1"/>
    <n v="1"/>
    <n v="0"/>
  </r>
  <r>
    <n v="23"/>
    <x v="0"/>
    <n v="11"/>
    <x v="3"/>
    <x v="8"/>
    <x v="8"/>
    <x v="8"/>
    <x v="0"/>
    <x v="0"/>
    <x v="1"/>
    <x v="1"/>
    <n v="1"/>
    <n v="0"/>
  </r>
  <r>
    <n v="23"/>
    <x v="0"/>
    <n v="12"/>
    <x v="3"/>
    <x v="8"/>
    <x v="8"/>
    <x v="8"/>
    <x v="0"/>
    <x v="0"/>
    <x v="1"/>
    <x v="1"/>
    <n v="1"/>
    <n v="0"/>
  </r>
  <r>
    <n v="25"/>
    <x v="0"/>
    <n v="1"/>
    <x v="11"/>
    <x v="9"/>
    <x v="0"/>
    <x v="9"/>
    <x v="1"/>
    <x v="1"/>
    <x v="1"/>
    <x v="1"/>
    <n v="0"/>
    <n v="1"/>
  </r>
  <r>
    <n v="25"/>
    <x v="0"/>
    <n v="2"/>
    <x v="11"/>
    <x v="9"/>
    <x v="0"/>
    <x v="9"/>
    <x v="1"/>
    <x v="1"/>
    <x v="1"/>
    <x v="1"/>
    <n v="1"/>
    <n v="0"/>
  </r>
  <r>
    <n v="25"/>
    <x v="0"/>
    <n v="3"/>
    <x v="11"/>
    <x v="9"/>
    <x v="0"/>
    <x v="9"/>
    <x v="1"/>
    <x v="1"/>
    <x v="1"/>
    <x v="1"/>
    <n v="1"/>
    <n v="0"/>
  </r>
  <r>
    <n v="25"/>
    <x v="0"/>
    <n v="4"/>
    <x v="11"/>
    <x v="9"/>
    <x v="0"/>
    <x v="9"/>
    <x v="1"/>
    <x v="1"/>
    <x v="1"/>
    <x v="1"/>
    <n v="1"/>
    <n v="0"/>
  </r>
  <r>
    <n v="25"/>
    <x v="0"/>
    <n v="5"/>
    <x v="11"/>
    <x v="9"/>
    <x v="0"/>
    <x v="9"/>
    <x v="1"/>
    <x v="1"/>
    <x v="1"/>
    <x v="1"/>
    <n v="1"/>
    <n v="0"/>
  </r>
  <r>
    <n v="25"/>
    <x v="0"/>
    <n v="6"/>
    <x v="11"/>
    <x v="9"/>
    <x v="0"/>
    <x v="9"/>
    <x v="1"/>
    <x v="1"/>
    <x v="1"/>
    <x v="1"/>
    <n v="0"/>
    <n v="1"/>
  </r>
  <r>
    <n v="25"/>
    <x v="0"/>
    <n v="7"/>
    <x v="11"/>
    <x v="9"/>
    <x v="0"/>
    <x v="9"/>
    <x v="1"/>
    <x v="1"/>
    <x v="1"/>
    <x v="1"/>
    <n v="1"/>
    <n v="0"/>
  </r>
  <r>
    <n v="25"/>
    <x v="0"/>
    <n v="8"/>
    <x v="11"/>
    <x v="9"/>
    <x v="0"/>
    <x v="9"/>
    <x v="1"/>
    <x v="1"/>
    <x v="1"/>
    <x v="1"/>
    <n v="0"/>
    <n v="1"/>
  </r>
  <r>
    <n v="25"/>
    <x v="0"/>
    <n v="9"/>
    <x v="11"/>
    <x v="9"/>
    <x v="0"/>
    <x v="9"/>
    <x v="1"/>
    <x v="1"/>
    <x v="1"/>
    <x v="1"/>
    <n v="0"/>
    <n v="1"/>
  </r>
  <r>
    <n v="25"/>
    <x v="0"/>
    <n v="10"/>
    <x v="11"/>
    <x v="9"/>
    <x v="0"/>
    <x v="9"/>
    <x v="1"/>
    <x v="1"/>
    <x v="1"/>
    <x v="1"/>
    <n v="1"/>
    <n v="0"/>
  </r>
  <r>
    <n v="25"/>
    <x v="0"/>
    <n v="11"/>
    <x v="11"/>
    <x v="9"/>
    <x v="0"/>
    <x v="9"/>
    <x v="1"/>
    <x v="1"/>
    <x v="1"/>
    <x v="1"/>
    <n v="0"/>
    <n v="1"/>
  </r>
  <r>
    <n v="25"/>
    <x v="0"/>
    <n v="12"/>
    <x v="11"/>
    <x v="9"/>
    <x v="0"/>
    <x v="9"/>
    <x v="1"/>
    <x v="1"/>
    <x v="1"/>
    <x v="1"/>
    <n v="0"/>
    <n v="1"/>
  </r>
  <r>
    <n v="25"/>
    <x v="0"/>
    <n v="13"/>
    <x v="11"/>
    <x v="9"/>
    <x v="0"/>
    <x v="9"/>
    <x v="1"/>
    <x v="1"/>
    <x v="1"/>
    <x v="1"/>
    <n v="1"/>
    <n v="0"/>
  </r>
  <r>
    <n v="27"/>
    <x v="0"/>
    <n v="1"/>
    <x v="12"/>
    <x v="10"/>
    <x v="9"/>
    <x v="10"/>
    <x v="1"/>
    <x v="1"/>
    <x v="0"/>
    <x v="0"/>
    <n v="1"/>
    <n v="0"/>
  </r>
  <r>
    <n v="27"/>
    <x v="0"/>
    <n v="2"/>
    <x v="12"/>
    <x v="10"/>
    <x v="9"/>
    <x v="10"/>
    <x v="1"/>
    <x v="1"/>
    <x v="0"/>
    <x v="0"/>
    <n v="0"/>
    <n v="1"/>
  </r>
  <r>
    <n v="27"/>
    <x v="0"/>
    <n v="3"/>
    <x v="12"/>
    <x v="10"/>
    <x v="9"/>
    <x v="10"/>
    <x v="1"/>
    <x v="1"/>
    <x v="0"/>
    <x v="0"/>
    <n v="0"/>
    <n v="1"/>
  </r>
  <r>
    <n v="27"/>
    <x v="0"/>
    <n v="4"/>
    <x v="12"/>
    <x v="10"/>
    <x v="9"/>
    <x v="10"/>
    <x v="1"/>
    <x v="1"/>
    <x v="0"/>
    <x v="0"/>
    <n v="1"/>
    <n v="0"/>
  </r>
  <r>
    <n v="27"/>
    <x v="0"/>
    <n v="5"/>
    <x v="12"/>
    <x v="10"/>
    <x v="9"/>
    <x v="10"/>
    <x v="1"/>
    <x v="1"/>
    <x v="0"/>
    <x v="0"/>
    <n v="0"/>
    <n v="1"/>
  </r>
  <r>
    <n v="27"/>
    <x v="0"/>
    <n v="6"/>
    <x v="12"/>
    <x v="10"/>
    <x v="9"/>
    <x v="10"/>
    <x v="1"/>
    <x v="1"/>
    <x v="0"/>
    <x v="0"/>
    <n v="1"/>
    <n v="0"/>
  </r>
  <r>
    <n v="27"/>
    <x v="0"/>
    <n v="7"/>
    <x v="12"/>
    <x v="10"/>
    <x v="9"/>
    <x v="10"/>
    <x v="1"/>
    <x v="1"/>
    <x v="0"/>
    <x v="0"/>
    <n v="0"/>
    <n v="1"/>
  </r>
  <r>
    <n v="27"/>
    <x v="0"/>
    <n v="8"/>
    <x v="12"/>
    <x v="10"/>
    <x v="9"/>
    <x v="10"/>
    <x v="1"/>
    <x v="1"/>
    <x v="0"/>
    <x v="0"/>
    <n v="1"/>
    <n v="0"/>
  </r>
  <r>
    <n v="27"/>
    <x v="0"/>
    <n v="9"/>
    <x v="12"/>
    <x v="10"/>
    <x v="9"/>
    <x v="10"/>
    <x v="1"/>
    <x v="1"/>
    <x v="0"/>
    <x v="0"/>
    <n v="0"/>
    <n v="1"/>
  </r>
  <r>
    <n v="27"/>
    <x v="0"/>
    <n v="10"/>
    <x v="12"/>
    <x v="10"/>
    <x v="9"/>
    <x v="10"/>
    <x v="1"/>
    <x v="1"/>
    <x v="0"/>
    <x v="0"/>
    <n v="1"/>
    <n v="0"/>
  </r>
  <r>
    <n v="27"/>
    <x v="0"/>
    <n v="11"/>
    <x v="12"/>
    <x v="10"/>
    <x v="9"/>
    <x v="10"/>
    <x v="1"/>
    <x v="1"/>
    <x v="0"/>
    <x v="0"/>
    <n v="1"/>
    <n v="0"/>
  </r>
  <r>
    <n v="27"/>
    <x v="0"/>
    <n v="12"/>
    <x v="12"/>
    <x v="10"/>
    <x v="9"/>
    <x v="10"/>
    <x v="1"/>
    <x v="1"/>
    <x v="0"/>
    <x v="0"/>
    <n v="1"/>
    <n v="0"/>
  </r>
  <r>
    <n v="29"/>
    <x v="0"/>
    <n v="1"/>
    <x v="13"/>
    <x v="11"/>
    <x v="10"/>
    <x v="11"/>
    <x v="0"/>
    <x v="0"/>
    <x v="0"/>
    <x v="0"/>
    <n v="1"/>
    <n v="0"/>
  </r>
  <r>
    <n v="29"/>
    <x v="0"/>
    <n v="2"/>
    <x v="13"/>
    <x v="11"/>
    <x v="10"/>
    <x v="11"/>
    <x v="0"/>
    <x v="0"/>
    <x v="0"/>
    <x v="0"/>
    <n v="1"/>
    <n v="0"/>
  </r>
  <r>
    <n v="29"/>
    <x v="0"/>
    <n v="3"/>
    <x v="13"/>
    <x v="11"/>
    <x v="10"/>
    <x v="11"/>
    <x v="0"/>
    <x v="0"/>
    <x v="0"/>
    <x v="0"/>
    <n v="0"/>
    <n v="1"/>
  </r>
  <r>
    <n v="29"/>
    <x v="0"/>
    <n v="4"/>
    <x v="13"/>
    <x v="11"/>
    <x v="10"/>
    <x v="11"/>
    <x v="0"/>
    <x v="0"/>
    <x v="0"/>
    <x v="0"/>
    <n v="1"/>
    <n v="0"/>
  </r>
  <r>
    <n v="29"/>
    <x v="0"/>
    <n v="5"/>
    <x v="13"/>
    <x v="11"/>
    <x v="10"/>
    <x v="11"/>
    <x v="0"/>
    <x v="0"/>
    <x v="0"/>
    <x v="0"/>
    <n v="1"/>
    <n v="0"/>
  </r>
  <r>
    <n v="29"/>
    <x v="0"/>
    <n v="6"/>
    <x v="13"/>
    <x v="11"/>
    <x v="10"/>
    <x v="11"/>
    <x v="0"/>
    <x v="0"/>
    <x v="0"/>
    <x v="0"/>
    <n v="1"/>
    <n v="0"/>
  </r>
  <r>
    <n v="29"/>
    <x v="0"/>
    <n v="7"/>
    <x v="13"/>
    <x v="11"/>
    <x v="10"/>
    <x v="11"/>
    <x v="0"/>
    <x v="0"/>
    <x v="0"/>
    <x v="0"/>
    <n v="0"/>
    <n v="1"/>
  </r>
  <r>
    <n v="29"/>
    <x v="0"/>
    <n v="8"/>
    <x v="13"/>
    <x v="11"/>
    <x v="10"/>
    <x v="11"/>
    <x v="0"/>
    <x v="0"/>
    <x v="0"/>
    <x v="0"/>
    <n v="0"/>
    <n v="1"/>
  </r>
  <r>
    <n v="29"/>
    <x v="0"/>
    <n v="9"/>
    <x v="13"/>
    <x v="11"/>
    <x v="10"/>
    <x v="11"/>
    <x v="0"/>
    <x v="0"/>
    <x v="0"/>
    <x v="0"/>
    <n v="0"/>
    <n v="1"/>
  </r>
  <r>
    <n v="29"/>
    <x v="0"/>
    <n v="10"/>
    <x v="13"/>
    <x v="11"/>
    <x v="10"/>
    <x v="11"/>
    <x v="0"/>
    <x v="0"/>
    <x v="0"/>
    <x v="0"/>
    <n v="0"/>
    <n v="1"/>
  </r>
  <r>
    <n v="29"/>
    <x v="0"/>
    <n v="11"/>
    <x v="13"/>
    <x v="11"/>
    <x v="10"/>
    <x v="11"/>
    <x v="0"/>
    <x v="0"/>
    <x v="0"/>
    <x v="0"/>
    <n v="1"/>
    <n v="0"/>
  </r>
  <r>
    <n v="29"/>
    <x v="0"/>
    <n v="12"/>
    <x v="13"/>
    <x v="11"/>
    <x v="10"/>
    <x v="11"/>
    <x v="0"/>
    <x v="0"/>
    <x v="0"/>
    <x v="0"/>
    <n v="1"/>
    <n v="0"/>
  </r>
  <r>
    <n v="33"/>
    <x v="0"/>
    <n v="1"/>
    <x v="9"/>
    <x v="12"/>
    <x v="11"/>
    <x v="12"/>
    <x v="0"/>
    <x v="0"/>
    <x v="0"/>
    <x v="0"/>
    <n v="1"/>
    <n v="0"/>
  </r>
  <r>
    <n v="33"/>
    <x v="0"/>
    <n v="2"/>
    <x v="9"/>
    <x v="12"/>
    <x v="11"/>
    <x v="12"/>
    <x v="0"/>
    <x v="0"/>
    <x v="0"/>
    <x v="0"/>
    <n v="1"/>
    <n v="0"/>
  </r>
  <r>
    <n v="33"/>
    <x v="0"/>
    <n v="3"/>
    <x v="9"/>
    <x v="12"/>
    <x v="11"/>
    <x v="12"/>
    <x v="0"/>
    <x v="0"/>
    <x v="0"/>
    <x v="0"/>
    <n v="0"/>
    <n v="1"/>
  </r>
  <r>
    <n v="33"/>
    <x v="0"/>
    <n v="4"/>
    <x v="9"/>
    <x v="12"/>
    <x v="11"/>
    <x v="12"/>
    <x v="0"/>
    <x v="0"/>
    <x v="0"/>
    <x v="0"/>
    <n v="0"/>
    <n v="1"/>
  </r>
  <r>
    <n v="33"/>
    <x v="0"/>
    <n v="5"/>
    <x v="9"/>
    <x v="12"/>
    <x v="11"/>
    <x v="12"/>
    <x v="0"/>
    <x v="0"/>
    <x v="0"/>
    <x v="0"/>
    <n v="1"/>
    <n v="0"/>
  </r>
  <r>
    <n v="33"/>
    <x v="0"/>
    <n v="6"/>
    <x v="9"/>
    <x v="12"/>
    <x v="11"/>
    <x v="12"/>
    <x v="0"/>
    <x v="0"/>
    <x v="0"/>
    <x v="0"/>
    <n v="1"/>
    <n v="0"/>
  </r>
  <r>
    <n v="33"/>
    <x v="0"/>
    <n v="7"/>
    <x v="9"/>
    <x v="12"/>
    <x v="11"/>
    <x v="12"/>
    <x v="0"/>
    <x v="0"/>
    <x v="0"/>
    <x v="0"/>
    <n v="0"/>
    <n v="1"/>
  </r>
  <r>
    <n v="33"/>
    <x v="0"/>
    <n v="8"/>
    <x v="9"/>
    <x v="12"/>
    <x v="11"/>
    <x v="12"/>
    <x v="0"/>
    <x v="0"/>
    <x v="0"/>
    <x v="0"/>
    <n v="0"/>
    <n v="1"/>
  </r>
  <r>
    <n v="33"/>
    <x v="0"/>
    <n v="9"/>
    <x v="9"/>
    <x v="12"/>
    <x v="11"/>
    <x v="12"/>
    <x v="0"/>
    <x v="0"/>
    <x v="0"/>
    <x v="0"/>
    <n v="1"/>
    <n v="0"/>
  </r>
  <r>
    <n v="33"/>
    <x v="0"/>
    <n v="10"/>
    <x v="9"/>
    <x v="12"/>
    <x v="11"/>
    <x v="12"/>
    <x v="0"/>
    <x v="0"/>
    <x v="0"/>
    <x v="0"/>
    <n v="0"/>
    <n v="1"/>
  </r>
  <r>
    <n v="33"/>
    <x v="0"/>
    <n v="11"/>
    <x v="9"/>
    <x v="12"/>
    <x v="11"/>
    <x v="12"/>
    <x v="0"/>
    <x v="0"/>
    <x v="0"/>
    <x v="0"/>
    <n v="1"/>
    <n v="0"/>
  </r>
  <r>
    <n v="33"/>
    <x v="0"/>
    <n v="12"/>
    <x v="9"/>
    <x v="12"/>
    <x v="11"/>
    <x v="12"/>
    <x v="0"/>
    <x v="0"/>
    <x v="0"/>
    <x v="0"/>
    <n v="1"/>
    <n v="0"/>
  </r>
  <r>
    <n v="31"/>
    <x v="0"/>
    <n v="1"/>
    <x v="14"/>
    <x v="2"/>
    <x v="12"/>
    <x v="13"/>
    <x v="1"/>
    <x v="1"/>
    <x v="0"/>
    <x v="0"/>
    <n v="0"/>
    <n v="1"/>
  </r>
  <r>
    <n v="31"/>
    <x v="0"/>
    <n v="2"/>
    <x v="14"/>
    <x v="2"/>
    <x v="12"/>
    <x v="13"/>
    <x v="1"/>
    <x v="1"/>
    <x v="0"/>
    <x v="0"/>
    <n v="1"/>
    <n v="0"/>
  </r>
  <r>
    <n v="31"/>
    <x v="0"/>
    <n v="3"/>
    <x v="14"/>
    <x v="2"/>
    <x v="12"/>
    <x v="13"/>
    <x v="1"/>
    <x v="1"/>
    <x v="0"/>
    <x v="0"/>
    <n v="0"/>
    <n v="1"/>
  </r>
  <r>
    <n v="31"/>
    <x v="0"/>
    <n v="4"/>
    <x v="14"/>
    <x v="2"/>
    <x v="12"/>
    <x v="13"/>
    <x v="1"/>
    <x v="1"/>
    <x v="0"/>
    <x v="0"/>
    <n v="0"/>
    <n v="1"/>
  </r>
  <r>
    <n v="31"/>
    <x v="0"/>
    <n v="5"/>
    <x v="14"/>
    <x v="2"/>
    <x v="12"/>
    <x v="13"/>
    <x v="1"/>
    <x v="1"/>
    <x v="0"/>
    <x v="0"/>
    <n v="0"/>
    <n v="1"/>
  </r>
  <r>
    <n v="31"/>
    <x v="0"/>
    <n v="6"/>
    <x v="14"/>
    <x v="2"/>
    <x v="12"/>
    <x v="13"/>
    <x v="1"/>
    <x v="1"/>
    <x v="0"/>
    <x v="0"/>
    <n v="0"/>
    <n v="1"/>
  </r>
  <r>
    <n v="31"/>
    <x v="0"/>
    <n v="7"/>
    <x v="14"/>
    <x v="2"/>
    <x v="12"/>
    <x v="13"/>
    <x v="1"/>
    <x v="1"/>
    <x v="0"/>
    <x v="0"/>
    <n v="0"/>
    <n v="1"/>
  </r>
  <r>
    <n v="31"/>
    <x v="0"/>
    <n v="8"/>
    <x v="14"/>
    <x v="2"/>
    <x v="12"/>
    <x v="13"/>
    <x v="1"/>
    <x v="1"/>
    <x v="0"/>
    <x v="0"/>
    <n v="0"/>
    <n v="1"/>
  </r>
  <r>
    <n v="35"/>
    <x v="0"/>
    <n v="1"/>
    <x v="15"/>
    <x v="13"/>
    <x v="13"/>
    <x v="7"/>
    <x v="0"/>
    <x v="0"/>
    <x v="0"/>
    <x v="0"/>
    <n v="0"/>
    <n v="1"/>
  </r>
  <r>
    <n v="35"/>
    <x v="0"/>
    <n v="2"/>
    <x v="15"/>
    <x v="13"/>
    <x v="13"/>
    <x v="7"/>
    <x v="0"/>
    <x v="0"/>
    <x v="0"/>
    <x v="0"/>
    <n v="0"/>
    <n v="1"/>
  </r>
  <r>
    <n v="35"/>
    <x v="0"/>
    <n v="3"/>
    <x v="15"/>
    <x v="13"/>
    <x v="13"/>
    <x v="7"/>
    <x v="0"/>
    <x v="0"/>
    <x v="0"/>
    <x v="0"/>
    <n v="0"/>
    <n v="1"/>
  </r>
  <r>
    <n v="35"/>
    <x v="0"/>
    <n v="4"/>
    <x v="15"/>
    <x v="13"/>
    <x v="13"/>
    <x v="7"/>
    <x v="0"/>
    <x v="0"/>
    <x v="0"/>
    <x v="0"/>
    <n v="0"/>
    <n v="1"/>
  </r>
  <r>
    <n v="35"/>
    <x v="0"/>
    <n v="5"/>
    <x v="15"/>
    <x v="13"/>
    <x v="13"/>
    <x v="7"/>
    <x v="0"/>
    <x v="0"/>
    <x v="0"/>
    <x v="0"/>
    <n v="0"/>
    <n v="1"/>
  </r>
  <r>
    <n v="35"/>
    <x v="0"/>
    <n v="6"/>
    <x v="15"/>
    <x v="13"/>
    <x v="13"/>
    <x v="7"/>
    <x v="0"/>
    <x v="0"/>
    <x v="0"/>
    <x v="0"/>
    <n v="1"/>
    <n v="0"/>
  </r>
  <r>
    <n v="35"/>
    <x v="0"/>
    <n v="7"/>
    <x v="15"/>
    <x v="13"/>
    <x v="13"/>
    <x v="7"/>
    <x v="0"/>
    <x v="0"/>
    <x v="0"/>
    <x v="0"/>
    <n v="0"/>
    <n v="1"/>
  </r>
  <r>
    <n v="35"/>
    <x v="0"/>
    <n v="8"/>
    <x v="15"/>
    <x v="13"/>
    <x v="13"/>
    <x v="7"/>
    <x v="0"/>
    <x v="0"/>
    <x v="0"/>
    <x v="0"/>
    <n v="0"/>
    <n v="1"/>
  </r>
  <r>
    <n v="37"/>
    <x v="0"/>
    <n v="1"/>
    <x v="3"/>
    <x v="14"/>
    <x v="13"/>
    <x v="4"/>
    <x v="1"/>
    <x v="1"/>
    <x v="1"/>
    <x v="1"/>
    <n v="0"/>
    <n v="1"/>
  </r>
  <r>
    <n v="37"/>
    <x v="0"/>
    <n v="2"/>
    <x v="3"/>
    <x v="14"/>
    <x v="13"/>
    <x v="4"/>
    <x v="1"/>
    <x v="1"/>
    <x v="1"/>
    <x v="1"/>
    <n v="1"/>
    <n v="0"/>
  </r>
  <r>
    <n v="37"/>
    <x v="0"/>
    <n v="3"/>
    <x v="3"/>
    <x v="14"/>
    <x v="13"/>
    <x v="4"/>
    <x v="1"/>
    <x v="1"/>
    <x v="1"/>
    <x v="1"/>
    <n v="0"/>
    <n v="1"/>
  </r>
  <r>
    <n v="37"/>
    <x v="0"/>
    <n v="4"/>
    <x v="3"/>
    <x v="14"/>
    <x v="13"/>
    <x v="4"/>
    <x v="1"/>
    <x v="1"/>
    <x v="1"/>
    <x v="1"/>
    <n v="0"/>
    <n v="1"/>
  </r>
  <r>
    <n v="37"/>
    <x v="0"/>
    <n v="5"/>
    <x v="3"/>
    <x v="14"/>
    <x v="13"/>
    <x v="4"/>
    <x v="1"/>
    <x v="1"/>
    <x v="1"/>
    <x v="1"/>
    <n v="0"/>
    <n v="1"/>
  </r>
  <r>
    <n v="37"/>
    <x v="0"/>
    <n v="6"/>
    <x v="3"/>
    <x v="14"/>
    <x v="13"/>
    <x v="4"/>
    <x v="1"/>
    <x v="1"/>
    <x v="1"/>
    <x v="1"/>
    <n v="1"/>
    <n v="0"/>
  </r>
  <r>
    <n v="37"/>
    <x v="0"/>
    <n v="7"/>
    <x v="3"/>
    <x v="14"/>
    <x v="13"/>
    <x v="4"/>
    <x v="1"/>
    <x v="1"/>
    <x v="1"/>
    <x v="1"/>
    <n v="0"/>
    <n v="1"/>
  </r>
  <r>
    <n v="37"/>
    <x v="0"/>
    <n v="8"/>
    <x v="3"/>
    <x v="14"/>
    <x v="13"/>
    <x v="4"/>
    <x v="1"/>
    <x v="1"/>
    <x v="1"/>
    <x v="1"/>
    <n v="1"/>
    <n v="0"/>
  </r>
  <r>
    <n v="37"/>
    <x v="0"/>
    <n v="9"/>
    <x v="3"/>
    <x v="14"/>
    <x v="13"/>
    <x v="4"/>
    <x v="1"/>
    <x v="1"/>
    <x v="1"/>
    <x v="1"/>
    <n v="1"/>
    <n v="0"/>
  </r>
  <r>
    <n v="37"/>
    <x v="0"/>
    <n v="10"/>
    <x v="3"/>
    <x v="14"/>
    <x v="13"/>
    <x v="4"/>
    <x v="1"/>
    <x v="1"/>
    <x v="1"/>
    <x v="1"/>
    <n v="0"/>
    <n v="1"/>
  </r>
  <r>
    <n v="37"/>
    <x v="0"/>
    <n v="11"/>
    <x v="3"/>
    <x v="14"/>
    <x v="13"/>
    <x v="4"/>
    <x v="1"/>
    <x v="1"/>
    <x v="1"/>
    <x v="1"/>
    <n v="0"/>
    <n v="1"/>
  </r>
  <r>
    <n v="41"/>
    <x v="0"/>
    <n v="1"/>
    <x v="7"/>
    <x v="15"/>
    <x v="13"/>
    <x v="14"/>
    <x v="0"/>
    <x v="0"/>
    <x v="1"/>
    <x v="1"/>
    <n v="0"/>
    <n v="1"/>
  </r>
  <r>
    <n v="41"/>
    <x v="0"/>
    <n v="2"/>
    <x v="7"/>
    <x v="15"/>
    <x v="13"/>
    <x v="14"/>
    <x v="0"/>
    <x v="0"/>
    <x v="1"/>
    <x v="1"/>
    <n v="1"/>
    <n v="0"/>
  </r>
  <r>
    <n v="41"/>
    <x v="0"/>
    <n v="3"/>
    <x v="7"/>
    <x v="15"/>
    <x v="13"/>
    <x v="14"/>
    <x v="0"/>
    <x v="0"/>
    <x v="1"/>
    <x v="1"/>
    <n v="0"/>
    <n v="1"/>
  </r>
  <r>
    <n v="41"/>
    <x v="0"/>
    <n v="4"/>
    <x v="7"/>
    <x v="15"/>
    <x v="13"/>
    <x v="14"/>
    <x v="0"/>
    <x v="0"/>
    <x v="1"/>
    <x v="1"/>
    <n v="0"/>
    <n v="1"/>
  </r>
  <r>
    <n v="41"/>
    <x v="0"/>
    <n v="5"/>
    <x v="7"/>
    <x v="15"/>
    <x v="13"/>
    <x v="14"/>
    <x v="0"/>
    <x v="0"/>
    <x v="1"/>
    <x v="1"/>
    <n v="1"/>
    <n v="0"/>
  </r>
  <r>
    <n v="41"/>
    <x v="0"/>
    <n v="6"/>
    <x v="7"/>
    <x v="15"/>
    <x v="13"/>
    <x v="14"/>
    <x v="0"/>
    <x v="0"/>
    <x v="1"/>
    <x v="1"/>
    <n v="0"/>
    <n v="1"/>
  </r>
  <r>
    <n v="41"/>
    <x v="0"/>
    <n v="7"/>
    <x v="7"/>
    <x v="15"/>
    <x v="13"/>
    <x v="14"/>
    <x v="0"/>
    <x v="0"/>
    <x v="1"/>
    <x v="1"/>
    <n v="1"/>
    <n v="0"/>
  </r>
  <r>
    <n v="41"/>
    <x v="0"/>
    <n v="8"/>
    <x v="7"/>
    <x v="15"/>
    <x v="13"/>
    <x v="14"/>
    <x v="0"/>
    <x v="0"/>
    <x v="1"/>
    <x v="1"/>
    <n v="0"/>
    <n v="1"/>
  </r>
  <r>
    <n v="41"/>
    <x v="0"/>
    <n v="9"/>
    <x v="7"/>
    <x v="15"/>
    <x v="13"/>
    <x v="14"/>
    <x v="0"/>
    <x v="0"/>
    <x v="1"/>
    <x v="1"/>
    <n v="0"/>
    <n v="1"/>
  </r>
  <r>
    <n v="41"/>
    <x v="0"/>
    <n v="10"/>
    <x v="7"/>
    <x v="15"/>
    <x v="13"/>
    <x v="14"/>
    <x v="0"/>
    <x v="0"/>
    <x v="1"/>
    <x v="1"/>
    <n v="1"/>
    <n v="0"/>
  </r>
  <r>
    <n v="41"/>
    <x v="0"/>
    <n v="11"/>
    <x v="7"/>
    <x v="15"/>
    <x v="13"/>
    <x v="14"/>
    <x v="0"/>
    <x v="0"/>
    <x v="1"/>
    <x v="1"/>
    <n v="1"/>
    <n v="0"/>
  </r>
  <r>
    <n v="41"/>
    <x v="0"/>
    <n v="12"/>
    <x v="7"/>
    <x v="15"/>
    <x v="13"/>
    <x v="14"/>
    <x v="0"/>
    <x v="0"/>
    <x v="1"/>
    <x v="1"/>
    <n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n v="2"/>
    <x v="0"/>
    <n v="1"/>
    <x v="0"/>
    <x v="0"/>
    <x v="0"/>
    <x v="0"/>
    <x v="0"/>
    <x v="0"/>
    <x v="0"/>
    <x v="0"/>
    <n v="1"/>
    <n v="0"/>
  </r>
  <r>
    <n v="2"/>
    <x v="0"/>
    <n v="2"/>
    <x v="0"/>
    <x v="0"/>
    <x v="0"/>
    <x v="0"/>
    <x v="0"/>
    <x v="0"/>
    <x v="0"/>
    <x v="0"/>
    <n v="1"/>
    <n v="0"/>
  </r>
  <r>
    <n v="2"/>
    <x v="0"/>
    <n v="3"/>
    <x v="0"/>
    <x v="0"/>
    <x v="0"/>
    <x v="0"/>
    <x v="0"/>
    <x v="0"/>
    <x v="0"/>
    <x v="0"/>
    <n v="1"/>
    <n v="0"/>
  </r>
  <r>
    <n v="2"/>
    <x v="0"/>
    <n v="4"/>
    <x v="0"/>
    <x v="0"/>
    <x v="0"/>
    <x v="0"/>
    <x v="0"/>
    <x v="0"/>
    <x v="0"/>
    <x v="0"/>
    <n v="0"/>
    <n v="1"/>
  </r>
  <r>
    <n v="2"/>
    <x v="0"/>
    <n v="5"/>
    <x v="0"/>
    <x v="0"/>
    <x v="0"/>
    <x v="0"/>
    <x v="0"/>
    <x v="0"/>
    <x v="0"/>
    <x v="0"/>
    <n v="1"/>
    <n v="0"/>
  </r>
  <r>
    <n v="2"/>
    <x v="0"/>
    <n v="6"/>
    <x v="0"/>
    <x v="0"/>
    <x v="0"/>
    <x v="0"/>
    <x v="0"/>
    <x v="0"/>
    <x v="0"/>
    <x v="0"/>
    <n v="0"/>
    <n v="1"/>
  </r>
  <r>
    <n v="2"/>
    <x v="0"/>
    <n v="7"/>
    <x v="0"/>
    <x v="0"/>
    <x v="0"/>
    <x v="0"/>
    <x v="0"/>
    <x v="0"/>
    <x v="0"/>
    <x v="0"/>
    <n v="1"/>
    <n v="0"/>
  </r>
  <r>
    <n v="2"/>
    <x v="0"/>
    <n v="8"/>
    <x v="0"/>
    <x v="0"/>
    <x v="0"/>
    <x v="0"/>
    <x v="0"/>
    <x v="0"/>
    <x v="0"/>
    <x v="0"/>
    <n v="1"/>
    <n v="0"/>
  </r>
  <r>
    <n v="2"/>
    <x v="0"/>
    <n v="9"/>
    <x v="0"/>
    <x v="0"/>
    <x v="0"/>
    <x v="0"/>
    <x v="0"/>
    <x v="0"/>
    <x v="0"/>
    <x v="0"/>
    <n v="1"/>
    <n v="0"/>
  </r>
  <r>
    <n v="6"/>
    <x v="0"/>
    <n v="1"/>
    <x v="0"/>
    <x v="1"/>
    <x v="1"/>
    <x v="1"/>
    <x v="0"/>
    <x v="0"/>
    <x v="1"/>
    <x v="1"/>
    <n v="0"/>
    <n v="1"/>
  </r>
  <r>
    <n v="6"/>
    <x v="0"/>
    <n v="2"/>
    <x v="0"/>
    <x v="1"/>
    <x v="1"/>
    <x v="1"/>
    <x v="0"/>
    <x v="0"/>
    <x v="1"/>
    <x v="1"/>
    <n v="1"/>
    <n v="0"/>
  </r>
  <r>
    <n v="6"/>
    <x v="0"/>
    <n v="3"/>
    <x v="0"/>
    <x v="1"/>
    <x v="1"/>
    <x v="1"/>
    <x v="0"/>
    <x v="0"/>
    <x v="1"/>
    <x v="1"/>
    <n v="0"/>
    <n v="1"/>
  </r>
  <r>
    <n v="6"/>
    <x v="0"/>
    <n v="4"/>
    <x v="0"/>
    <x v="1"/>
    <x v="1"/>
    <x v="1"/>
    <x v="0"/>
    <x v="0"/>
    <x v="1"/>
    <x v="1"/>
    <n v="1"/>
    <n v="0"/>
  </r>
  <r>
    <n v="6"/>
    <x v="0"/>
    <n v="5"/>
    <x v="0"/>
    <x v="1"/>
    <x v="1"/>
    <x v="1"/>
    <x v="0"/>
    <x v="0"/>
    <x v="1"/>
    <x v="1"/>
    <n v="1"/>
    <n v="0"/>
  </r>
  <r>
    <n v="6"/>
    <x v="0"/>
    <n v="6"/>
    <x v="0"/>
    <x v="1"/>
    <x v="1"/>
    <x v="1"/>
    <x v="0"/>
    <x v="0"/>
    <x v="1"/>
    <x v="1"/>
    <n v="0"/>
    <n v="1"/>
  </r>
  <r>
    <n v="6"/>
    <x v="0"/>
    <n v="7"/>
    <x v="0"/>
    <x v="1"/>
    <x v="1"/>
    <x v="1"/>
    <x v="0"/>
    <x v="0"/>
    <x v="1"/>
    <x v="1"/>
    <n v="0"/>
    <n v="1"/>
  </r>
  <r>
    <n v="6"/>
    <x v="0"/>
    <n v="8"/>
    <x v="0"/>
    <x v="1"/>
    <x v="1"/>
    <x v="1"/>
    <x v="0"/>
    <x v="0"/>
    <x v="1"/>
    <x v="1"/>
    <n v="1"/>
    <n v="0"/>
  </r>
  <r>
    <n v="6"/>
    <x v="0"/>
    <n v="9"/>
    <x v="0"/>
    <x v="1"/>
    <x v="1"/>
    <x v="1"/>
    <x v="0"/>
    <x v="0"/>
    <x v="1"/>
    <x v="1"/>
    <n v="0"/>
    <n v="1"/>
  </r>
  <r>
    <n v="6"/>
    <x v="0"/>
    <n v="10"/>
    <x v="0"/>
    <x v="1"/>
    <x v="1"/>
    <x v="1"/>
    <x v="0"/>
    <x v="0"/>
    <x v="1"/>
    <x v="1"/>
    <n v="1"/>
    <n v="0"/>
  </r>
  <r>
    <n v="6"/>
    <x v="0"/>
    <n v="11"/>
    <x v="0"/>
    <x v="1"/>
    <x v="1"/>
    <x v="1"/>
    <x v="0"/>
    <x v="0"/>
    <x v="1"/>
    <x v="1"/>
    <n v="0"/>
    <n v="1"/>
  </r>
  <r>
    <n v="6"/>
    <x v="0"/>
    <n v="12"/>
    <x v="0"/>
    <x v="1"/>
    <x v="1"/>
    <x v="1"/>
    <x v="0"/>
    <x v="0"/>
    <x v="1"/>
    <x v="1"/>
    <n v="1"/>
    <n v="0"/>
  </r>
  <r>
    <n v="8"/>
    <x v="0"/>
    <n v="1"/>
    <x v="1"/>
    <x v="2"/>
    <x v="2"/>
    <x v="2"/>
    <x v="1"/>
    <x v="1"/>
    <x v="1"/>
    <x v="1"/>
    <n v="1"/>
    <n v="0"/>
  </r>
  <r>
    <n v="8"/>
    <x v="0"/>
    <n v="2"/>
    <x v="1"/>
    <x v="2"/>
    <x v="2"/>
    <x v="2"/>
    <x v="1"/>
    <x v="1"/>
    <x v="1"/>
    <x v="1"/>
    <n v="1"/>
    <n v="0"/>
  </r>
  <r>
    <n v="8"/>
    <x v="0"/>
    <n v="3"/>
    <x v="1"/>
    <x v="2"/>
    <x v="2"/>
    <x v="2"/>
    <x v="1"/>
    <x v="1"/>
    <x v="1"/>
    <x v="1"/>
    <n v="0"/>
    <n v="1"/>
  </r>
  <r>
    <n v="8"/>
    <x v="0"/>
    <n v="4"/>
    <x v="1"/>
    <x v="2"/>
    <x v="2"/>
    <x v="2"/>
    <x v="1"/>
    <x v="1"/>
    <x v="1"/>
    <x v="1"/>
    <n v="0"/>
    <n v="1"/>
  </r>
  <r>
    <n v="8"/>
    <x v="0"/>
    <n v="5"/>
    <x v="1"/>
    <x v="2"/>
    <x v="2"/>
    <x v="2"/>
    <x v="1"/>
    <x v="1"/>
    <x v="1"/>
    <x v="1"/>
    <n v="0"/>
    <n v="1"/>
  </r>
  <r>
    <n v="8"/>
    <x v="0"/>
    <n v="6"/>
    <x v="1"/>
    <x v="2"/>
    <x v="2"/>
    <x v="2"/>
    <x v="1"/>
    <x v="1"/>
    <x v="1"/>
    <x v="1"/>
    <n v="0"/>
    <n v="1"/>
  </r>
  <r>
    <n v="8"/>
    <x v="0"/>
    <n v="7"/>
    <x v="1"/>
    <x v="2"/>
    <x v="2"/>
    <x v="2"/>
    <x v="1"/>
    <x v="1"/>
    <x v="1"/>
    <x v="1"/>
    <n v="1"/>
    <n v="0"/>
  </r>
  <r>
    <n v="8"/>
    <x v="0"/>
    <n v="8"/>
    <x v="1"/>
    <x v="2"/>
    <x v="2"/>
    <x v="2"/>
    <x v="1"/>
    <x v="1"/>
    <x v="1"/>
    <x v="1"/>
    <n v="1"/>
    <n v="0"/>
  </r>
  <r>
    <n v="8"/>
    <x v="0"/>
    <n v="9"/>
    <x v="1"/>
    <x v="2"/>
    <x v="2"/>
    <x v="2"/>
    <x v="1"/>
    <x v="1"/>
    <x v="1"/>
    <x v="1"/>
    <n v="1"/>
    <n v="0"/>
  </r>
  <r>
    <n v="8"/>
    <x v="0"/>
    <n v="10"/>
    <x v="1"/>
    <x v="2"/>
    <x v="2"/>
    <x v="2"/>
    <x v="1"/>
    <x v="1"/>
    <x v="1"/>
    <x v="1"/>
    <n v="1"/>
    <n v="0"/>
  </r>
  <r>
    <n v="8"/>
    <x v="0"/>
    <n v="11"/>
    <x v="1"/>
    <x v="2"/>
    <x v="2"/>
    <x v="2"/>
    <x v="1"/>
    <x v="1"/>
    <x v="1"/>
    <x v="1"/>
    <n v="1"/>
    <n v="0"/>
  </r>
  <r>
    <n v="4"/>
    <x v="0"/>
    <n v="1"/>
    <x v="2"/>
    <x v="3"/>
    <x v="3"/>
    <x v="3"/>
    <x v="1"/>
    <x v="1"/>
    <x v="0"/>
    <x v="0"/>
    <n v="0"/>
    <n v="1"/>
  </r>
  <r>
    <n v="4"/>
    <x v="0"/>
    <n v="2"/>
    <x v="2"/>
    <x v="3"/>
    <x v="3"/>
    <x v="3"/>
    <x v="1"/>
    <x v="1"/>
    <x v="0"/>
    <x v="0"/>
    <n v="1"/>
    <n v="0"/>
  </r>
  <r>
    <n v="4"/>
    <x v="0"/>
    <n v="3"/>
    <x v="2"/>
    <x v="3"/>
    <x v="3"/>
    <x v="3"/>
    <x v="1"/>
    <x v="1"/>
    <x v="0"/>
    <x v="0"/>
    <n v="1"/>
    <n v="0"/>
  </r>
  <r>
    <n v="4"/>
    <x v="0"/>
    <n v="4"/>
    <x v="2"/>
    <x v="3"/>
    <x v="3"/>
    <x v="3"/>
    <x v="1"/>
    <x v="1"/>
    <x v="0"/>
    <x v="0"/>
    <n v="1"/>
    <n v="0"/>
  </r>
  <r>
    <n v="4"/>
    <x v="0"/>
    <n v="5"/>
    <x v="2"/>
    <x v="3"/>
    <x v="3"/>
    <x v="3"/>
    <x v="1"/>
    <x v="1"/>
    <x v="0"/>
    <x v="0"/>
    <n v="1"/>
    <n v="0"/>
  </r>
  <r>
    <n v="4"/>
    <x v="0"/>
    <n v="6"/>
    <x v="2"/>
    <x v="3"/>
    <x v="3"/>
    <x v="3"/>
    <x v="1"/>
    <x v="1"/>
    <x v="0"/>
    <x v="0"/>
    <n v="1"/>
    <n v="0"/>
  </r>
  <r>
    <n v="4"/>
    <x v="0"/>
    <n v="7"/>
    <x v="2"/>
    <x v="3"/>
    <x v="3"/>
    <x v="3"/>
    <x v="1"/>
    <x v="1"/>
    <x v="0"/>
    <x v="0"/>
    <n v="1"/>
    <n v="0"/>
  </r>
  <r>
    <n v="4"/>
    <x v="0"/>
    <n v="8"/>
    <x v="2"/>
    <x v="3"/>
    <x v="3"/>
    <x v="3"/>
    <x v="1"/>
    <x v="1"/>
    <x v="0"/>
    <x v="0"/>
    <n v="0"/>
    <n v="1"/>
  </r>
  <r>
    <n v="4"/>
    <x v="0"/>
    <n v="9"/>
    <x v="2"/>
    <x v="3"/>
    <x v="3"/>
    <x v="3"/>
    <x v="1"/>
    <x v="1"/>
    <x v="0"/>
    <x v="0"/>
    <n v="1"/>
    <n v="0"/>
  </r>
  <r>
    <n v="10"/>
    <x v="0"/>
    <n v="1"/>
    <x v="3"/>
    <x v="4"/>
    <x v="2"/>
    <x v="4"/>
    <x v="0"/>
    <x v="0"/>
    <x v="1"/>
    <x v="1"/>
    <n v="0"/>
    <n v="1"/>
  </r>
  <r>
    <n v="10"/>
    <x v="0"/>
    <n v="2"/>
    <x v="3"/>
    <x v="4"/>
    <x v="2"/>
    <x v="4"/>
    <x v="0"/>
    <x v="0"/>
    <x v="1"/>
    <x v="1"/>
    <n v="1"/>
    <n v="0"/>
  </r>
  <r>
    <n v="10"/>
    <x v="0"/>
    <n v="3"/>
    <x v="3"/>
    <x v="4"/>
    <x v="2"/>
    <x v="4"/>
    <x v="0"/>
    <x v="0"/>
    <x v="1"/>
    <x v="1"/>
    <n v="1"/>
    <n v="0"/>
  </r>
  <r>
    <n v="10"/>
    <x v="0"/>
    <n v="4"/>
    <x v="3"/>
    <x v="4"/>
    <x v="2"/>
    <x v="4"/>
    <x v="0"/>
    <x v="0"/>
    <x v="1"/>
    <x v="1"/>
    <n v="1"/>
    <n v="0"/>
  </r>
  <r>
    <n v="10"/>
    <x v="0"/>
    <n v="5"/>
    <x v="3"/>
    <x v="4"/>
    <x v="2"/>
    <x v="4"/>
    <x v="0"/>
    <x v="0"/>
    <x v="1"/>
    <x v="1"/>
    <n v="0"/>
    <n v="1"/>
  </r>
  <r>
    <n v="10"/>
    <x v="0"/>
    <n v="6"/>
    <x v="3"/>
    <x v="4"/>
    <x v="2"/>
    <x v="4"/>
    <x v="0"/>
    <x v="0"/>
    <x v="1"/>
    <x v="1"/>
    <n v="1"/>
    <n v="0"/>
  </r>
  <r>
    <n v="10"/>
    <x v="0"/>
    <n v="7"/>
    <x v="3"/>
    <x v="4"/>
    <x v="2"/>
    <x v="4"/>
    <x v="0"/>
    <x v="0"/>
    <x v="1"/>
    <x v="1"/>
    <n v="1"/>
    <n v="0"/>
  </r>
  <r>
    <n v="10"/>
    <x v="0"/>
    <n v="8"/>
    <x v="3"/>
    <x v="4"/>
    <x v="2"/>
    <x v="4"/>
    <x v="0"/>
    <x v="0"/>
    <x v="1"/>
    <x v="1"/>
    <n v="0"/>
    <n v="1"/>
  </r>
  <r>
    <n v="10"/>
    <x v="0"/>
    <n v="9"/>
    <x v="3"/>
    <x v="4"/>
    <x v="2"/>
    <x v="4"/>
    <x v="0"/>
    <x v="0"/>
    <x v="1"/>
    <x v="1"/>
    <n v="0"/>
    <n v="1"/>
  </r>
  <r>
    <n v="10"/>
    <x v="0"/>
    <n v="10"/>
    <x v="3"/>
    <x v="4"/>
    <x v="2"/>
    <x v="4"/>
    <x v="0"/>
    <x v="0"/>
    <x v="1"/>
    <x v="1"/>
    <n v="1"/>
    <n v="0"/>
  </r>
  <r>
    <n v="10"/>
    <x v="0"/>
    <n v="11"/>
    <x v="3"/>
    <x v="4"/>
    <x v="2"/>
    <x v="4"/>
    <x v="0"/>
    <x v="0"/>
    <x v="1"/>
    <x v="1"/>
    <n v="0"/>
    <n v="1"/>
  </r>
  <r>
    <n v="10"/>
    <x v="0"/>
    <n v="12"/>
    <x v="3"/>
    <x v="4"/>
    <x v="2"/>
    <x v="4"/>
    <x v="0"/>
    <x v="0"/>
    <x v="1"/>
    <x v="1"/>
    <n v="0"/>
    <n v="1"/>
  </r>
  <r>
    <n v="12"/>
    <x v="0"/>
    <n v="1"/>
    <x v="3"/>
    <x v="5"/>
    <x v="4"/>
    <x v="5"/>
    <x v="0"/>
    <x v="0"/>
    <x v="1"/>
    <x v="1"/>
    <n v="0"/>
    <n v="1"/>
  </r>
  <r>
    <n v="12"/>
    <x v="0"/>
    <n v="2"/>
    <x v="3"/>
    <x v="5"/>
    <x v="4"/>
    <x v="5"/>
    <x v="0"/>
    <x v="0"/>
    <x v="1"/>
    <x v="1"/>
    <n v="0"/>
    <n v="1"/>
  </r>
  <r>
    <n v="12"/>
    <x v="0"/>
    <n v="3"/>
    <x v="3"/>
    <x v="5"/>
    <x v="4"/>
    <x v="5"/>
    <x v="0"/>
    <x v="0"/>
    <x v="1"/>
    <x v="1"/>
    <n v="0"/>
    <n v="1"/>
  </r>
  <r>
    <n v="12"/>
    <x v="0"/>
    <n v="4"/>
    <x v="3"/>
    <x v="5"/>
    <x v="4"/>
    <x v="5"/>
    <x v="0"/>
    <x v="0"/>
    <x v="1"/>
    <x v="1"/>
    <n v="1"/>
    <n v="0"/>
  </r>
  <r>
    <n v="12"/>
    <x v="0"/>
    <n v="5"/>
    <x v="3"/>
    <x v="5"/>
    <x v="4"/>
    <x v="5"/>
    <x v="0"/>
    <x v="0"/>
    <x v="1"/>
    <x v="1"/>
    <n v="0"/>
    <n v="1"/>
  </r>
  <r>
    <n v="12"/>
    <x v="0"/>
    <n v="6"/>
    <x v="3"/>
    <x v="5"/>
    <x v="4"/>
    <x v="5"/>
    <x v="0"/>
    <x v="0"/>
    <x v="1"/>
    <x v="1"/>
    <n v="0"/>
    <n v="1"/>
  </r>
  <r>
    <n v="12"/>
    <x v="0"/>
    <n v="7"/>
    <x v="3"/>
    <x v="5"/>
    <x v="4"/>
    <x v="5"/>
    <x v="0"/>
    <x v="0"/>
    <x v="1"/>
    <x v="1"/>
    <n v="0"/>
    <n v="1"/>
  </r>
  <r>
    <n v="12"/>
    <x v="0"/>
    <n v="8"/>
    <x v="3"/>
    <x v="5"/>
    <x v="4"/>
    <x v="5"/>
    <x v="0"/>
    <x v="0"/>
    <x v="1"/>
    <x v="1"/>
    <n v="0"/>
    <n v="1"/>
  </r>
  <r>
    <n v="20"/>
    <x v="0"/>
    <n v="1"/>
    <x v="4"/>
    <x v="6"/>
    <x v="5"/>
    <x v="3"/>
    <x v="0"/>
    <x v="0"/>
    <x v="0"/>
    <x v="0"/>
    <n v="0"/>
    <n v="1"/>
  </r>
  <r>
    <n v="20"/>
    <x v="0"/>
    <n v="2"/>
    <x v="4"/>
    <x v="6"/>
    <x v="5"/>
    <x v="3"/>
    <x v="0"/>
    <x v="0"/>
    <x v="0"/>
    <x v="0"/>
    <n v="0"/>
    <n v="1"/>
  </r>
  <r>
    <n v="20"/>
    <x v="0"/>
    <n v="3"/>
    <x v="4"/>
    <x v="6"/>
    <x v="5"/>
    <x v="3"/>
    <x v="0"/>
    <x v="0"/>
    <x v="0"/>
    <x v="0"/>
    <n v="0"/>
    <n v="1"/>
  </r>
  <r>
    <n v="20"/>
    <x v="0"/>
    <n v="4"/>
    <x v="4"/>
    <x v="6"/>
    <x v="5"/>
    <x v="3"/>
    <x v="0"/>
    <x v="0"/>
    <x v="0"/>
    <x v="0"/>
    <n v="0"/>
    <n v="1"/>
  </r>
  <r>
    <n v="20"/>
    <x v="0"/>
    <n v="5"/>
    <x v="4"/>
    <x v="6"/>
    <x v="5"/>
    <x v="3"/>
    <x v="0"/>
    <x v="0"/>
    <x v="0"/>
    <x v="0"/>
    <n v="1"/>
    <n v="0"/>
  </r>
  <r>
    <n v="20"/>
    <x v="0"/>
    <n v="6"/>
    <x v="4"/>
    <x v="6"/>
    <x v="5"/>
    <x v="3"/>
    <x v="0"/>
    <x v="0"/>
    <x v="0"/>
    <x v="0"/>
    <n v="1"/>
    <n v="0"/>
  </r>
  <r>
    <n v="20"/>
    <x v="0"/>
    <n v="7"/>
    <x v="4"/>
    <x v="6"/>
    <x v="5"/>
    <x v="3"/>
    <x v="0"/>
    <x v="0"/>
    <x v="0"/>
    <x v="0"/>
    <n v="0"/>
    <n v="1"/>
  </r>
  <r>
    <n v="20"/>
    <x v="0"/>
    <n v="8"/>
    <x v="4"/>
    <x v="6"/>
    <x v="5"/>
    <x v="3"/>
    <x v="0"/>
    <x v="0"/>
    <x v="0"/>
    <x v="0"/>
    <n v="1"/>
    <n v="0"/>
  </r>
  <r>
    <n v="20"/>
    <x v="0"/>
    <n v="9"/>
    <x v="4"/>
    <x v="6"/>
    <x v="5"/>
    <x v="3"/>
    <x v="0"/>
    <x v="0"/>
    <x v="0"/>
    <x v="0"/>
    <n v="1"/>
    <n v="0"/>
  </r>
  <r>
    <n v="20"/>
    <x v="0"/>
    <n v="10"/>
    <x v="4"/>
    <x v="6"/>
    <x v="5"/>
    <x v="3"/>
    <x v="0"/>
    <x v="0"/>
    <x v="0"/>
    <x v="0"/>
    <n v="1"/>
    <n v="0"/>
  </r>
  <r>
    <n v="20"/>
    <x v="0"/>
    <n v="11"/>
    <x v="4"/>
    <x v="6"/>
    <x v="5"/>
    <x v="3"/>
    <x v="0"/>
    <x v="0"/>
    <x v="0"/>
    <x v="0"/>
    <n v="0"/>
    <n v="1"/>
  </r>
  <r>
    <n v="20"/>
    <x v="0"/>
    <n v="12"/>
    <x v="4"/>
    <x v="6"/>
    <x v="5"/>
    <x v="3"/>
    <x v="0"/>
    <x v="0"/>
    <x v="0"/>
    <x v="0"/>
    <n v="0"/>
    <n v="1"/>
  </r>
  <r>
    <n v="18"/>
    <x v="0"/>
    <n v="1"/>
    <x v="5"/>
    <x v="7"/>
    <x v="6"/>
    <x v="6"/>
    <x v="1"/>
    <x v="1"/>
    <x v="1"/>
    <x v="1"/>
    <n v="0"/>
    <n v="1"/>
  </r>
  <r>
    <n v="18"/>
    <x v="0"/>
    <n v="2"/>
    <x v="5"/>
    <x v="7"/>
    <x v="6"/>
    <x v="6"/>
    <x v="1"/>
    <x v="1"/>
    <x v="1"/>
    <x v="1"/>
    <n v="0"/>
    <n v="1"/>
  </r>
  <r>
    <n v="18"/>
    <x v="0"/>
    <n v="3"/>
    <x v="5"/>
    <x v="7"/>
    <x v="6"/>
    <x v="6"/>
    <x v="1"/>
    <x v="1"/>
    <x v="1"/>
    <x v="1"/>
    <n v="0"/>
    <n v="1"/>
  </r>
  <r>
    <n v="18"/>
    <x v="0"/>
    <n v="4"/>
    <x v="5"/>
    <x v="7"/>
    <x v="6"/>
    <x v="6"/>
    <x v="1"/>
    <x v="1"/>
    <x v="1"/>
    <x v="1"/>
    <n v="0"/>
    <n v="1"/>
  </r>
  <r>
    <n v="18"/>
    <x v="0"/>
    <n v="5"/>
    <x v="5"/>
    <x v="7"/>
    <x v="6"/>
    <x v="6"/>
    <x v="1"/>
    <x v="1"/>
    <x v="1"/>
    <x v="1"/>
    <n v="1"/>
    <n v="0"/>
  </r>
  <r>
    <n v="18"/>
    <x v="0"/>
    <n v="6"/>
    <x v="5"/>
    <x v="7"/>
    <x v="6"/>
    <x v="6"/>
    <x v="1"/>
    <x v="1"/>
    <x v="1"/>
    <x v="1"/>
    <n v="0"/>
    <n v="1"/>
  </r>
  <r>
    <n v="18"/>
    <x v="0"/>
    <n v="7"/>
    <x v="5"/>
    <x v="7"/>
    <x v="6"/>
    <x v="6"/>
    <x v="1"/>
    <x v="1"/>
    <x v="1"/>
    <x v="1"/>
    <n v="0"/>
    <n v="1"/>
  </r>
  <r>
    <n v="18"/>
    <x v="0"/>
    <n v="8"/>
    <x v="5"/>
    <x v="7"/>
    <x v="6"/>
    <x v="6"/>
    <x v="1"/>
    <x v="1"/>
    <x v="1"/>
    <x v="1"/>
    <n v="1"/>
    <n v="0"/>
  </r>
  <r>
    <n v="18"/>
    <x v="0"/>
    <n v="9"/>
    <x v="5"/>
    <x v="7"/>
    <x v="6"/>
    <x v="6"/>
    <x v="1"/>
    <x v="1"/>
    <x v="1"/>
    <x v="1"/>
    <n v="1"/>
    <n v="0"/>
  </r>
  <r>
    <n v="18"/>
    <x v="0"/>
    <n v="10"/>
    <x v="5"/>
    <x v="7"/>
    <x v="6"/>
    <x v="6"/>
    <x v="1"/>
    <x v="1"/>
    <x v="1"/>
    <x v="1"/>
    <n v="0"/>
    <n v="1"/>
  </r>
  <r>
    <n v="14"/>
    <x v="0"/>
    <n v="1"/>
    <x v="6"/>
    <x v="8"/>
    <x v="7"/>
    <x v="7"/>
    <x v="0"/>
    <x v="0"/>
    <x v="0"/>
    <x v="0"/>
    <n v="0"/>
    <n v="1"/>
  </r>
  <r>
    <n v="14"/>
    <x v="0"/>
    <n v="2"/>
    <x v="6"/>
    <x v="8"/>
    <x v="7"/>
    <x v="7"/>
    <x v="0"/>
    <x v="0"/>
    <x v="0"/>
    <x v="0"/>
    <n v="1"/>
    <n v="0"/>
  </r>
  <r>
    <n v="14"/>
    <x v="0"/>
    <n v="3"/>
    <x v="6"/>
    <x v="8"/>
    <x v="7"/>
    <x v="7"/>
    <x v="0"/>
    <x v="0"/>
    <x v="0"/>
    <x v="0"/>
    <n v="1"/>
    <n v="0"/>
  </r>
  <r>
    <n v="14"/>
    <x v="0"/>
    <n v="4"/>
    <x v="6"/>
    <x v="8"/>
    <x v="7"/>
    <x v="7"/>
    <x v="0"/>
    <x v="0"/>
    <x v="0"/>
    <x v="0"/>
    <n v="1"/>
    <n v="0"/>
  </r>
  <r>
    <n v="14"/>
    <x v="0"/>
    <n v="5"/>
    <x v="6"/>
    <x v="8"/>
    <x v="7"/>
    <x v="7"/>
    <x v="0"/>
    <x v="0"/>
    <x v="0"/>
    <x v="0"/>
    <n v="1"/>
    <n v="0"/>
  </r>
  <r>
    <n v="14"/>
    <x v="0"/>
    <n v="6"/>
    <x v="6"/>
    <x v="8"/>
    <x v="7"/>
    <x v="7"/>
    <x v="0"/>
    <x v="0"/>
    <x v="0"/>
    <x v="0"/>
    <n v="1"/>
    <n v="0"/>
  </r>
  <r>
    <n v="14"/>
    <x v="0"/>
    <n v="7"/>
    <x v="6"/>
    <x v="8"/>
    <x v="7"/>
    <x v="7"/>
    <x v="0"/>
    <x v="0"/>
    <x v="0"/>
    <x v="0"/>
    <n v="0"/>
    <n v="1"/>
  </r>
  <r>
    <n v="14"/>
    <x v="0"/>
    <n v="8"/>
    <x v="6"/>
    <x v="8"/>
    <x v="7"/>
    <x v="7"/>
    <x v="0"/>
    <x v="0"/>
    <x v="0"/>
    <x v="0"/>
    <n v="0"/>
    <n v="1"/>
  </r>
  <r>
    <n v="14"/>
    <x v="0"/>
    <n v="9"/>
    <x v="6"/>
    <x v="8"/>
    <x v="7"/>
    <x v="7"/>
    <x v="0"/>
    <x v="0"/>
    <x v="0"/>
    <x v="0"/>
    <n v="0"/>
    <n v="1"/>
  </r>
  <r>
    <n v="14"/>
    <x v="0"/>
    <n v="10"/>
    <x v="6"/>
    <x v="8"/>
    <x v="7"/>
    <x v="7"/>
    <x v="0"/>
    <x v="0"/>
    <x v="0"/>
    <x v="0"/>
    <n v="1"/>
    <n v="0"/>
  </r>
  <r>
    <n v="14"/>
    <x v="0"/>
    <n v="11"/>
    <x v="6"/>
    <x v="8"/>
    <x v="7"/>
    <x v="7"/>
    <x v="0"/>
    <x v="0"/>
    <x v="0"/>
    <x v="0"/>
    <n v="1"/>
    <n v="0"/>
  </r>
  <r>
    <n v="16"/>
    <x v="0"/>
    <n v="1"/>
    <x v="7"/>
    <x v="9"/>
    <x v="8"/>
    <x v="8"/>
    <x v="0"/>
    <x v="0"/>
    <x v="1"/>
    <x v="1"/>
    <n v="1"/>
    <n v="0"/>
  </r>
  <r>
    <n v="16"/>
    <x v="0"/>
    <n v="2"/>
    <x v="7"/>
    <x v="9"/>
    <x v="8"/>
    <x v="8"/>
    <x v="0"/>
    <x v="0"/>
    <x v="1"/>
    <x v="1"/>
    <n v="0"/>
    <n v="1"/>
  </r>
  <r>
    <n v="16"/>
    <x v="0"/>
    <n v="3"/>
    <x v="7"/>
    <x v="9"/>
    <x v="8"/>
    <x v="8"/>
    <x v="0"/>
    <x v="0"/>
    <x v="1"/>
    <x v="1"/>
    <n v="0"/>
    <n v="1"/>
  </r>
  <r>
    <n v="16"/>
    <x v="0"/>
    <n v="4"/>
    <x v="7"/>
    <x v="9"/>
    <x v="8"/>
    <x v="8"/>
    <x v="0"/>
    <x v="0"/>
    <x v="1"/>
    <x v="1"/>
    <n v="0"/>
    <n v="1"/>
  </r>
  <r>
    <n v="16"/>
    <x v="0"/>
    <n v="5"/>
    <x v="7"/>
    <x v="9"/>
    <x v="8"/>
    <x v="8"/>
    <x v="0"/>
    <x v="0"/>
    <x v="1"/>
    <x v="1"/>
    <n v="1"/>
    <n v="0"/>
  </r>
  <r>
    <n v="16"/>
    <x v="0"/>
    <n v="6"/>
    <x v="7"/>
    <x v="9"/>
    <x v="8"/>
    <x v="8"/>
    <x v="0"/>
    <x v="0"/>
    <x v="1"/>
    <x v="1"/>
    <n v="1"/>
    <n v="0"/>
  </r>
  <r>
    <n v="16"/>
    <x v="0"/>
    <n v="7"/>
    <x v="7"/>
    <x v="9"/>
    <x v="8"/>
    <x v="8"/>
    <x v="0"/>
    <x v="0"/>
    <x v="1"/>
    <x v="1"/>
    <n v="1"/>
    <n v="0"/>
  </r>
  <r>
    <n v="16"/>
    <x v="0"/>
    <n v="8"/>
    <x v="7"/>
    <x v="9"/>
    <x v="8"/>
    <x v="8"/>
    <x v="0"/>
    <x v="0"/>
    <x v="1"/>
    <x v="1"/>
    <n v="0"/>
    <n v="1"/>
  </r>
  <r>
    <n v="16"/>
    <x v="0"/>
    <n v="9"/>
    <x v="7"/>
    <x v="9"/>
    <x v="8"/>
    <x v="8"/>
    <x v="0"/>
    <x v="0"/>
    <x v="1"/>
    <x v="1"/>
    <n v="1"/>
    <n v="0"/>
  </r>
  <r>
    <n v="16"/>
    <x v="0"/>
    <n v="10"/>
    <x v="7"/>
    <x v="9"/>
    <x v="8"/>
    <x v="8"/>
    <x v="0"/>
    <x v="0"/>
    <x v="1"/>
    <x v="1"/>
    <n v="0"/>
    <n v="1"/>
  </r>
  <r>
    <n v="16"/>
    <x v="0"/>
    <n v="11"/>
    <x v="7"/>
    <x v="9"/>
    <x v="8"/>
    <x v="8"/>
    <x v="0"/>
    <x v="0"/>
    <x v="1"/>
    <x v="1"/>
    <n v="1"/>
    <n v="0"/>
  </r>
  <r>
    <n v="16"/>
    <x v="0"/>
    <n v="12"/>
    <x v="7"/>
    <x v="9"/>
    <x v="8"/>
    <x v="8"/>
    <x v="0"/>
    <x v="0"/>
    <x v="1"/>
    <x v="1"/>
    <n v="0"/>
    <n v="1"/>
  </r>
  <r>
    <n v="16"/>
    <x v="0"/>
    <n v="13"/>
    <x v="7"/>
    <x v="9"/>
    <x v="8"/>
    <x v="8"/>
    <x v="0"/>
    <x v="0"/>
    <x v="1"/>
    <x v="1"/>
    <n v="1"/>
    <n v="0"/>
  </r>
  <r>
    <n v="22"/>
    <x v="0"/>
    <n v="1"/>
    <x v="5"/>
    <x v="10"/>
    <x v="9"/>
    <x v="9"/>
    <x v="1"/>
    <x v="1"/>
    <x v="0"/>
    <x v="0"/>
    <n v="1"/>
    <n v="0"/>
  </r>
  <r>
    <n v="22"/>
    <x v="0"/>
    <n v="2"/>
    <x v="5"/>
    <x v="10"/>
    <x v="9"/>
    <x v="9"/>
    <x v="1"/>
    <x v="1"/>
    <x v="0"/>
    <x v="0"/>
    <n v="1"/>
    <n v="0"/>
  </r>
  <r>
    <n v="22"/>
    <x v="0"/>
    <n v="3"/>
    <x v="5"/>
    <x v="10"/>
    <x v="9"/>
    <x v="9"/>
    <x v="1"/>
    <x v="1"/>
    <x v="0"/>
    <x v="0"/>
    <n v="1"/>
    <n v="0"/>
  </r>
  <r>
    <n v="22"/>
    <x v="0"/>
    <n v="4"/>
    <x v="5"/>
    <x v="10"/>
    <x v="9"/>
    <x v="9"/>
    <x v="1"/>
    <x v="1"/>
    <x v="0"/>
    <x v="0"/>
    <n v="1"/>
    <n v="0"/>
  </r>
  <r>
    <n v="22"/>
    <x v="0"/>
    <n v="5"/>
    <x v="5"/>
    <x v="10"/>
    <x v="9"/>
    <x v="9"/>
    <x v="1"/>
    <x v="1"/>
    <x v="0"/>
    <x v="0"/>
    <n v="0"/>
    <n v="1"/>
  </r>
  <r>
    <n v="22"/>
    <x v="0"/>
    <n v="6"/>
    <x v="5"/>
    <x v="10"/>
    <x v="9"/>
    <x v="9"/>
    <x v="1"/>
    <x v="1"/>
    <x v="0"/>
    <x v="0"/>
    <n v="0"/>
    <n v="1"/>
  </r>
  <r>
    <n v="22"/>
    <x v="0"/>
    <n v="7"/>
    <x v="5"/>
    <x v="10"/>
    <x v="9"/>
    <x v="9"/>
    <x v="1"/>
    <x v="1"/>
    <x v="0"/>
    <x v="0"/>
    <n v="1"/>
    <n v="0"/>
  </r>
  <r>
    <n v="22"/>
    <x v="0"/>
    <n v="8"/>
    <x v="5"/>
    <x v="10"/>
    <x v="9"/>
    <x v="9"/>
    <x v="1"/>
    <x v="1"/>
    <x v="0"/>
    <x v="0"/>
    <n v="0"/>
    <n v="1"/>
  </r>
  <r>
    <n v="22"/>
    <x v="0"/>
    <n v="9"/>
    <x v="5"/>
    <x v="10"/>
    <x v="9"/>
    <x v="9"/>
    <x v="1"/>
    <x v="1"/>
    <x v="0"/>
    <x v="0"/>
    <n v="0"/>
    <n v="1"/>
  </r>
  <r>
    <n v="22"/>
    <x v="0"/>
    <n v="10"/>
    <x v="5"/>
    <x v="10"/>
    <x v="9"/>
    <x v="9"/>
    <x v="1"/>
    <x v="1"/>
    <x v="0"/>
    <x v="0"/>
    <n v="0"/>
    <n v="1"/>
  </r>
  <r>
    <n v="22"/>
    <x v="0"/>
    <n v="11"/>
    <x v="5"/>
    <x v="10"/>
    <x v="9"/>
    <x v="9"/>
    <x v="1"/>
    <x v="1"/>
    <x v="0"/>
    <x v="0"/>
    <n v="0"/>
    <n v="1"/>
  </r>
  <r>
    <n v="22"/>
    <x v="0"/>
    <n v="12"/>
    <x v="5"/>
    <x v="10"/>
    <x v="9"/>
    <x v="9"/>
    <x v="1"/>
    <x v="1"/>
    <x v="0"/>
    <x v="0"/>
    <n v="1"/>
    <n v="0"/>
  </r>
  <r>
    <n v="22"/>
    <x v="0"/>
    <n v="13"/>
    <x v="5"/>
    <x v="10"/>
    <x v="9"/>
    <x v="9"/>
    <x v="1"/>
    <x v="1"/>
    <x v="0"/>
    <x v="0"/>
    <n v="0"/>
    <n v="1"/>
  </r>
  <r>
    <n v="24"/>
    <x v="0"/>
    <n v="1"/>
    <x v="3"/>
    <x v="11"/>
    <x v="10"/>
    <x v="0"/>
    <x v="0"/>
    <x v="0"/>
    <x v="0"/>
    <x v="0"/>
    <n v="0"/>
    <n v="1"/>
  </r>
  <r>
    <n v="24"/>
    <x v="0"/>
    <n v="2"/>
    <x v="3"/>
    <x v="11"/>
    <x v="10"/>
    <x v="0"/>
    <x v="0"/>
    <x v="0"/>
    <x v="0"/>
    <x v="0"/>
    <n v="1"/>
    <n v="0"/>
  </r>
  <r>
    <n v="24"/>
    <x v="0"/>
    <n v="3"/>
    <x v="3"/>
    <x v="11"/>
    <x v="10"/>
    <x v="0"/>
    <x v="0"/>
    <x v="0"/>
    <x v="0"/>
    <x v="0"/>
    <n v="0"/>
    <n v="1"/>
  </r>
  <r>
    <n v="24"/>
    <x v="0"/>
    <n v="4"/>
    <x v="3"/>
    <x v="11"/>
    <x v="10"/>
    <x v="0"/>
    <x v="0"/>
    <x v="0"/>
    <x v="0"/>
    <x v="0"/>
    <n v="1"/>
    <n v="0"/>
  </r>
  <r>
    <n v="24"/>
    <x v="0"/>
    <n v="5"/>
    <x v="3"/>
    <x v="11"/>
    <x v="10"/>
    <x v="0"/>
    <x v="0"/>
    <x v="0"/>
    <x v="0"/>
    <x v="0"/>
    <n v="0"/>
    <n v="1"/>
  </r>
  <r>
    <n v="24"/>
    <x v="0"/>
    <n v="6"/>
    <x v="3"/>
    <x v="11"/>
    <x v="10"/>
    <x v="0"/>
    <x v="0"/>
    <x v="0"/>
    <x v="0"/>
    <x v="0"/>
    <n v="0"/>
    <n v="1"/>
  </r>
  <r>
    <n v="24"/>
    <x v="0"/>
    <n v="7"/>
    <x v="3"/>
    <x v="11"/>
    <x v="10"/>
    <x v="0"/>
    <x v="0"/>
    <x v="0"/>
    <x v="0"/>
    <x v="0"/>
    <n v="0"/>
    <n v="1"/>
  </r>
  <r>
    <n v="24"/>
    <x v="0"/>
    <n v="8"/>
    <x v="3"/>
    <x v="11"/>
    <x v="10"/>
    <x v="0"/>
    <x v="0"/>
    <x v="0"/>
    <x v="0"/>
    <x v="0"/>
    <n v="0"/>
    <n v="1"/>
  </r>
  <r>
    <n v="24"/>
    <x v="0"/>
    <n v="9"/>
    <x v="3"/>
    <x v="11"/>
    <x v="10"/>
    <x v="0"/>
    <x v="0"/>
    <x v="0"/>
    <x v="0"/>
    <x v="0"/>
    <n v="1"/>
    <n v="0"/>
  </r>
  <r>
    <n v="24"/>
    <x v="0"/>
    <n v="10"/>
    <x v="3"/>
    <x v="11"/>
    <x v="10"/>
    <x v="0"/>
    <x v="0"/>
    <x v="0"/>
    <x v="0"/>
    <x v="0"/>
    <n v="1"/>
    <n v="0"/>
  </r>
  <r>
    <n v="24"/>
    <x v="0"/>
    <n v="11"/>
    <x v="3"/>
    <x v="11"/>
    <x v="10"/>
    <x v="0"/>
    <x v="0"/>
    <x v="0"/>
    <x v="0"/>
    <x v="0"/>
    <n v="0"/>
    <n v="1"/>
  </r>
  <r>
    <n v="26"/>
    <x v="0"/>
    <n v="1"/>
    <x v="8"/>
    <x v="12"/>
    <x v="11"/>
    <x v="2"/>
    <x v="0"/>
    <x v="0"/>
    <x v="0"/>
    <x v="0"/>
    <n v="0"/>
    <n v="1"/>
  </r>
  <r>
    <n v="26"/>
    <x v="0"/>
    <n v="2"/>
    <x v="8"/>
    <x v="12"/>
    <x v="11"/>
    <x v="2"/>
    <x v="0"/>
    <x v="0"/>
    <x v="0"/>
    <x v="0"/>
    <n v="0"/>
    <n v="1"/>
  </r>
  <r>
    <n v="26"/>
    <x v="0"/>
    <n v="3"/>
    <x v="8"/>
    <x v="12"/>
    <x v="11"/>
    <x v="2"/>
    <x v="0"/>
    <x v="0"/>
    <x v="0"/>
    <x v="0"/>
    <n v="0"/>
    <n v="1"/>
  </r>
  <r>
    <n v="26"/>
    <x v="0"/>
    <n v="4"/>
    <x v="8"/>
    <x v="12"/>
    <x v="11"/>
    <x v="2"/>
    <x v="0"/>
    <x v="0"/>
    <x v="0"/>
    <x v="0"/>
    <n v="0"/>
    <n v="1"/>
  </r>
  <r>
    <n v="26"/>
    <x v="0"/>
    <n v="5"/>
    <x v="8"/>
    <x v="12"/>
    <x v="11"/>
    <x v="2"/>
    <x v="0"/>
    <x v="0"/>
    <x v="0"/>
    <x v="0"/>
    <n v="0"/>
    <n v="1"/>
  </r>
  <r>
    <n v="26"/>
    <x v="0"/>
    <n v="6"/>
    <x v="8"/>
    <x v="12"/>
    <x v="11"/>
    <x v="2"/>
    <x v="0"/>
    <x v="0"/>
    <x v="0"/>
    <x v="0"/>
    <n v="1"/>
    <n v="0"/>
  </r>
  <r>
    <n v="26"/>
    <x v="0"/>
    <n v="7"/>
    <x v="8"/>
    <x v="12"/>
    <x v="11"/>
    <x v="2"/>
    <x v="0"/>
    <x v="0"/>
    <x v="0"/>
    <x v="0"/>
    <n v="1"/>
    <n v="0"/>
  </r>
  <r>
    <n v="26"/>
    <x v="0"/>
    <n v="8"/>
    <x v="8"/>
    <x v="12"/>
    <x v="11"/>
    <x v="2"/>
    <x v="0"/>
    <x v="0"/>
    <x v="0"/>
    <x v="0"/>
    <n v="0"/>
    <n v="1"/>
  </r>
  <r>
    <n v="26"/>
    <x v="0"/>
    <n v="9"/>
    <x v="8"/>
    <x v="12"/>
    <x v="11"/>
    <x v="2"/>
    <x v="0"/>
    <x v="0"/>
    <x v="0"/>
    <x v="0"/>
    <n v="0"/>
    <n v="1"/>
  </r>
  <r>
    <n v="28"/>
    <x v="0"/>
    <n v="1"/>
    <x v="2"/>
    <x v="7"/>
    <x v="12"/>
    <x v="10"/>
    <x v="1"/>
    <x v="1"/>
    <x v="1"/>
    <x v="1"/>
    <n v="1"/>
    <n v="0"/>
  </r>
  <r>
    <n v="28"/>
    <x v="0"/>
    <n v="2"/>
    <x v="2"/>
    <x v="7"/>
    <x v="12"/>
    <x v="10"/>
    <x v="1"/>
    <x v="1"/>
    <x v="1"/>
    <x v="1"/>
    <n v="1"/>
    <n v="0"/>
  </r>
  <r>
    <n v="28"/>
    <x v="0"/>
    <n v="3"/>
    <x v="2"/>
    <x v="7"/>
    <x v="12"/>
    <x v="10"/>
    <x v="1"/>
    <x v="1"/>
    <x v="1"/>
    <x v="1"/>
    <n v="0"/>
    <n v="1"/>
  </r>
  <r>
    <n v="28"/>
    <x v="0"/>
    <n v="4"/>
    <x v="2"/>
    <x v="7"/>
    <x v="12"/>
    <x v="10"/>
    <x v="1"/>
    <x v="1"/>
    <x v="1"/>
    <x v="1"/>
    <n v="1"/>
    <n v="0"/>
  </r>
  <r>
    <n v="28"/>
    <x v="0"/>
    <n v="5"/>
    <x v="2"/>
    <x v="7"/>
    <x v="12"/>
    <x v="10"/>
    <x v="1"/>
    <x v="1"/>
    <x v="1"/>
    <x v="1"/>
    <n v="0"/>
    <n v="1"/>
  </r>
  <r>
    <n v="28"/>
    <x v="0"/>
    <n v="6"/>
    <x v="2"/>
    <x v="7"/>
    <x v="12"/>
    <x v="10"/>
    <x v="1"/>
    <x v="1"/>
    <x v="1"/>
    <x v="1"/>
    <n v="1"/>
    <n v="0"/>
  </r>
  <r>
    <n v="28"/>
    <x v="0"/>
    <n v="7"/>
    <x v="2"/>
    <x v="7"/>
    <x v="12"/>
    <x v="10"/>
    <x v="1"/>
    <x v="1"/>
    <x v="1"/>
    <x v="1"/>
    <n v="1"/>
    <n v="0"/>
  </r>
  <r>
    <n v="28"/>
    <x v="0"/>
    <n v="8"/>
    <x v="2"/>
    <x v="7"/>
    <x v="12"/>
    <x v="10"/>
    <x v="1"/>
    <x v="1"/>
    <x v="1"/>
    <x v="1"/>
    <n v="1"/>
    <n v="0"/>
  </r>
  <r>
    <n v="28"/>
    <x v="0"/>
    <n v="9"/>
    <x v="2"/>
    <x v="7"/>
    <x v="12"/>
    <x v="10"/>
    <x v="1"/>
    <x v="1"/>
    <x v="1"/>
    <x v="1"/>
    <n v="1"/>
    <n v="0"/>
  </r>
  <r>
    <n v="32"/>
    <x v="0"/>
    <n v="1"/>
    <x v="9"/>
    <x v="3"/>
    <x v="13"/>
    <x v="5"/>
    <x v="0"/>
    <x v="0"/>
    <x v="1"/>
    <x v="1"/>
    <n v="0"/>
    <n v="1"/>
  </r>
  <r>
    <n v="32"/>
    <x v="0"/>
    <n v="2"/>
    <x v="9"/>
    <x v="3"/>
    <x v="13"/>
    <x v="5"/>
    <x v="0"/>
    <x v="0"/>
    <x v="1"/>
    <x v="1"/>
    <n v="1"/>
    <n v="0"/>
  </r>
  <r>
    <n v="32"/>
    <x v="0"/>
    <n v="3"/>
    <x v="9"/>
    <x v="3"/>
    <x v="13"/>
    <x v="5"/>
    <x v="0"/>
    <x v="0"/>
    <x v="1"/>
    <x v="1"/>
    <n v="0"/>
    <n v="1"/>
  </r>
  <r>
    <n v="32"/>
    <x v="0"/>
    <n v="4"/>
    <x v="9"/>
    <x v="3"/>
    <x v="13"/>
    <x v="5"/>
    <x v="0"/>
    <x v="0"/>
    <x v="1"/>
    <x v="1"/>
    <n v="1"/>
    <n v="0"/>
  </r>
  <r>
    <n v="32"/>
    <x v="0"/>
    <n v="5"/>
    <x v="9"/>
    <x v="3"/>
    <x v="13"/>
    <x v="5"/>
    <x v="0"/>
    <x v="0"/>
    <x v="1"/>
    <x v="1"/>
    <n v="0"/>
    <n v="1"/>
  </r>
  <r>
    <n v="32"/>
    <x v="0"/>
    <n v="6"/>
    <x v="9"/>
    <x v="3"/>
    <x v="13"/>
    <x v="5"/>
    <x v="0"/>
    <x v="0"/>
    <x v="1"/>
    <x v="1"/>
    <n v="1"/>
    <n v="0"/>
  </r>
  <r>
    <n v="32"/>
    <x v="0"/>
    <n v="7"/>
    <x v="9"/>
    <x v="3"/>
    <x v="13"/>
    <x v="5"/>
    <x v="0"/>
    <x v="0"/>
    <x v="1"/>
    <x v="1"/>
    <n v="0"/>
    <n v="1"/>
  </r>
  <r>
    <n v="32"/>
    <x v="0"/>
    <n v="8"/>
    <x v="9"/>
    <x v="3"/>
    <x v="13"/>
    <x v="5"/>
    <x v="0"/>
    <x v="0"/>
    <x v="1"/>
    <x v="1"/>
    <n v="0"/>
    <n v="1"/>
  </r>
  <r>
    <n v="32"/>
    <x v="0"/>
    <n v="9"/>
    <x v="9"/>
    <x v="3"/>
    <x v="13"/>
    <x v="5"/>
    <x v="0"/>
    <x v="0"/>
    <x v="1"/>
    <x v="1"/>
    <n v="1"/>
    <n v="0"/>
  </r>
  <r>
    <n v="32"/>
    <x v="0"/>
    <n v="10"/>
    <x v="9"/>
    <x v="3"/>
    <x v="13"/>
    <x v="5"/>
    <x v="0"/>
    <x v="0"/>
    <x v="1"/>
    <x v="1"/>
    <n v="1"/>
    <n v="0"/>
  </r>
  <r>
    <n v="32"/>
    <x v="0"/>
    <n v="11"/>
    <x v="9"/>
    <x v="3"/>
    <x v="13"/>
    <x v="5"/>
    <x v="0"/>
    <x v="0"/>
    <x v="1"/>
    <x v="1"/>
    <n v="1"/>
    <n v="0"/>
  </r>
  <r>
    <n v="32"/>
    <x v="0"/>
    <n v="12"/>
    <x v="9"/>
    <x v="3"/>
    <x v="13"/>
    <x v="5"/>
    <x v="0"/>
    <x v="0"/>
    <x v="1"/>
    <x v="1"/>
    <n v="1"/>
    <n v="0"/>
  </r>
  <r>
    <n v="34"/>
    <x v="0"/>
    <n v="1"/>
    <x v="4"/>
    <x v="13"/>
    <x v="0"/>
    <x v="11"/>
    <x v="0"/>
    <x v="0"/>
    <x v="0"/>
    <x v="0"/>
    <n v="0"/>
    <n v="1"/>
  </r>
  <r>
    <n v="34"/>
    <x v="0"/>
    <n v="2"/>
    <x v="4"/>
    <x v="13"/>
    <x v="0"/>
    <x v="11"/>
    <x v="0"/>
    <x v="0"/>
    <x v="0"/>
    <x v="0"/>
    <n v="0"/>
    <n v="1"/>
  </r>
  <r>
    <n v="34"/>
    <x v="0"/>
    <n v="3"/>
    <x v="4"/>
    <x v="13"/>
    <x v="0"/>
    <x v="11"/>
    <x v="0"/>
    <x v="0"/>
    <x v="0"/>
    <x v="0"/>
    <n v="1"/>
    <n v="0"/>
  </r>
  <r>
    <n v="34"/>
    <x v="0"/>
    <n v="4"/>
    <x v="4"/>
    <x v="13"/>
    <x v="0"/>
    <x v="11"/>
    <x v="0"/>
    <x v="0"/>
    <x v="0"/>
    <x v="0"/>
    <n v="1"/>
    <n v="0"/>
  </r>
  <r>
    <n v="34"/>
    <x v="0"/>
    <n v="5"/>
    <x v="4"/>
    <x v="13"/>
    <x v="0"/>
    <x v="11"/>
    <x v="0"/>
    <x v="0"/>
    <x v="0"/>
    <x v="0"/>
    <n v="0"/>
    <n v="1"/>
  </r>
  <r>
    <n v="34"/>
    <x v="0"/>
    <n v="6"/>
    <x v="4"/>
    <x v="13"/>
    <x v="0"/>
    <x v="11"/>
    <x v="0"/>
    <x v="0"/>
    <x v="0"/>
    <x v="0"/>
    <n v="1"/>
    <n v="0"/>
  </r>
  <r>
    <n v="34"/>
    <x v="0"/>
    <n v="7"/>
    <x v="4"/>
    <x v="13"/>
    <x v="0"/>
    <x v="11"/>
    <x v="0"/>
    <x v="0"/>
    <x v="0"/>
    <x v="0"/>
    <n v="0"/>
    <n v="1"/>
  </r>
  <r>
    <n v="34"/>
    <x v="0"/>
    <n v="8"/>
    <x v="4"/>
    <x v="13"/>
    <x v="0"/>
    <x v="11"/>
    <x v="0"/>
    <x v="0"/>
    <x v="0"/>
    <x v="0"/>
    <n v="0"/>
    <n v="1"/>
  </r>
  <r>
    <n v="34"/>
    <x v="0"/>
    <n v="9"/>
    <x v="4"/>
    <x v="13"/>
    <x v="0"/>
    <x v="11"/>
    <x v="0"/>
    <x v="0"/>
    <x v="0"/>
    <x v="0"/>
    <n v="0"/>
    <n v="1"/>
  </r>
  <r>
    <n v="34"/>
    <x v="0"/>
    <n v="10"/>
    <x v="4"/>
    <x v="13"/>
    <x v="0"/>
    <x v="11"/>
    <x v="0"/>
    <x v="0"/>
    <x v="0"/>
    <x v="0"/>
    <n v="0"/>
    <n v="1"/>
  </r>
  <r>
    <n v="30"/>
    <x v="0"/>
    <n v="1"/>
    <x v="10"/>
    <x v="14"/>
    <x v="14"/>
    <x v="7"/>
    <x v="0"/>
    <x v="0"/>
    <x v="0"/>
    <x v="0"/>
    <n v="0"/>
    <n v="1"/>
  </r>
  <r>
    <n v="30"/>
    <x v="0"/>
    <n v="2"/>
    <x v="10"/>
    <x v="14"/>
    <x v="14"/>
    <x v="7"/>
    <x v="0"/>
    <x v="0"/>
    <x v="0"/>
    <x v="0"/>
    <n v="1"/>
    <n v="0"/>
  </r>
  <r>
    <n v="30"/>
    <x v="0"/>
    <n v="3"/>
    <x v="10"/>
    <x v="14"/>
    <x v="14"/>
    <x v="7"/>
    <x v="0"/>
    <x v="0"/>
    <x v="0"/>
    <x v="0"/>
    <n v="1"/>
    <n v="0"/>
  </r>
  <r>
    <n v="30"/>
    <x v="0"/>
    <n v="4"/>
    <x v="10"/>
    <x v="14"/>
    <x v="14"/>
    <x v="7"/>
    <x v="0"/>
    <x v="0"/>
    <x v="0"/>
    <x v="0"/>
    <n v="1"/>
    <n v="0"/>
  </r>
  <r>
    <n v="30"/>
    <x v="0"/>
    <n v="5"/>
    <x v="10"/>
    <x v="14"/>
    <x v="14"/>
    <x v="7"/>
    <x v="0"/>
    <x v="0"/>
    <x v="0"/>
    <x v="0"/>
    <n v="0"/>
    <n v="1"/>
  </r>
  <r>
    <n v="30"/>
    <x v="0"/>
    <n v="6"/>
    <x v="10"/>
    <x v="14"/>
    <x v="14"/>
    <x v="7"/>
    <x v="0"/>
    <x v="0"/>
    <x v="0"/>
    <x v="0"/>
    <n v="0"/>
    <n v="1"/>
  </r>
  <r>
    <n v="30"/>
    <x v="0"/>
    <n v="7"/>
    <x v="10"/>
    <x v="14"/>
    <x v="14"/>
    <x v="7"/>
    <x v="0"/>
    <x v="0"/>
    <x v="0"/>
    <x v="0"/>
    <n v="1"/>
    <n v="0"/>
  </r>
  <r>
    <n v="30"/>
    <x v="0"/>
    <n v="8"/>
    <x v="10"/>
    <x v="14"/>
    <x v="14"/>
    <x v="7"/>
    <x v="0"/>
    <x v="0"/>
    <x v="0"/>
    <x v="0"/>
    <n v="0"/>
    <n v="1"/>
  </r>
  <r>
    <n v="30"/>
    <x v="0"/>
    <n v="9"/>
    <x v="10"/>
    <x v="14"/>
    <x v="14"/>
    <x v="7"/>
    <x v="0"/>
    <x v="0"/>
    <x v="0"/>
    <x v="0"/>
    <n v="1"/>
    <n v="0"/>
  </r>
  <r>
    <n v="30"/>
    <x v="0"/>
    <n v="10"/>
    <x v="10"/>
    <x v="14"/>
    <x v="14"/>
    <x v="7"/>
    <x v="0"/>
    <x v="0"/>
    <x v="0"/>
    <x v="0"/>
    <n v="1"/>
    <n v="0"/>
  </r>
  <r>
    <n v="30"/>
    <x v="0"/>
    <n v="11"/>
    <x v="10"/>
    <x v="14"/>
    <x v="14"/>
    <x v="7"/>
    <x v="0"/>
    <x v="0"/>
    <x v="0"/>
    <x v="0"/>
    <n v="0"/>
    <n v="1"/>
  </r>
  <r>
    <n v="30"/>
    <x v="0"/>
    <n v="12"/>
    <x v="10"/>
    <x v="14"/>
    <x v="14"/>
    <x v="7"/>
    <x v="0"/>
    <x v="0"/>
    <x v="0"/>
    <x v="0"/>
    <n v="0"/>
    <n v="1"/>
  </r>
  <r>
    <n v="30"/>
    <x v="0"/>
    <n v="13"/>
    <x v="10"/>
    <x v="14"/>
    <x v="14"/>
    <x v="7"/>
    <x v="0"/>
    <x v="0"/>
    <x v="0"/>
    <x v="0"/>
    <n v="1"/>
    <n v="0"/>
  </r>
  <r>
    <n v="36"/>
    <x v="0"/>
    <n v="1"/>
    <x v="11"/>
    <x v="15"/>
    <x v="11"/>
    <x v="12"/>
    <x v="0"/>
    <x v="0"/>
    <x v="0"/>
    <x v="0"/>
    <n v="1"/>
    <n v="0"/>
  </r>
  <r>
    <n v="36"/>
    <x v="0"/>
    <n v="2"/>
    <x v="11"/>
    <x v="15"/>
    <x v="11"/>
    <x v="12"/>
    <x v="0"/>
    <x v="0"/>
    <x v="0"/>
    <x v="0"/>
    <n v="0"/>
    <n v="1"/>
  </r>
  <r>
    <n v="36"/>
    <x v="0"/>
    <n v="3"/>
    <x v="11"/>
    <x v="15"/>
    <x v="11"/>
    <x v="12"/>
    <x v="0"/>
    <x v="0"/>
    <x v="0"/>
    <x v="0"/>
    <n v="1"/>
    <n v="0"/>
  </r>
  <r>
    <n v="36"/>
    <x v="0"/>
    <n v="4"/>
    <x v="11"/>
    <x v="15"/>
    <x v="11"/>
    <x v="12"/>
    <x v="0"/>
    <x v="0"/>
    <x v="0"/>
    <x v="0"/>
    <n v="0"/>
    <n v="1"/>
  </r>
  <r>
    <n v="36"/>
    <x v="0"/>
    <n v="5"/>
    <x v="11"/>
    <x v="15"/>
    <x v="11"/>
    <x v="12"/>
    <x v="0"/>
    <x v="0"/>
    <x v="0"/>
    <x v="0"/>
    <n v="0"/>
    <n v="1"/>
  </r>
  <r>
    <n v="36"/>
    <x v="0"/>
    <n v="6"/>
    <x v="11"/>
    <x v="15"/>
    <x v="11"/>
    <x v="12"/>
    <x v="0"/>
    <x v="0"/>
    <x v="0"/>
    <x v="0"/>
    <n v="0"/>
    <n v="1"/>
  </r>
  <r>
    <n v="36"/>
    <x v="0"/>
    <n v="7"/>
    <x v="11"/>
    <x v="15"/>
    <x v="11"/>
    <x v="12"/>
    <x v="0"/>
    <x v="0"/>
    <x v="0"/>
    <x v="0"/>
    <n v="0"/>
    <n v="1"/>
  </r>
  <r>
    <n v="36"/>
    <x v="0"/>
    <n v="8"/>
    <x v="11"/>
    <x v="15"/>
    <x v="11"/>
    <x v="12"/>
    <x v="0"/>
    <x v="0"/>
    <x v="0"/>
    <x v="0"/>
    <n v="0"/>
    <n v="1"/>
  </r>
  <r>
    <n v="36"/>
    <x v="0"/>
    <n v="9"/>
    <x v="11"/>
    <x v="15"/>
    <x v="11"/>
    <x v="12"/>
    <x v="0"/>
    <x v="0"/>
    <x v="0"/>
    <x v="0"/>
    <n v="0"/>
    <n v="1"/>
  </r>
  <r>
    <n v="40"/>
    <x v="0"/>
    <n v="1"/>
    <x v="12"/>
    <x v="6"/>
    <x v="15"/>
    <x v="1"/>
    <x v="1"/>
    <x v="1"/>
    <x v="1"/>
    <x v="1"/>
    <n v="0"/>
    <n v="1"/>
  </r>
  <r>
    <n v="40"/>
    <x v="0"/>
    <n v="2"/>
    <x v="12"/>
    <x v="6"/>
    <x v="15"/>
    <x v="1"/>
    <x v="1"/>
    <x v="1"/>
    <x v="1"/>
    <x v="1"/>
    <n v="1"/>
    <n v="0"/>
  </r>
  <r>
    <n v="40"/>
    <x v="0"/>
    <n v="3"/>
    <x v="12"/>
    <x v="6"/>
    <x v="15"/>
    <x v="1"/>
    <x v="1"/>
    <x v="1"/>
    <x v="1"/>
    <x v="1"/>
    <n v="1"/>
    <n v="0"/>
  </r>
  <r>
    <n v="40"/>
    <x v="0"/>
    <n v="4"/>
    <x v="12"/>
    <x v="6"/>
    <x v="15"/>
    <x v="1"/>
    <x v="1"/>
    <x v="1"/>
    <x v="1"/>
    <x v="1"/>
    <n v="0"/>
    <n v="1"/>
  </r>
  <r>
    <n v="40"/>
    <x v="0"/>
    <n v="5"/>
    <x v="12"/>
    <x v="6"/>
    <x v="15"/>
    <x v="1"/>
    <x v="1"/>
    <x v="1"/>
    <x v="1"/>
    <x v="1"/>
    <n v="0"/>
    <n v="1"/>
  </r>
  <r>
    <n v="40"/>
    <x v="0"/>
    <n v="6"/>
    <x v="12"/>
    <x v="6"/>
    <x v="15"/>
    <x v="1"/>
    <x v="1"/>
    <x v="1"/>
    <x v="1"/>
    <x v="1"/>
    <n v="1"/>
    <n v="0"/>
  </r>
  <r>
    <n v="40"/>
    <x v="0"/>
    <n v="7"/>
    <x v="12"/>
    <x v="6"/>
    <x v="15"/>
    <x v="1"/>
    <x v="1"/>
    <x v="1"/>
    <x v="1"/>
    <x v="1"/>
    <n v="1"/>
    <n v="0"/>
  </r>
  <r>
    <n v="40"/>
    <x v="0"/>
    <n v="8"/>
    <x v="12"/>
    <x v="6"/>
    <x v="15"/>
    <x v="1"/>
    <x v="1"/>
    <x v="1"/>
    <x v="1"/>
    <x v="1"/>
    <n v="0"/>
    <n v="1"/>
  </r>
  <r>
    <n v="40"/>
    <x v="0"/>
    <n v="9"/>
    <x v="12"/>
    <x v="6"/>
    <x v="15"/>
    <x v="1"/>
    <x v="1"/>
    <x v="1"/>
    <x v="1"/>
    <x v="1"/>
    <n v="0"/>
    <n v="1"/>
  </r>
  <r>
    <n v="40"/>
    <x v="0"/>
    <n v="10"/>
    <x v="12"/>
    <x v="6"/>
    <x v="15"/>
    <x v="1"/>
    <x v="1"/>
    <x v="1"/>
    <x v="1"/>
    <x v="1"/>
    <n v="0"/>
    <n v="1"/>
  </r>
  <r>
    <n v="40"/>
    <x v="0"/>
    <n v="11"/>
    <x v="12"/>
    <x v="6"/>
    <x v="15"/>
    <x v="1"/>
    <x v="1"/>
    <x v="1"/>
    <x v="1"/>
    <x v="1"/>
    <n v="0"/>
    <n v="1"/>
  </r>
  <r>
    <n v="38"/>
    <x v="0"/>
    <n v="1"/>
    <x v="13"/>
    <x v="13"/>
    <x v="6"/>
    <x v="13"/>
    <x v="0"/>
    <x v="0"/>
    <x v="1"/>
    <x v="1"/>
    <n v="1"/>
    <n v="0"/>
  </r>
  <r>
    <n v="38"/>
    <x v="0"/>
    <n v="2"/>
    <x v="13"/>
    <x v="13"/>
    <x v="6"/>
    <x v="13"/>
    <x v="0"/>
    <x v="0"/>
    <x v="1"/>
    <x v="1"/>
    <n v="0"/>
    <n v="1"/>
  </r>
  <r>
    <n v="38"/>
    <x v="0"/>
    <n v="3"/>
    <x v="13"/>
    <x v="13"/>
    <x v="6"/>
    <x v="13"/>
    <x v="0"/>
    <x v="0"/>
    <x v="1"/>
    <x v="1"/>
    <n v="0"/>
    <n v="1"/>
  </r>
  <r>
    <n v="38"/>
    <x v="0"/>
    <n v="4"/>
    <x v="13"/>
    <x v="13"/>
    <x v="6"/>
    <x v="13"/>
    <x v="0"/>
    <x v="0"/>
    <x v="1"/>
    <x v="1"/>
    <n v="1"/>
    <n v="0"/>
  </r>
  <r>
    <n v="38"/>
    <x v="0"/>
    <n v="5"/>
    <x v="13"/>
    <x v="13"/>
    <x v="6"/>
    <x v="13"/>
    <x v="0"/>
    <x v="0"/>
    <x v="1"/>
    <x v="1"/>
    <n v="0"/>
    <n v="1"/>
  </r>
  <r>
    <n v="38"/>
    <x v="0"/>
    <n v="6"/>
    <x v="13"/>
    <x v="13"/>
    <x v="6"/>
    <x v="13"/>
    <x v="0"/>
    <x v="0"/>
    <x v="1"/>
    <x v="1"/>
    <n v="1"/>
    <n v="0"/>
  </r>
  <r>
    <n v="38"/>
    <x v="0"/>
    <n v="7"/>
    <x v="13"/>
    <x v="13"/>
    <x v="6"/>
    <x v="13"/>
    <x v="0"/>
    <x v="0"/>
    <x v="1"/>
    <x v="1"/>
    <n v="0"/>
    <n v="1"/>
  </r>
  <r>
    <n v="38"/>
    <x v="0"/>
    <n v="8"/>
    <x v="13"/>
    <x v="13"/>
    <x v="6"/>
    <x v="13"/>
    <x v="0"/>
    <x v="0"/>
    <x v="1"/>
    <x v="1"/>
    <n v="1"/>
    <n v="0"/>
  </r>
  <r>
    <n v="38"/>
    <x v="0"/>
    <n v="9"/>
    <x v="13"/>
    <x v="13"/>
    <x v="6"/>
    <x v="13"/>
    <x v="0"/>
    <x v="0"/>
    <x v="1"/>
    <x v="1"/>
    <n v="0"/>
    <n v="1"/>
  </r>
  <r>
    <n v="38"/>
    <x v="0"/>
    <n v="10"/>
    <x v="13"/>
    <x v="13"/>
    <x v="6"/>
    <x v="13"/>
    <x v="0"/>
    <x v="0"/>
    <x v="1"/>
    <x v="1"/>
    <n v="0"/>
    <n v="1"/>
  </r>
  <r>
    <n v="38"/>
    <x v="0"/>
    <n v="11"/>
    <x v="13"/>
    <x v="13"/>
    <x v="6"/>
    <x v="13"/>
    <x v="0"/>
    <x v="0"/>
    <x v="1"/>
    <x v="1"/>
    <n v="0"/>
    <n v="1"/>
  </r>
  <r>
    <n v="42"/>
    <x v="0"/>
    <n v="1"/>
    <x v="14"/>
    <x v="14"/>
    <x v="16"/>
    <x v="14"/>
    <x v="0"/>
    <x v="0"/>
    <x v="0"/>
    <x v="0"/>
    <n v="1"/>
    <n v="0"/>
  </r>
  <r>
    <n v="42"/>
    <x v="0"/>
    <n v="2"/>
    <x v="14"/>
    <x v="14"/>
    <x v="16"/>
    <x v="14"/>
    <x v="0"/>
    <x v="0"/>
    <x v="0"/>
    <x v="0"/>
    <n v="1"/>
    <n v="0"/>
  </r>
  <r>
    <n v="42"/>
    <x v="0"/>
    <n v="3"/>
    <x v="14"/>
    <x v="14"/>
    <x v="16"/>
    <x v="14"/>
    <x v="0"/>
    <x v="0"/>
    <x v="0"/>
    <x v="0"/>
    <n v="1"/>
    <n v="0"/>
  </r>
  <r>
    <n v="42"/>
    <x v="0"/>
    <n v="4"/>
    <x v="14"/>
    <x v="14"/>
    <x v="16"/>
    <x v="14"/>
    <x v="0"/>
    <x v="0"/>
    <x v="0"/>
    <x v="0"/>
    <n v="1"/>
    <n v="0"/>
  </r>
  <r>
    <n v="42"/>
    <x v="0"/>
    <n v="5"/>
    <x v="14"/>
    <x v="14"/>
    <x v="16"/>
    <x v="14"/>
    <x v="0"/>
    <x v="0"/>
    <x v="0"/>
    <x v="0"/>
    <n v="1"/>
    <n v="0"/>
  </r>
  <r>
    <n v="42"/>
    <x v="0"/>
    <n v="6"/>
    <x v="14"/>
    <x v="14"/>
    <x v="16"/>
    <x v="14"/>
    <x v="0"/>
    <x v="0"/>
    <x v="0"/>
    <x v="0"/>
    <n v="1"/>
    <n v="0"/>
  </r>
  <r>
    <n v="42"/>
    <x v="0"/>
    <n v="7"/>
    <x v="14"/>
    <x v="14"/>
    <x v="16"/>
    <x v="14"/>
    <x v="0"/>
    <x v="0"/>
    <x v="0"/>
    <x v="0"/>
    <n v="0"/>
    <n v="1"/>
  </r>
  <r>
    <n v="42"/>
    <x v="0"/>
    <n v="8"/>
    <x v="14"/>
    <x v="14"/>
    <x v="16"/>
    <x v="14"/>
    <x v="0"/>
    <x v="0"/>
    <x v="0"/>
    <x v="0"/>
    <n v="0"/>
    <n v="1"/>
  </r>
  <r>
    <n v="42"/>
    <x v="0"/>
    <n v="9"/>
    <x v="14"/>
    <x v="14"/>
    <x v="16"/>
    <x v="14"/>
    <x v="0"/>
    <x v="0"/>
    <x v="0"/>
    <x v="0"/>
    <n v="1"/>
    <n v="0"/>
  </r>
  <r>
    <n v="44"/>
    <x v="0"/>
    <n v="1"/>
    <x v="15"/>
    <x v="16"/>
    <x v="17"/>
    <x v="15"/>
    <x v="1"/>
    <x v="1"/>
    <x v="1"/>
    <x v="1"/>
    <n v="0"/>
    <n v="1"/>
  </r>
  <r>
    <n v="44"/>
    <x v="0"/>
    <n v="2"/>
    <x v="15"/>
    <x v="16"/>
    <x v="17"/>
    <x v="15"/>
    <x v="1"/>
    <x v="1"/>
    <x v="1"/>
    <x v="1"/>
    <n v="0"/>
    <n v="1"/>
  </r>
  <r>
    <n v="44"/>
    <x v="0"/>
    <n v="3"/>
    <x v="15"/>
    <x v="16"/>
    <x v="17"/>
    <x v="15"/>
    <x v="1"/>
    <x v="1"/>
    <x v="1"/>
    <x v="1"/>
    <n v="0"/>
    <n v="1"/>
  </r>
  <r>
    <n v="44"/>
    <x v="0"/>
    <n v="4"/>
    <x v="15"/>
    <x v="16"/>
    <x v="17"/>
    <x v="15"/>
    <x v="1"/>
    <x v="1"/>
    <x v="1"/>
    <x v="1"/>
    <n v="0"/>
    <n v="1"/>
  </r>
  <r>
    <n v="44"/>
    <x v="0"/>
    <n v="5"/>
    <x v="15"/>
    <x v="16"/>
    <x v="17"/>
    <x v="15"/>
    <x v="1"/>
    <x v="1"/>
    <x v="1"/>
    <x v="1"/>
    <n v="0"/>
    <n v="1"/>
  </r>
  <r>
    <n v="44"/>
    <x v="0"/>
    <n v="6"/>
    <x v="15"/>
    <x v="16"/>
    <x v="17"/>
    <x v="15"/>
    <x v="1"/>
    <x v="1"/>
    <x v="1"/>
    <x v="1"/>
    <n v="1"/>
    <n v="0"/>
  </r>
  <r>
    <n v="44"/>
    <x v="0"/>
    <n v="7"/>
    <x v="15"/>
    <x v="16"/>
    <x v="17"/>
    <x v="15"/>
    <x v="1"/>
    <x v="1"/>
    <x v="1"/>
    <x v="1"/>
    <n v="1"/>
    <n v="0"/>
  </r>
  <r>
    <n v="44"/>
    <x v="0"/>
    <n v="8"/>
    <x v="15"/>
    <x v="16"/>
    <x v="17"/>
    <x v="15"/>
    <x v="1"/>
    <x v="1"/>
    <x v="1"/>
    <x v="1"/>
    <n v="0"/>
    <n v="1"/>
  </r>
  <r>
    <n v="44"/>
    <x v="0"/>
    <n v="9"/>
    <x v="15"/>
    <x v="16"/>
    <x v="17"/>
    <x v="15"/>
    <x v="1"/>
    <x v="1"/>
    <x v="1"/>
    <x v="1"/>
    <n v="0"/>
    <n v="1"/>
  </r>
  <r>
    <n v="44"/>
    <x v="0"/>
    <n v="10"/>
    <x v="15"/>
    <x v="16"/>
    <x v="17"/>
    <x v="15"/>
    <x v="1"/>
    <x v="1"/>
    <x v="1"/>
    <x v="1"/>
    <m/>
    <m/>
  </r>
  <r>
    <n v="39"/>
    <x v="0"/>
    <n v="1"/>
    <x v="13"/>
    <x v="17"/>
    <x v="8"/>
    <x v="16"/>
    <x v="0"/>
    <x v="0"/>
    <x v="1"/>
    <x v="1"/>
    <n v="1"/>
    <n v="0"/>
  </r>
  <r>
    <n v="39"/>
    <x v="0"/>
    <n v="2"/>
    <x v="13"/>
    <x v="17"/>
    <x v="8"/>
    <x v="16"/>
    <x v="0"/>
    <x v="0"/>
    <x v="1"/>
    <x v="1"/>
    <n v="1"/>
    <n v="0"/>
  </r>
  <r>
    <n v="39"/>
    <x v="0"/>
    <n v="3"/>
    <x v="13"/>
    <x v="17"/>
    <x v="8"/>
    <x v="16"/>
    <x v="0"/>
    <x v="0"/>
    <x v="1"/>
    <x v="1"/>
    <n v="1"/>
    <n v="0"/>
  </r>
  <r>
    <n v="39"/>
    <x v="0"/>
    <n v="4"/>
    <x v="13"/>
    <x v="17"/>
    <x v="8"/>
    <x v="16"/>
    <x v="0"/>
    <x v="0"/>
    <x v="1"/>
    <x v="1"/>
    <n v="0"/>
    <n v="1"/>
  </r>
  <r>
    <n v="39"/>
    <x v="0"/>
    <n v="5"/>
    <x v="13"/>
    <x v="17"/>
    <x v="8"/>
    <x v="16"/>
    <x v="0"/>
    <x v="0"/>
    <x v="1"/>
    <x v="1"/>
    <n v="0"/>
    <n v="1"/>
  </r>
  <r>
    <n v="39"/>
    <x v="0"/>
    <n v="6"/>
    <x v="13"/>
    <x v="17"/>
    <x v="8"/>
    <x v="16"/>
    <x v="0"/>
    <x v="0"/>
    <x v="1"/>
    <x v="1"/>
    <n v="0"/>
    <n v="1"/>
  </r>
  <r>
    <n v="39"/>
    <x v="0"/>
    <n v="7"/>
    <x v="13"/>
    <x v="17"/>
    <x v="8"/>
    <x v="16"/>
    <x v="0"/>
    <x v="0"/>
    <x v="1"/>
    <x v="1"/>
    <n v="1"/>
    <n v="0"/>
  </r>
  <r>
    <n v="39"/>
    <x v="0"/>
    <n v="8"/>
    <x v="13"/>
    <x v="17"/>
    <x v="8"/>
    <x v="16"/>
    <x v="0"/>
    <x v="0"/>
    <x v="1"/>
    <x v="1"/>
    <n v="0"/>
    <n v="1"/>
  </r>
  <r>
    <n v="39"/>
    <x v="0"/>
    <n v="9"/>
    <x v="13"/>
    <x v="17"/>
    <x v="8"/>
    <x v="16"/>
    <x v="0"/>
    <x v="0"/>
    <x v="1"/>
    <x v="1"/>
    <n v="1"/>
    <n v="0"/>
  </r>
  <r>
    <n v="39"/>
    <x v="0"/>
    <n v="10"/>
    <x v="13"/>
    <x v="17"/>
    <x v="8"/>
    <x v="16"/>
    <x v="0"/>
    <x v="0"/>
    <x v="1"/>
    <x v="1"/>
    <n v="1"/>
    <n v="0"/>
  </r>
  <r>
    <n v="39"/>
    <x v="0"/>
    <n v="11"/>
    <x v="13"/>
    <x v="17"/>
    <x v="8"/>
    <x v="16"/>
    <x v="0"/>
    <x v="0"/>
    <x v="1"/>
    <x v="1"/>
    <n v="0"/>
    <n v="1"/>
  </r>
  <r>
    <n v="39"/>
    <x v="0"/>
    <n v="12"/>
    <x v="13"/>
    <x v="17"/>
    <x v="8"/>
    <x v="16"/>
    <x v="0"/>
    <x v="0"/>
    <x v="1"/>
    <x v="1"/>
    <n v="0"/>
    <n v="1"/>
  </r>
  <r>
    <n v="39"/>
    <x v="0"/>
    <n v="13"/>
    <x v="13"/>
    <x v="17"/>
    <x v="8"/>
    <x v="16"/>
    <x v="0"/>
    <x v="0"/>
    <x v="1"/>
    <x v="1"/>
    <n v="0"/>
    <n v="1"/>
  </r>
  <r>
    <n v="39"/>
    <x v="0"/>
    <n v="14"/>
    <x v="13"/>
    <x v="17"/>
    <x v="8"/>
    <x v="16"/>
    <x v="0"/>
    <x v="0"/>
    <x v="1"/>
    <x v="1"/>
    <n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n v="1"/>
    <x v="0"/>
    <s v="DERECHA"/>
    <n v="7"/>
  </r>
  <r>
    <n v="1"/>
    <x v="1"/>
    <s v="DERECHA"/>
    <n v="2"/>
  </r>
  <r>
    <n v="1"/>
    <x v="2"/>
    <s v="DERECHA"/>
    <n v="14"/>
  </r>
  <r>
    <n v="1"/>
    <x v="3"/>
    <s v="IZQUIERDA"/>
    <n v="1"/>
  </r>
  <r>
    <n v="1"/>
    <x v="4"/>
    <s v="IZQUIERDA"/>
    <n v="4"/>
  </r>
  <r>
    <n v="1"/>
    <x v="4"/>
    <s v="DERECHA"/>
    <n v="9"/>
  </r>
  <r>
    <n v="1"/>
    <x v="5"/>
    <s v="DERECHA"/>
    <n v="7"/>
  </r>
  <r>
    <n v="1"/>
    <x v="6"/>
    <s v="IZQUIERDA"/>
    <n v="4"/>
  </r>
  <r>
    <n v="1"/>
    <x v="7"/>
    <s v="DERECHA"/>
    <n v="7"/>
  </r>
  <r>
    <n v="1"/>
    <x v="8"/>
    <s v="IZQUIERDA"/>
    <n v="7"/>
  </r>
  <r>
    <n v="1"/>
    <x v="9"/>
    <s v="IZQUIERDA"/>
    <n v="7"/>
  </r>
  <r>
    <n v="1"/>
    <x v="10"/>
    <s v="DERECHA"/>
    <n v="5"/>
  </r>
  <r>
    <n v="1"/>
    <x v="11"/>
    <s v="IZQUIERDA"/>
    <n v="7"/>
  </r>
  <r>
    <n v="1"/>
    <x v="12"/>
    <s v="DERECHA"/>
    <n v="6"/>
  </r>
  <r>
    <n v="1"/>
    <x v="13"/>
    <s v="IZQUIERDA"/>
    <n v="6"/>
  </r>
  <r>
    <n v="1"/>
    <x v="14"/>
    <s v="DERECHA"/>
    <n v="1"/>
  </r>
  <r>
    <n v="1"/>
    <x v="15"/>
    <s v="DERECHA"/>
    <n v="11"/>
  </r>
  <r>
    <n v="1"/>
    <x v="16"/>
    <s v="IZQUIERDA"/>
    <n v="13"/>
  </r>
  <r>
    <n v="1"/>
    <x v="1"/>
    <s v="IZQUIERDA"/>
    <n v="2"/>
  </r>
  <r>
    <n v="1"/>
    <x v="3"/>
    <s v="IZQUIERDA"/>
    <n v="5"/>
  </r>
  <r>
    <n v="1"/>
    <x v="17"/>
    <s v="IZQUIERDA"/>
    <n v="13"/>
  </r>
  <r>
    <n v="1"/>
    <x v="17"/>
    <s v="DERECHA"/>
    <n v="4"/>
  </r>
  <r>
    <n v="1"/>
    <x v="18"/>
    <s v="IZQUIERDA"/>
    <n v="7"/>
  </r>
  <r>
    <n v="1"/>
    <x v="18"/>
    <s v="DERECHA"/>
    <n v="1"/>
  </r>
  <r>
    <n v="1"/>
    <x v="4"/>
    <s v="IZQUIERDA"/>
    <n v="7"/>
  </r>
  <r>
    <n v="1"/>
    <x v="7"/>
    <s v="IZQUIERDA"/>
    <n v="2"/>
  </r>
  <r>
    <n v="1"/>
    <x v="19"/>
    <s v="DERECHA"/>
    <n v="7"/>
  </r>
  <r>
    <n v="1"/>
    <x v="20"/>
    <s v="DERECHA"/>
    <n v="7"/>
  </r>
  <r>
    <n v="1"/>
    <x v="10"/>
    <s v="IZQUIERDA"/>
    <n v="1"/>
  </r>
  <r>
    <n v="1"/>
    <x v="21"/>
    <s v="IZQUIERDA"/>
    <n v="7"/>
  </r>
  <r>
    <n v="1"/>
    <x v="22"/>
    <s v="DERECHA"/>
    <n v="4"/>
  </r>
  <r>
    <n v="1"/>
    <x v="11"/>
    <s v="IZQUIERDA"/>
    <n v="7"/>
  </r>
  <r>
    <n v="1"/>
    <x v="14"/>
    <s v="DERECHA"/>
    <n v="6"/>
  </r>
  <r>
    <n v="1"/>
    <x v="23"/>
    <s v="IZQUIERDA"/>
    <n v="5"/>
  </r>
  <r>
    <n v="1"/>
    <x v="15"/>
    <s v="DERECHA"/>
    <n v="7"/>
  </r>
  <r>
    <n v="1"/>
    <x v="0"/>
    <s v="IZQUIERDA"/>
    <n v="6"/>
  </r>
  <r>
    <n v="1"/>
    <x v="24"/>
    <s v="IZQUIERDA"/>
    <n v="1"/>
  </r>
  <r>
    <n v="1"/>
    <x v="24"/>
    <s v="DERECHA"/>
    <n v="17"/>
  </r>
  <r>
    <n v="1"/>
    <x v="1"/>
    <s v="IZQUIERDA"/>
    <n v="6"/>
  </r>
  <r>
    <n v="1"/>
    <x v="3"/>
    <s v="IZQUIERDA"/>
    <n v="5"/>
  </r>
  <r>
    <n v="1"/>
    <x v="18"/>
    <s v="IZQUIERDA"/>
    <n v="6"/>
  </r>
  <r>
    <n v="1"/>
    <x v="25"/>
    <s v="IZQUIERDA"/>
    <n v="7"/>
  </r>
  <r>
    <n v="1"/>
    <x v="19"/>
    <s v="IZQUIERDA"/>
    <n v="7"/>
  </r>
  <r>
    <n v="1"/>
    <x v="26"/>
    <s v="DERECHA"/>
    <n v="7"/>
  </r>
  <r>
    <n v="1"/>
    <x v="27"/>
    <s v="IZQUIERDA"/>
    <n v="5"/>
  </r>
  <r>
    <n v="1"/>
    <x v="11"/>
    <s v="IZQUIERDA"/>
    <n v="7"/>
  </r>
  <r>
    <n v="1"/>
    <x v="11"/>
    <s v="DERECHA"/>
    <n v="14"/>
  </r>
  <r>
    <n v="1"/>
    <x v="28"/>
    <s v="DERECHA"/>
    <n v="5"/>
  </r>
  <r>
    <n v="1"/>
    <x v="29"/>
    <s v="DERECHA"/>
    <n v="7"/>
  </r>
  <r>
    <n v="1"/>
    <x v="30"/>
    <s v="IZQUIERDA"/>
    <n v="5"/>
  </r>
  <r>
    <n v="1"/>
    <x v="30"/>
    <s v="DERECHA"/>
    <n v="7"/>
  </r>
  <r>
    <n v="1"/>
    <x v="31"/>
    <s v="IZQUIERDA"/>
    <n v="5"/>
  </r>
  <r>
    <n v="1"/>
    <x v="0"/>
    <s v="IZQUIERDA"/>
    <n v="5"/>
  </r>
  <r>
    <n v="1"/>
    <x v="32"/>
    <s v="DERECHA"/>
    <n v="11"/>
  </r>
  <r>
    <n v="1"/>
    <x v="16"/>
    <s v="IZQUIERDA"/>
    <n v="7"/>
  </r>
  <r>
    <n v="1"/>
    <x v="17"/>
    <s v="DERECHA"/>
    <n v="7"/>
  </r>
  <r>
    <n v="1"/>
    <x v="5"/>
    <s v="IZQUIERDA"/>
    <n v="7"/>
  </r>
  <r>
    <n v="1"/>
    <x v="5"/>
    <s v="DERECHA"/>
    <n v="7"/>
  </r>
  <r>
    <n v="1"/>
    <x v="19"/>
    <s v="IZQUIERDA"/>
    <n v="14"/>
  </r>
  <r>
    <n v="1"/>
    <x v="26"/>
    <s v="DERECHA"/>
    <n v="6"/>
  </r>
  <r>
    <n v="1"/>
    <x v="27"/>
    <s v="DERECHA"/>
    <n v="5"/>
  </r>
  <r>
    <n v="1"/>
    <x v="10"/>
    <s v="IZQUIERDA"/>
    <n v="11"/>
  </r>
  <r>
    <n v="1"/>
    <x v="12"/>
    <s v="DERECHA"/>
    <n v="5"/>
  </r>
  <r>
    <n v="1"/>
    <x v="28"/>
    <s v="DERECHA"/>
    <n v="7"/>
  </r>
  <r>
    <n v="1"/>
    <x v="33"/>
    <s v="IZQUIERDA"/>
    <n v="7"/>
  </r>
  <r>
    <n v="1"/>
    <x v="33"/>
    <s v="DERECHA"/>
    <n v="1"/>
  </r>
  <r>
    <n v="1"/>
    <x v="30"/>
    <s v="IZQUIERDA"/>
    <n v="6"/>
  </r>
  <r>
    <n v="1"/>
    <x v="15"/>
    <s v="DERECHA"/>
    <n v="5"/>
  </r>
  <r>
    <n v="1"/>
    <x v="31"/>
    <s v="DERECHA"/>
    <n v="6"/>
  </r>
  <r>
    <n v="2"/>
    <x v="0"/>
    <s v="IZQUIERDA"/>
    <n v="7"/>
  </r>
  <r>
    <n v="2"/>
    <x v="16"/>
    <s v="IZQUIERDA"/>
    <n v="7"/>
  </r>
  <r>
    <n v="2"/>
    <x v="1"/>
    <s v="IZQUIERDA"/>
    <n v="2"/>
  </r>
  <r>
    <n v="2"/>
    <x v="3"/>
    <s v="IZQUIERDA"/>
    <n v="2"/>
  </r>
  <r>
    <n v="2"/>
    <x v="8"/>
    <s v="DERECHA"/>
    <n v="9"/>
  </r>
  <r>
    <n v="2"/>
    <x v="9"/>
    <s v="IZQUIERDA"/>
    <n v="13"/>
  </r>
  <r>
    <n v="2"/>
    <x v="20"/>
    <s v="DERECHA"/>
    <n v="2"/>
  </r>
  <r>
    <n v="2"/>
    <x v="10"/>
    <s v="IZQUIERDA"/>
    <n v="7"/>
  </r>
  <r>
    <n v="2"/>
    <x v="22"/>
    <s v="IZQUIERDA"/>
    <n v="10"/>
  </r>
  <r>
    <n v="2"/>
    <x v="34"/>
    <s v="DERECHA"/>
    <n v="14"/>
  </r>
  <r>
    <n v="2"/>
    <x v="28"/>
    <s v="DERECHA"/>
    <n v="7"/>
  </r>
  <r>
    <n v="2"/>
    <x v="33"/>
    <s v="IZQUIERDA"/>
    <n v="8"/>
  </r>
  <r>
    <n v="2"/>
    <x v="14"/>
    <s v="IZQUIERDA"/>
    <n v="7"/>
  </r>
  <r>
    <n v="2"/>
    <x v="23"/>
    <s v="IZQUIERDA"/>
    <n v="11"/>
  </r>
  <r>
    <n v="2"/>
    <x v="35"/>
    <s v="DERECHA"/>
    <n v="4"/>
  </r>
  <r>
    <n v="2"/>
    <x v="29"/>
    <s v="IZQUIERDA"/>
    <n v="7"/>
  </r>
  <r>
    <n v="2"/>
    <x v="24"/>
    <s v="DERECHA"/>
    <n v="6"/>
  </r>
  <r>
    <n v="2"/>
    <x v="18"/>
    <s v="DERECHA"/>
    <n v="2"/>
  </r>
  <r>
    <n v="2"/>
    <x v="25"/>
    <s v="IZQUIERDA"/>
    <n v="10"/>
  </r>
  <r>
    <n v="2"/>
    <x v="5"/>
    <s v="DERECHA"/>
    <n v="4"/>
  </r>
  <r>
    <n v="2"/>
    <x v="6"/>
    <s v="DERECHA"/>
    <n v="14"/>
  </r>
  <r>
    <n v="2"/>
    <x v="7"/>
    <s v="IZQUIERDA"/>
    <n v="2"/>
  </r>
  <r>
    <n v="2"/>
    <x v="26"/>
    <s v="DERECHA"/>
    <n v="5"/>
  </r>
  <r>
    <n v="2"/>
    <x v="26"/>
    <s v="IZQUIERDA"/>
    <n v="4"/>
  </r>
  <r>
    <n v="2"/>
    <x v="8"/>
    <s v="DERECHA"/>
    <n v="2"/>
  </r>
  <r>
    <n v="2"/>
    <x v="27"/>
    <s v="DERECHA"/>
    <n v="7"/>
  </r>
  <r>
    <n v="2"/>
    <x v="27"/>
    <s v="IZQUIERDA"/>
    <n v="7"/>
  </r>
  <r>
    <n v="2"/>
    <x v="20"/>
    <s v="DERECHA"/>
    <n v="6"/>
  </r>
  <r>
    <n v="2"/>
    <x v="21"/>
    <s v="DERECHA"/>
    <n v="6"/>
  </r>
  <r>
    <n v="2"/>
    <x v="34"/>
    <s v="DERECHA"/>
    <n v="7"/>
  </r>
  <r>
    <n v="2"/>
    <x v="28"/>
    <s v="DERECHA"/>
    <n v="7"/>
  </r>
  <r>
    <n v="2"/>
    <x v="13"/>
    <s v="DERECHA"/>
    <n v="7"/>
  </r>
  <r>
    <n v="2"/>
    <x v="14"/>
    <s v="DERECHA"/>
    <n v="1"/>
  </r>
  <r>
    <n v="2"/>
    <x v="35"/>
    <s v="DERECHA"/>
    <n v="7"/>
  </r>
  <r>
    <n v="2"/>
    <x v="29"/>
    <s v="IZQUIERDA"/>
    <n v="7"/>
  </r>
  <r>
    <n v="2"/>
    <x v="31"/>
    <s v="IZQUIERDA"/>
    <n v="6"/>
  </r>
  <r>
    <n v="2"/>
    <x v="32"/>
    <s v="IZQUIERDA"/>
    <n v="7"/>
  </r>
  <r>
    <n v="2"/>
    <x v="16"/>
    <s v="IZQUIERDA"/>
    <n v="2"/>
  </r>
  <r>
    <n v="2"/>
    <x v="2"/>
    <s v="DERECHA"/>
    <n v="2"/>
  </r>
  <r>
    <n v="2"/>
    <x v="17"/>
    <s v="DERECHA"/>
    <n v="6"/>
  </r>
  <r>
    <n v="2"/>
    <x v="18"/>
    <s v="IZQUIERDA"/>
    <n v="7"/>
  </r>
  <r>
    <n v="2"/>
    <x v="25"/>
    <s v="DERECHA"/>
    <n v="7"/>
  </r>
  <r>
    <n v="2"/>
    <x v="6"/>
    <s v="DERECHA"/>
    <n v="5"/>
  </r>
  <r>
    <n v="2"/>
    <x v="19"/>
    <s v="IZQUIERDA"/>
    <n v="6"/>
  </r>
  <r>
    <n v="2"/>
    <x v="8"/>
    <s v="DERECHA"/>
    <n v="7"/>
  </r>
  <r>
    <n v="2"/>
    <x v="27"/>
    <s v="DERECHA"/>
    <n v="7"/>
  </r>
  <r>
    <n v="2"/>
    <x v="9"/>
    <s v="IZQUIERDA"/>
    <n v="4"/>
  </r>
  <r>
    <n v="2"/>
    <x v="20"/>
    <s v="DERECHA"/>
    <n v="14"/>
  </r>
  <r>
    <n v="2"/>
    <x v="21"/>
    <s v="DERECHA"/>
    <n v="10"/>
  </r>
  <r>
    <n v="2"/>
    <x v="12"/>
    <s v="IZQUIERDA"/>
    <n v="9"/>
  </r>
  <r>
    <n v="2"/>
    <x v="13"/>
    <s v="DERECHA"/>
    <n v="14"/>
  </r>
  <r>
    <n v="2"/>
    <x v="33"/>
    <s v="IZQUIERDA"/>
    <n v="2"/>
  </r>
  <r>
    <n v="2"/>
    <x v="35"/>
    <s v="IZQUIERDA"/>
    <n v="7"/>
  </r>
  <r>
    <n v="2"/>
    <x v="30"/>
    <s v="IZQUIERDA"/>
    <n v="14"/>
  </r>
  <r>
    <n v="2"/>
    <x v="32"/>
    <s v="DERECHA"/>
    <n v="10"/>
  </r>
  <r>
    <n v="2"/>
    <x v="2"/>
    <s v="IZQUIERDA"/>
    <n v="13"/>
  </r>
  <r>
    <n v="2"/>
    <x v="4"/>
    <s v="IZQUIERDA"/>
    <n v="7"/>
  </r>
  <r>
    <n v="2"/>
    <x v="5"/>
    <s v="IZQUIERDA"/>
    <n v="7"/>
  </r>
  <r>
    <n v="2"/>
    <x v="7"/>
    <s v="DERECHA"/>
    <n v="9"/>
  </r>
  <r>
    <n v="2"/>
    <x v="26"/>
    <s v="IZQUIERDA"/>
    <n v="8"/>
  </r>
  <r>
    <n v="2"/>
    <x v="9"/>
    <s v="IZQUIERDA"/>
    <n v="7"/>
  </r>
  <r>
    <n v="2"/>
    <x v="21"/>
    <s v="IZQUIERDA"/>
    <n v="6"/>
  </r>
  <r>
    <n v="2"/>
    <x v="22"/>
    <s v="DERECHA"/>
    <n v="7"/>
  </r>
  <r>
    <n v="2"/>
    <x v="22"/>
    <s v="IZQUIERDA"/>
    <n v="4"/>
  </r>
  <r>
    <n v="2"/>
    <x v="12"/>
    <s v="IZQUIERDA"/>
    <n v="6"/>
  </r>
  <r>
    <n v="2"/>
    <x v="34"/>
    <s v="DERECHA"/>
    <n v="7"/>
  </r>
  <r>
    <n v="2"/>
    <x v="28"/>
    <s v="DERECHA"/>
    <n v="7"/>
  </r>
  <r>
    <n v="2"/>
    <x v="13"/>
    <s v="DERECHA"/>
    <n v="7"/>
  </r>
  <r>
    <n v="2"/>
    <x v="35"/>
    <s v="DERECHA"/>
    <n v="2"/>
  </r>
  <r>
    <n v="2"/>
    <x v="29"/>
    <s v="IZQUIERDA"/>
    <n v="12"/>
  </r>
  <r>
    <n v="2"/>
    <x v="15"/>
    <s v="IZQUIERDA"/>
    <n v="2"/>
  </r>
  <r>
    <n v="2"/>
    <x v="31"/>
    <s v="DERECHA"/>
    <n v="9"/>
  </r>
  <r>
    <m/>
    <x v="36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x v="0"/>
    <n v="2"/>
    <n v="1"/>
    <x v="0"/>
    <x v="0"/>
    <x v="0"/>
    <x v="0"/>
    <s v="IZQUIERDA"/>
    <s v="DERECHA"/>
    <s v="IZQUIERDA"/>
    <s v="DERECHA"/>
    <n v="1"/>
    <n v="0"/>
  </r>
  <r>
    <x v="0"/>
    <n v="2"/>
    <n v="2"/>
    <x v="0"/>
    <x v="0"/>
    <x v="0"/>
    <x v="0"/>
    <s v="IZQUIERDA"/>
    <s v="DERECHA"/>
    <s v="IZQUIERDA"/>
    <s v="DERECHA"/>
    <n v="1"/>
    <n v="0"/>
  </r>
  <r>
    <x v="0"/>
    <n v="2"/>
    <n v="3"/>
    <x v="0"/>
    <x v="0"/>
    <x v="0"/>
    <x v="0"/>
    <s v="IZQUIERDA"/>
    <s v="DERECHA"/>
    <s v="IZQUIERDA"/>
    <s v="DERECHA"/>
    <n v="1"/>
    <n v="0"/>
  </r>
  <r>
    <x v="0"/>
    <n v="2"/>
    <n v="4"/>
    <x v="0"/>
    <x v="0"/>
    <x v="0"/>
    <x v="0"/>
    <s v="IZQUIERDA"/>
    <s v="DERECHA"/>
    <s v="IZQUIERDA"/>
    <s v="DERECHA"/>
    <n v="0"/>
    <n v="1"/>
  </r>
  <r>
    <x v="0"/>
    <n v="2"/>
    <n v="5"/>
    <x v="0"/>
    <x v="0"/>
    <x v="0"/>
    <x v="0"/>
    <s v="IZQUIERDA"/>
    <s v="DERECHA"/>
    <s v="IZQUIERDA"/>
    <s v="DERECHA"/>
    <n v="1"/>
    <n v="0"/>
  </r>
  <r>
    <x v="0"/>
    <n v="2"/>
    <n v="6"/>
    <x v="0"/>
    <x v="0"/>
    <x v="0"/>
    <x v="0"/>
    <s v="IZQUIERDA"/>
    <s v="DERECHA"/>
    <s v="IZQUIERDA"/>
    <s v="DERECHA"/>
    <n v="0"/>
    <n v="1"/>
  </r>
  <r>
    <x v="0"/>
    <n v="2"/>
    <n v="7"/>
    <x v="0"/>
    <x v="0"/>
    <x v="0"/>
    <x v="0"/>
    <s v="IZQUIERDA"/>
    <s v="DERECHA"/>
    <s v="IZQUIERDA"/>
    <s v="DERECHA"/>
    <n v="1"/>
    <n v="0"/>
  </r>
  <r>
    <x v="0"/>
    <n v="2"/>
    <n v="8"/>
    <x v="0"/>
    <x v="0"/>
    <x v="0"/>
    <x v="0"/>
    <s v="IZQUIERDA"/>
    <s v="DERECHA"/>
    <s v="IZQUIERDA"/>
    <s v="DERECHA"/>
    <n v="1"/>
    <n v="0"/>
  </r>
  <r>
    <x v="0"/>
    <n v="2"/>
    <n v="9"/>
    <x v="0"/>
    <x v="0"/>
    <x v="0"/>
    <x v="0"/>
    <s v="IZQUIERDA"/>
    <s v="DERECHA"/>
    <s v="IZQUIERDA"/>
    <s v="DERECHA"/>
    <n v="1"/>
    <n v="0"/>
  </r>
  <r>
    <x v="1"/>
    <n v="2"/>
    <n v="1"/>
    <x v="0"/>
    <x v="1"/>
    <x v="1"/>
    <x v="1"/>
    <s v="IZQUIERDA"/>
    <s v="DERECHA"/>
    <s v="DERECHA"/>
    <s v="IZQUIERDA"/>
    <n v="0"/>
    <n v="1"/>
  </r>
  <r>
    <x v="1"/>
    <n v="2"/>
    <n v="2"/>
    <x v="0"/>
    <x v="1"/>
    <x v="1"/>
    <x v="1"/>
    <s v="IZQUIERDA"/>
    <s v="DERECHA"/>
    <s v="DERECHA"/>
    <s v="IZQUIERDA"/>
    <n v="1"/>
    <n v="0"/>
  </r>
  <r>
    <x v="1"/>
    <n v="2"/>
    <n v="3"/>
    <x v="0"/>
    <x v="1"/>
    <x v="1"/>
    <x v="1"/>
    <s v="IZQUIERDA"/>
    <s v="DERECHA"/>
    <s v="DERECHA"/>
    <s v="IZQUIERDA"/>
    <n v="0"/>
    <n v="1"/>
  </r>
  <r>
    <x v="1"/>
    <n v="2"/>
    <n v="4"/>
    <x v="0"/>
    <x v="1"/>
    <x v="1"/>
    <x v="1"/>
    <s v="IZQUIERDA"/>
    <s v="DERECHA"/>
    <s v="DERECHA"/>
    <s v="IZQUIERDA"/>
    <n v="1"/>
    <n v="0"/>
  </r>
  <r>
    <x v="1"/>
    <n v="2"/>
    <n v="5"/>
    <x v="0"/>
    <x v="1"/>
    <x v="1"/>
    <x v="1"/>
    <s v="IZQUIERDA"/>
    <s v="DERECHA"/>
    <s v="DERECHA"/>
    <s v="IZQUIERDA"/>
    <n v="1"/>
    <n v="0"/>
  </r>
  <r>
    <x v="1"/>
    <n v="2"/>
    <n v="6"/>
    <x v="0"/>
    <x v="1"/>
    <x v="1"/>
    <x v="1"/>
    <s v="IZQUIERDA"/>
    <s v="DERECHA"/>
    <s v="DERECHA"/>
    <s v="IZQUIERDA"/>
    <n v="0"/>
    <n v="1"/>
  </r>
  <r>
    <x v="1"/>
    <n v="2"/>
    <n v="7"/>
    <x v="0"/>
    <x v="1"/>
    <x v="1"/>
    <x v="1"/>
    <s v="IZQUIERDA"/>
    <s v="DERECHA"/>
    <s v="DERECHA"/>
    <s v="IZQUIERDA"/>
    <n v="0"/>
    <n v="1"/>
  </r>
  <r>
    <x v="1"/>
    <n v="2"/>
    <n v="8"/>
    <x v="0"/>
    <x v="1"/>
    <x v="1"/>
    <x v="1"/>
    <s v="IZQUIERDA"/>
    <s v="DERECHA"/>
    <s v="DERECHA"/>
    <s v="IZQUIERDA"/>
    <n v="1"/>
    <n v="0"/>
  </r>
  <r>
    <x v="1"/>
    <n v="2"/>
    <n v="9"/>
    <x v="0"/>
    <x v="1"/>
    <x v="1"/>
    <x v="1"/>
    <s v="IZQUIERDA"/>
    <s v="DERECHA"/>
    <s v="DERECHA"/>
    <s v="IZQUIERDA"/>
    <n v="0"/>
    <n v="1"/>
  </r>
  <r>
    <x v="1"/>
    <n v="2"/>
    <n v="10"/>
    <x v="0"/>
    <x v="1"/>
    <x v="1"/>
    <x v="1"/>
    <s v="IZQUIERDA"/>
    <s v="DERECHA"/>
    <s v="DERECHA"/>
    <s v="IZQUIERDA"/>
    <n v="1"/>
    <n v="0"/>
  </r>
  <r>
    <x v="1"/>
    <n v="2"/>
    <n v="11"/>
    <x v="0"/>
    <x v="1"/>
    <x v="1"/>
    <x v="1"/>
    <s v="IZQUIERDA"/>
    <s v="DERECHA"/>
    <s v="DERECHA"/>
    <s v="IZQUIERDA"/>
    <n v="0"/>
    <n v="1"/>
  </r>
  <r>
    <x v="1"/>
    <n v="2"/>
    <n v="12"/>
    <x v="0"/>
    <x v="1"/>
    <x v="1"/>
    <x v="1"/>
    <s v="IZQUIERDA"/>
    <s v="DERECHA"/>
    <s v="DERECHA"/>
    <s v="IZQUIERDA"/>
    <n v="1"/>
    <n v="0"/>
  </r>
  <r>
    <x v="2"/>
    <n v="2"/>
    <n v="1"/>
    <x v="1"/>
    <x v="2"/>
    <x v="2"/>
    <x v="2"/>
    <s v="DERECHA"/>
    <s v="IZQUIERDA"/>
    <s v="DERECHA"/>
    <s v="IZQUIERDA"/>
    <n v="1"/>
    <n v="0"/>
  </r>
  <r>
    <x v="2"/>
    <n v="2"/>
    <n v="2"/>
    <x v="1"/>
    <x v="2"/>
    <x v="2"/>
    <x v="2"/>
    <s v="DERECHA"/>
    <s v="IZQUIERDA"/>
    <s v="DERECHA"/>
    <s v="IZQUIERDA"/>
    <n v="1"/>
    <n v="0"/>
  </r>
  <r>
    <x v="2"/>
    <n v="2"/>
    <n v="3"/>
    <x v="1"/>
    <x v="2"/>
    <x v="2"/>
    <x v="2"/>
    <s v="DERECHA"/>
    <s v="IZQUIERDA"/>
    <s v="DERECHA"/>
    <s v="IZQUIERDA"/>
    <n v="0"/>
    <n v="1"/>
  </r>
  <r>
    <x v="2"/>
    <n v="2"/>
    <n v="4"/>
    <x v="1"/>
    <x v="2"/>
    <x v="2"/>
    <x v="2"/>
    <s v="DERECHA"/>
    <s v="IZQUIERDA"/>
    <s v="DERECHA"/>
    <s v="IZQUIERDA"/>
    <n v="0"/>
    <n v="1"/>
  </r>
  <r>
    <x v="2"/>
    <n v="2"/>
    <n v="5"/>
    <x v="1"/>
    <x v="2"/>
    <x v="2"/>
    <x v="2"/>
    <s v="DERECHA"/>
    <s v="IZQUIERDA"/>
    <s v="DERECHA"/>
    <s v="IZQUIERDA"/>
    <n v="0"/>
    <n v="1"/>
  </r>
  <r>
    <x v="2"/>
    <n v="2"/>
    <n v="6"/>
    <x v="1"/>
    <x v="2"/>
    <x v="2"/>
    <x v="2"/>
    <s v="DERECHA"/>
    <s v="IZQUIERDA"/>
    <s v="DERECHA"/>
    <s v="IZQUIERDA"/>
    <n v="0"/>
    <n v="1"/>
  </r>
  <r>
    <x v="2"/>
    <n v="2"/>
    <n v="7"/>
    <x v="1"/>
    <x v="2"/>
    <x v="2"/>
    <x v="2"/>
    <s v="DERECHA"/>
    <s v="IZQUIERDA"/>
    <s v="DERECHA"/>
    <s v="IZQUIERDA"/>
    <n v="1"/>
    <n v="0"/>
  </r>
  <r>
    <x v="2"/>
    <n v="2"/>
    <n v="8"/>
    <x v="1"/>
    <x v="2"/>
    <x v="2"/>
    <x v="2"/>
    <s v="DERECHA"/>
    <s v="IZQUIERDA"/>
    <s v="DERECHA"/>
    <s v="IZQUIERDA"/>
    <n v="1"/>
    <n v="0"/>
  </r>
  <r>
    <x v="2"/>
    <n v="2"/>
    <n v="9"/>
    <x v="1"/>
    <x v="2"/>
    <x v="2"/>
    <x v="2"/>
    <s v="DERECHA"/>
    <s v="IZQUIERDA"/>
    <s v="DERECHA"/>
    <s v="IZQUIERDA"/>
    <n v="1"/>
    <n v="0"/>
  </r>
  <r>
    <x v="2"/>
    <n v="2"/>
    <n v="10"/>
    <x v="1"/>
    <x v="2"/>
    <x v="2"/>
    <x v="2"/>
    <s v="DERECHA"/>
    <s v="IZQUIERDA"/>
    <s v="DERECHA"/>
    <s v="IZQUIERDA"/>
    <n v="1"/>
    <n v="0"/>
  </r>
  <r>
    <x v="2"/>
    <n v="2"/>
    <n v="11"/>
    <x v="1"/>
    <x v="2"/>
    <x v="2"/>
    <x v="2"/>
    <s v="DERECHA"/>
    <s v="IZQUIERDA"/>
    <s v="DERECHA"/>
    <s v="IZQUIERDA"/>
    <n v="1"/>
    <n v="0"/>
  </r>
  <r>
    <x v="3"/>
    <n v="2"/>
    <n v="1"/>
    <x v="2"/>
    <x v="3"/>
    <x v="3"/>
    <x v="3"/>
    <s v="DERECHA"/>
    <s v="IZQUIERDA"/>
    <s v="IZQUIERDA"/>
    <s v="DERECHA"/>
    <n v="0"/>
    <n v="1"/>
  </r>
  <r>
    <x v="3"/>
    <n v="2"/>
    <n v="2"/>
    <x v="2"/>
    <x v="3"/>
    <x v="3"/>
    <x v="3"/>
    <s v="DERECHA"/>
    <s v="IZQUIERDA"/>
    <s v="IZQUIERDA"/>
    <s v="DERECHA"/>
    <n v="1"/>
    <n v="0"/>
  </r>
  <r>
    <x v="3"/>
    <n v="2"/>
    <n v="3"/>
    <x v="2"/>
    <x v="3"/>
    <x v="3"/>
    <x v="3"/>
    <s v="DERECHA"/>
    <s v="IZQUIERDA"/>
    <s v="IZQUIERDA"/>
    <s v="DERECHA"/>
    <n v="1"/>
    <n v="0"/>
  </r>
  <r>
    <x v="3"/>
    <n v="2"/>
    <n v="4"/>
    <x v="2"/>
    <x v="3"/>
    <x v="3"/>
    <x v="3"/>
    <s v="DERECHA"/>
    <s v="IZQUIERDA"/>
    <s v="IZQUIERDA"/>
    <s v="DERECHA"/>
    <n v="1"/>
    <n v="0"/>
  </r>
  <r>
    <x v="3"/>
    <n v="2"/>
    <n v="5"/>
    <x v="2"/>
    <x v="3"/>
    <x v="3"/>
    <x v="3"/>
    <s v="DERECHA"/>
    <s v="IZQUIERDA"/>
    <s v="IZQUIERDA"/>
    <s v="DERECHA"/>
    <n v="1"/>
    <n v="0"/>
  </r>
  <r>
    <x v="3"/>
    <n v="2"/>
    <n v="6"/>
    <x v="2"/>
    <x v="3"/>
    <x v="3"/>
    <x v="3"/>
    <s v="DERECHA"/>
    <s v="IZQUIERDA"/>
    <s v="IZQUIERDA"/>
    <s v="DERECHA"/>
    <n v="1"/>
    <n v="0"/>
  </r>
  <r>
    <x v="3"/>
    <n v="2"/>
    <n v="7"/>
    <x v="2"/>
    <x v="3"/>
    <x v="3"/>
    <x v="3"/>
    <s v="DERECHA"/>
    <s v="IZQUIERDA"/>
    <s v="IZQUIERDA"/>
    <s v="DERECHA"/>
    <n v="1"/>
    <n v="0"/>
  </r>
  <r>
    <x v="3"/>
    <n v="2"/>
    <n v="8"/>
    <x v="2"/>
    <x v="3"/>
    <x v="3"/>
    <x v="3"/>
    <s v="DERECHA"/>
    <s v="IZQUIERDA"/>
    <s v="IZQUIERDA"/>
    <s v="DERECHA"/>
    <n v="0"/>
    <n v="1"/>
  </r>
  <r>
    <x v="3"/>
    <n v="2"/>
    <n v="9"/>
    <x v="2"/>
    <x v="3"/>
    <x v="3"/>
    <x v="3"/>
    <s v="DERECHA"/>
    <s v="IZQUIERDA"/>
    <s v="IZQUIERDA"/>
    <s v="DERECHA"/>
    <n v="1"/>
    <n v="0"/>
  </r>
  <r>
    <x v="4"/>
    <n v="2"/>
    <n v="1"/>
    <x v="3"/>
    <x v="4"/>
    <x v="2"/>
    <x v="4"/>
    <s v="IZQUIERDA"/>
    <s v="DERECHA"/>
    <s v="DERECHA"/>
    <s v="IZQUIERDA"/>
    <n v="0"/>
    <n v="1"/>
  </r>
  <r>
    <x v="4"/>
    <n v="2"/>
    <n v="2"/>
    <x v="3"/>
    <x v="4"/>
    <x v="2"/>
    <x v="4"/>
    <s v="IZQUIERDA"/>
    <s v="DERECHA"/>
    <s v="DERECHA"/>
    <s v="IZQUIERDA"/>
    <n v="1"/>
    <n v="0"/>
  </r>
  <r>
    <x v="4"/>
    <n v="2"/>
    <n v="3"/>
    <x v="3"/>
    <x v="4"/>
    <x v="2"/>
    <x v="4"/>
    <s v="IZQUIERDA"/>
    <s v="DERECHA"/>
    <s v="DERECHA"/>
    <s v="IZQUIERDA"/>
    <n v="1"/>
    <n v="0"/>
  </r>
  <r>
    <x v="4"/>
    <n v="2"/>
    <n v="4"/>
    <x v="3"/>
    <x v="4"/>
    <x v="2"/>
    <x v="4"/>
    <s v="IZQUIERDA"/>
    <s v="DERECHA"/>
    <s v="DERECHA"/>
    <s v="IZQUIERDA"/>
    <n v="1"/>
    <n v="0"/>
  </r>
  <r>
    <x v="4"/>
    <n v="2"/>
    <n v="5"/>
    <x v="3"/>
    <x v="4"/>
    <x v="2"/>
    <x v="4"/>
    <s v="IZQUIERDA"/>
    <s v="DERECHA"/>
    <s v="DERECHA"/>
    <s v="IZQUIERDA"/>
    <n v="0"/>
    <n v="1"/>
  </r>
  <r>
    <x v="4"/>
    <n v="2"/>
    <n v="6"/>
    <x v="3"/>
    <x v="4"/>
    <x v="2"/>
    <x v="4"/>
    <s v="IZQUIERDA"/>
    <s v="DERECHA"/>
    <s v="DERECHA"/>
    <s v="IZQUIERDA"/>
    <n v="1"/>
    <n v="0"/>
  </r>
  <r>
    <x v="4"/>
    <n v="2"/>
    <n v="7"/>
    <x v="3"/>
    <x v="4"/>
    <x v="2"/>
    <x v="4"/>
    <s v="IZQUIERDA"/>
    <s v="DERECHA"/>
    <s v="DERECHA"/>
    <s v="IZQUIERDA"/>
    <n v="1"/>
    <n v="0"/>
  </r>
  <r>
    <x v="4"/>
    <n v="2"/>
    <n v="8"/>
    <x v="3"/>
    <x v="4"/>
    <x v="2"/>
    <x v="4"/>
    <s v="IZQUIERDA"/>
    <s v="DERECHA"/>
    <s v="DERECHA"/>
    <s v="IZQUIERDA"/>
    <n v="0"/>
    <n v="1"/>
  </r>
  <r>
    <x v="4"/>
    <n v="2"/>
    <n v="9"/>
    <x v="3"/>
    <x v="4"/>
    <x v="2"/>
    <x v="4"/>
    <s v="IZQUIERDA"/>
    <s v="DERECHA"/>
    <s v="DERECHA"/>
    <s v="IZQUIERDA"/>
    <n v="0"/>
    <n v="1"/>
  </r>
  <r>
    <x v="4"/>
    <n v="2"/>
    <n v="10"/>
    <x v="3"/>
    <x v="4"/>
    <x v="2"/>
    <x v="4"/>
    <s v="IZQUIERDA"/>
    <s v="DERECHA"/>
    <s v="DERECHA"/>
    <s v="IZQUIERDA"/>
    <n v="1"/>
    <n v="0"/>
  </r>
  <r>
    <x v="4"/>
    <n v="2"/>
    <n v="11"/>
    <x v="3"/>
    <x v="4"/>
    <x v="2"/>
    <x v="4"/>
    <s v="IZQUIERDA"/>
    <s v="DERECHA"/>
    <s v="DERECHA"/>
    <s v="IZQUIERDA"/>
    <n v="0"/>
    <n v="1"/>
  </r>
  <r>
    <x v="4"/>
    <n v="2"/>
    <n v="12"/>
    <x v="3"/>
    <x v="4"/>
    <x v="2"/>
    <x v="4"/>
    <s v="IZQUIERDA"/>
    <s v="DERECHA"/>
    <s v="DERECHA"/>
    <s v="IZQUIERDA"/>
    <n v="0"/>
    <n v="1"/>
  </r>
  <r>
    <x v="5"/>
    <n v="2"/>
    <n v="1"/>
    <x v="3"/>
    <x v="5"/>
    <x v="4"/>
    <x v="5"/>
    <s v="IZQUIERDA"/>
    <s v="DERECHA"/>
    <s v="DERECHA"/>
    <s v="IZQUIERDA"/>
    <n v="0"/>
    <n v="1"/>
  </r>
  <r>
    <x v="5"/>
    <n v="2"/>
    <n v="2"/>
    <x v="3"/>
    <x v="5"/>
    <x v="4"/>
    <x v="5"/>
    <s v="IZQUIERDA"/>
    <s v="DERECHA"/>
    <s v="DERECHA"/>
    <s v="IZQUIERDA"/>
    <n v="0"/>
    <n v="1"/>
  </r>
  <r>
    <x v="5"/>
    <n v="2"/>
    <n v="3"/>
    <x v="3"/>
    <x v="5"/>
    <x v="4"/>
    <x v="5"/>
    <s v="IZQUIERDA"/>
    <s v="DERECHA"/>
    <s v="DERECHA"/>
    <s v="IZQUIERDA"/>
    <n v="0"/>
    <n v="1"/>
  </r>
  <r>
    <x v="5"/>
    <n v="2"/>
    <n v="4"/>
    <x v="3"/>
    <x v="5"/>
    <x v="4"/>
    <x v="5"/>
    <s v="IZQUIERDA"/>
    <s v="DERECHA"/>
    <s v="DERECHA"/>
    <s v="IZQUIERDA"/>
    <n v="1"/>
    <n v="0"/>
  </r>
  <r>
    <x v="5"/>
    <n v="2"/>
    <n v="5"/>
    <x v="3"/>
    <x v="5"/>
    <x v="4"/>
    <x v="5"/>
    <s v="IZQUIERDA"/>
    <s v="DERECHA"/>
    <s v="DERECHA"/>
    <s v="IZQUIERDA"/>
    <n v="0"/>
    <n v="1"/>
  </r>
  <r>
    <x v="5"/>
    <n v="2"/>
    <n v="6"/>
    <x v="3"/>
    <x v="5"/>
    <x v="4"/>
    <x v="5"/>
    <s v="IZQUIERDA"/>
    <s v="DERECHA"/>
    <s v="DERECHA"/>
    <s v="IZQUIERDA"/>
    <n v="0"/>
    <n v="1"/>
  </r>
  <r>
    <x v="5"/>
    <n v="2"/>
    <n v="7"/>
    <x v="3"/>
    <x v="5"/>
    <x v="4"/>
    <x v="5"/>
    <s v="IZQUIERDA"/>
    <s v="DERECHA"/>
    <s v="DERECHA"/>
    <s v="IZQUIERDA"/>
    <n v="0"/>
    <n v="1"/>
  </r>
  <r>
    <x v="5"/>
    <n v="2"/>
    <n v="8"/>
    <x v="3"/>
    <x v="5"/>
    <x v="4"/>
    <x v="5"/>
    <s v="IZQUIERDA"/>
    <s v="DERECHA"/>
    <s v="DERECHA"/>
    <s v="IZQUIERDA"/>
    <n v="0"/>
    <n v="1"/>
  </r>
  <r>
    <x v="6"/>
    <n v="2"/>
    <n v="1"/>
    <x v="4"/>
    <x v="6"/>
    <x v="5"/>
    <x v="3"/>
    <s v="IZQUIERDA"/>
    <s v="DERECHA"/>
    <s v="IZQUIERDA"/>
    <s v="DERECHA"/>
    <n v="0"/>
    <n v="1"/>
  </r>
  <r>
    <x v="6"/>
    <n v="2"/>
    <n v="2"/>
    <x v="4"/>
    <x v="6"/>
    <x v="5"/>
    <x v="3"/>
    <s v="IZQUIERDA"/>
    <s v="DERECHA"/>
    <s v="IZQUIERDA"/>
    <s v="DERECHA"/>
    <n v="0"/>
    <n v="1"/>
  </r>
  <r>
    <x v="6"/>
    <n v="2"/>
    <n v="3"/>
    <x v="4"/>
    <x v="6"/>
    <x v="5"/>
    <x v="3"/>
    <s v="IZQUIERDA"/>
    <s v="DERECHA"/>
    <s v="IZQUIERDA"/>
    <s v="DERECHA"/>
    <n v="0"/>
    <n v="1"/>
  </r>
  <r>
    <x v="6"/>
    <n v="2"/>
    <n v="4"/>
    <x v="4"/>
    <x v="6"/>
    <x v="5"/>
    <x v="3"/>
    <s v="IZQUIERDA"/>
    <s v="DERECHA"/>
    <s v="IZQUIERDA"/>
    <s v="DERECHA"/>
    <n v="0"/>
    <n v="1"/>
  </r>
  <r>
    <x v="6"/>
    <n v="2"/>
    <n v="5"/>
    <x v="4"/>
    <x v="6"/>
    <x v="5"/>
    <x v="3"/>
    <s v="IZQUIERDA"/>
    <s v="DERECHA"/>
    <s v="IZQUIERDA"/>
    <s v="DERECHA"/>
    <n v="1"/>
    <n v="0"/>
  </r>
  <r>
    <x v="6"/>
    <n v="2"/>
    <n v="6"/>
    <x v="4"/>
    <x v="6"/>
    <x v="5"/>
    <x v="3"/>
    <s v="IZQUIERDA"/>
    <s v="DERECHA"/>
    <s v="IZQUIERDA"/>
    <s v="DERECHA"/>
    <n v="1"/>
    <n v="0"/>
  </r>
  <r>
    <x v="6"/>
    <n v="2"/>
    <n v="7"/>
    <x v="4"/>
    <x v="6"/>
    <x v="5"/>
    <x v="3"/>
    <s v="IZQUIERDA"/>
    <s v="DERECHA"/>
    <s v="IZQUIERDA"/>
    <s v="DERECHA"/>
    <n v="0"/>
    <n v="1"/>
  </r>
  <r>
    <x v="6"/>
    <n v="2"/>
    <n v="8"/>
    <x v="4"/>
    <x v="6"/>
    <x v="5"/>
    <x v="3"/>
    <s v="IZQUIERDA"/>
    <s v="DERECHA"/>
    <s v="IZQUIERDA"/>
    <s v="DERECHA"/>
    <n v="1"/>
    <n v="0"/>
  </r>
  <r>
    <x v="6"/>
    <n v="2"/>
    <n v="9"/>
    <x v="4"/>
    <x v="6"/>
    <x v="5"/>
    <x v="3"/>
    <s v="IZQUIERDA"/>
    <s v="DERECHA"/>
    <s v="IZQUIERDA"/>
    <s v="DERECHA"/>
    <n v="1"/>
    <n v="0"/>
  </r>
  <r>
    <x v="6"/>
    <n v="2"/>
    <n v="10"/>
    <x v="4"/>
    <x v="6"/>
    <x v="5"/>
    <x v="3"/>
    <s v="IZQUIERDA"/>
    <s v="DERECHA"/>
    <s v="IZQUIERDA"/>
    <s v="DERECHA"/>
    <n v="1"/>
    <n v="0"/>
  </r>
  <r>
    <x v="6"/>
    <n v="2"/>
    <n v="11"/>
    <x v="4"/>
    <x v="6"/>
    <x v="5"/>
    <x v="3"/>
    <s v="IZQUIERDA"/>
    <s v="DERECHA"/>
    <s v="IZQUIERDA"/>
    <s v="DERECHA"/>
    <n v="0"/>
    <n v="1"/>
  </r>
  <r>
    <x v="6"/>
    <n v="2"/>
    <n v="12"/>
    <x v="4"/>
    <x v="6"/>
    <x v="5"/>
    <x v="3"/>
    <s v="IZQUIERDA"/>
    <s v="DERECHA"/>
    <s v="IZQUIERDA"/>
    <s v="DERECHA"/>
    <n v="0"/>
    <n v="1"/>
  </r>
  <r>
    <x v="7"/>
    <n v="2"/>
    <n v="1"/>
    <x v="5"/>
    <x v="7"/>
    <x v="6"/>
    <x v="6"/>
    <s v="DERECHA"/>
    <s v="IZQUIERDA"/>
    <s v="DERECHA"/>
    <s v="IZQUIERDA"/>
    <n v="0"/>
    <n v="1"/>
  </r>
  <r>
    <x v="7"/>
    <n v="2"/>
    <n v="2"/>
    <x v="5"/>
    <x v="7"/>
    <x v="6"/>
    <x v="6"/>
    <s v="DERECHA"/>
    <s v="IZQUIERDA"/>
    <s v="DERECHA"/>
    <s v="IZQUIERDA"/>
    <n v="0"/>
    <n v="1"/>
  </r>
  <r>
    <x v="7"/>
    <n v="2"/>
    <n v="3"/>
    <x v="5"/>
    <x v="7"/>
    <x v="6"/>
    <x v="6"/>
    <s v="DERECHA"/>
    <s v="IZQUIERDA"/>
    <s v="DERECHA"/>
    <s v="IZQUIERDA"/>
    <n v="0"/>
    <n v="1"/>
  </r>
  <r>
    <x v="7"/>
    <n v="2"/>
    <n v="4"/>
    <x v="5"/>
    <x v="7"/>
    <x v="6"/>
    <x v="6"/>
    <s v="DERECHA"/>
    <s v="IZQUIERDA"/>
    <s v="DERECHA"/>
    <s v="IZQUIERDA"/>
    <n v="0"/>
    <n v="1"/>
  </r>
  <r>
    <x v="7"/>
    <n v="2"/>
    <n v="5"/>
    <x v="5"/>
    <x v="7"/>
    <x v="6"/>
    <x v="6"/>
    <s v="DERECHA"/>
    <s v="IZQUIERDA"/>
    <s v="DERECHA"/>
    <s v="IZQUIERDA"/>
    <n v="1"/>
    <n v="0"/>
  </r>
  <r>
    <x v="7"/>
    <n v="2"/>
    <n v="6"/>
    <x v="5"/>
    <x v="7"/>
    <x v="6"/>
    <x v="6"/>
    <s v="DERECHA"/>
    <s v="IZQUIERDA"/>
    <s v="DERECHA"/>
    <s v="IZQUIERDA"/>
    <n v="0"/>
    <n v="1"/>
  </r>
  <r>
    <x v="7"/>
    <n v="2"/>
    <n v="7"/>
    <x v="5"/>
    <x v="7"/>
    <x v="6"/>
    <x v="6"/>
    <s v="DERECHA"/>
    <s v="IZQUIERDA"/>
    <s v="DERECHA"/>
    <s v="IZQUIERDA"/>
    <n v="0"/>
    <n v="1"/>
  </r>
  <r>
    <x v="7"/>
    <n v="2"/>
    <n v="8"/>
    <x v="5"/>
    <x v="7"/>
    <x v="6"/>
    <x v="6"/>
    <s v="DERECHA"/>
    <s v="IZQUIERDA"/>
    <s v="DERECHA"/>
    <s v="IZQUIERDA"/>
    <n v="1"/>
    <n v="0"/>
  </r>
  <r>
    <x v="7"/>
    <n v="2"/>
    <n v="9"/>
    <x v="5"/>
    <x v="7"/>
    <x v="6"/>
    <x v="6"/>
    <s v="DERECHA"/>
    <s v="IZQUIERDA"/>
    <s v="DERECHA"/>
    <s v="IZQUIERDA"/>
    <n v="1"/>
    <n v="0"/>
  </r>
  <r>
    <x v="7"/>
    <n v="2"/>
    <n v="10"/>
    <x v="5"/>
    <x v="7"/>
    <x v="6"/>
    <x v="6"/>
    <s v="DERECHA"/>
    <s v="IZQUIERDA"/>
    <s v="DERECHA"/>
    <s v="IZQUIERDA"/>
    <n v="0"/>
    <n v="1"/>
  </r>
  <r>
    <x v="8"/>
    <n v="2"/>
    <n v="1"/>
    <x v="6"/>
    <x v="8"/>
    <x v="7"/>
    <x v="7"/>
    <s v="IZQUIERDA"/>
    <s v="DERECHA"/>
    <s v="IZQUIERDA"/>
    <s v="DERECHA"/>
    <n v="0"/>
    <n v="1"/>
  </r>
  <r>
    <x v="8"/>
    <n v="2"/>
    <n v="2"/>
    <x v="6"/>
    <x v="8"/>
    <x v="7"/>
    <x v="7"/>
    <s v="IZQUIERDA"/>
    <s v="DERECHA"/>
    <s v="IZQUIERDA"/>
    <s v="DERECHA"/>
    <n v="1"/>
    <n v="0"/>
  </r>
  <r>
    <x v="8"/>
    <n v="2"/>
    <n v="3"/>
    <x v="6"/>
    <x v="8"/>
    <x v="7"/>
    <x v="7"/>
    <s v="IZQUIERDA"/>
    <s v="DERECHA"/>
    <s v="IZQUIERDA"/>
    <s v="DERECHA"/>
    <n v="1"/>
    <n v="0"/>
  </r>
  <r>
    <x v="8"/>
    <n v="2"/>
    <n v="4"/>
    <x v="6"/>
    <x v="8"/>
    <x v="7"/>
    <x v="7"/>
    <s v="IZQUIERDA"/>
    <s v="DERECHA"/>
    <s v="IZQUIERDA"/>
    <s v="DERECHA"/>
    <n v="1"/>
    <n v="0"/>
  </r>
  <r>
    <x v="8"/>
    <n v="2"/>
    <n v="5"/>
    <x v="6"/>
    <x v="8"/>
    <x v="7"/>
    <x v="7"/>
    <s v="IZQUIERDA"/>
    <s v="DERECHA"/>
    <s v="IZQUIERDA"/>
    <s v="DERECHA"/>
    <n v="1"/>
    <n v="0"/>
  </r>
  <r>
    <x v="8"/>
    <n v="2"/>
    <n v="6"/>
    <x v="6"/>
    <x v="8"/>
    <x v="7"/>
    <x v="7"/>
    <s v="IZQUIERDA"/>
    <s v="DERECHA"/>
    <s v="IZQUIERDA"/>
    <s v="DERECHA"/>
    <n v="1"/>
    <n v="0"/>
  </r>
  <r>
    <x v="8"/>
    <n v="2"/>
    <n v="7"/>
    <x v="6"/>
    <x v="8"/>
    <x v="7"/>
    <x v="7"/>
    <s v="IZQUIERDA"/>
    <s v="DERECHA"/>
    <s v="IZQUIERDA"/>
    <s v="DERECHA"/>
    <n v="0"/>
    <n v="1"/>
  </r>
  <r>
    <x v="8"/>
    <n v="2"/>
    <n v="8"/>
    <x v="6"/>
    <x v="8"/>
    <x v="7"/>
    <x v="7"/>
    <s v="IZQUIERDA"/>
    <s v="DERECHA"/>
    <s v="IZQUIERDA"/>
    <s v="DERECHA"/>
    <n v="0"/>
    <n v="1"/>
  </r>
  <r>
    <x v="8"/>
    <n v="2"/>
    <n v="9"/>
    <x v="6"/>
    <x v="8"/>
    <x v="7"/>
    <x v="7"/>
    <s v="IZQUIERDA"/>
    <s v="DERECHA"/>
    <s v="IZQUIERDA"/>
    <s v="DERECHA"/>
    <n v="0"/>
    <n v="1"/>
  </r>
  <r>
    <x v="8"/>
    <n v="2"/>
    <n v="10"/>
    <x v="6"/>
    <x v="8"/>
    <x v="7"/>
    <x v="7"/>
    <s v="IZQUIERDA"/>
    <s v="DERECHA"/>
    <s v="IZQUIERDA"/>
    <s v="DERECHA"/>
    <n v="1"/>
    <n v="0"/>
  </r>
  <r>
    <x v="8"/>
    <n v="2"/>
    <n v="11"/>
    <x v="6"/>
    <x v="8"/>
    <x v="7"/>
    <x v="7"/>
    <s v="IZQUIERDA"/>
    <s v="DERECHA"/>
    <s v="IZQUIERDA"/>
    <s v="DERECHA"/>
    <n v="1"/>
    <n v="0"/>
  </r>
  <r>
    <x v="9"/>
    <n v="2"/>
    <n v="1"/>
    <x v="7"/>
    <x v="9"/>
    <x v="8"/>
    <x v="8"/>
    <s v="IZQUIERDA"/>
    <s v="DERECHA"/>
    <s v="DERECHA"/>
    <s v="IZQUIERDA"/>
    <n v="1"/>
    <n v="0"/>
  </r>
  <r>
    <x v="9"/>
    <n v="2"/>
    <n v="2"/>
    <x v="7"/>
    <x v="9"/>
    <x v="8"/>
    <x v="8"/>
    <s v="IZQUIERDA"/>
    <s v="DERECHA"/>
    <s v="DERECHA"/>
    <s v="IZQUIERDA"/>
    <n v="0"/>
    <n v="1"/>
  </r>
  <r>
    <x v="9"/>
    <n v="2"/>
    <n v="3"/>
    <x v="7"/>
    <x v="9"/>
    <x v="8"/>
    <x v="8"/>
    <s v="IZQUIERDA"/>
    <s v="DERECHA"/>
    <s v="DERECHA"/>
    <s v="IZQUIERDA"/>
    <n v="0"/>
    <n v="1"/>
  </r>
  <r>
    <x v="9"/>
    <n v="2"/>
    <n v="4"/>
    <x v="7"/>
    <x v="9"/>
    <x v="8"/>
    <x v="8"/>
    <s v="IZQUIERDA"/>
    <s v="DERECHA"/>
    <s v="DERECHA"/>
    <s v="IZQUIERDA"/>
    <n v="0"/>
    <n v="1"/>
  </r>
  <r>
    <x v="9"/>
    <n v="2"/>
    <n v="5"/>
    <x v="7"/>
    <x v="9"/>
    <x v="8"/>
    <x v="8"/>
    <s v="IZQUIERDA"/>
    <s v="DERECHA"/>
    <s v="DERECHA"/>
    <s v="IZQUIERDA"/>
    <n v="1"/>
    <n v="0"/>
  </r>
  <r>
    <x v="9"/>
    <n v="2"/>
    <n v="6"/>
    <x v="7"/>
    <x v="9"/>
    <x v="8"/>
    <x v="8"/>
    <s v="IZQUIERDA"/>
    <s v="DERECHA"/>
    <s v="DERECHA"/>
    <s v="IZQUIERDA"/>
    <n v="1"/>
    <n v="0"/>
  </r>
  <r>
    <x v="9"/>
    <n v="2"/>
    <n v="7"/>
    <x v="7"/>
    <x v="9"/>
    <x v="8"/>
    <x v="8"/>
    <s v="IZQUIERDA"/>
    <s v="DERECHA"/>
    <s v="DERECHA"/>
    <s v="IZQUIERDA"/>
    <n v="1"/>
    <n v="0"/>
  </r>
  <r>
    <x v="9"/>
    <n v="2"/>
    <n v="8"/>
    <x v="7"/>
    <x v="9"/>
    <x v="8"/>
    <x v="8"/>
    <s v="IZQUIERDA"/>
    <s v="DERECHA"/>
    <s v="DERECHA"/>
    <s v="IZQUIERDA"/>
    <n v="0"/>
    <n v="1"/>
  </r>
  <r>
    <x v="9"/>
    <n v="2"/>
    <n v="9"/>
    <x v="7"/>
    <x v="9"/>
    <x v="8"/>
    <x v="8"/>
    <s v="IZQUIERDA"/>
    <s v="DERECHA"/>
    <s v="DERECHA"/>
    <s v="IZQUIERDA"/>
    <n v="1"/>
    <n v="0"/>
  </r>
  <r>
    <x v="9"/>
    <n v="2"/>
    <n v="10"/>
    <x v="7"/>
    <x v="9"/>
    <x v="8"/>
    <x v="8"/>
    <s v="IZQUIERDA"/>
    <s v="DERECHA"/>
    <s v="DERECHA"/>
    <s v="IZQUIERDA"/>
    <n v="0"/>
    <n v="1"/>
  </r>
  <r>
    <x v="9"/>
    <n v="2"/>
    <n v="11"/>
    <x v="7"/>
    <x v="9"/>
    <x v="8"/>
    <x v="8"/>
    <s v="IZQUIERDA"/>
    <s v="DERECHA"/>
    <s v="DERECHA"/>
    <s v="IZQUIERDA"/>
    <n v="1"/>
    <n v="0"/>
  </r>
  <r>
    <x v="9"/>
    <n v="2"/>
    <n v="12"/>
    <x v="7"/>
    <x v="9"/>
    <x v="8"/>
    <x v="8"/>
    <s v="IZQUIERDA"/>
    <s v="DERECHA"/>
    <s v="DERECHA"/>
    <s v="IZQUIERDA"/>
    <n v="0"/>
    <n v="1"/>
  </r>
  <r>
    <x v="9"/>
    <n v="2"/>
    <n v="13"/>
    <x v="7"/>
    <x v="9"/>
    <x v="8"/>
    <x v="8"/>
    <s v="IZQUIERDA"/>
    <s v="DERECHA"/>
    <s v="DERECHA"/>
    <s v="IZQUIERDA"/>
    <n v="1"/>
    <n v="0"/>
  </r>
  <r>
    <x v="10"/>
    <n v="2"/>
    <n v="1"/>
    <x v="5"/>
    <x v="10"/>
    <x v="9"/>
    <x v="9"/>
    <s v="DERECHA"/>
    <s v="IZQUIERDA"/>
    <s v="IZQUIERDA"/>
    <s v="DERECHA"/>
    <n v="1"/>
    <n v="0"/>
  </r>
  <r>
    <x v="10"/>
    <n v="2"/>
    <n v="2"/>
    <x v="5"/>
    <x v="10"/>
    <x v="9"/>
    <x v="9"/>
    <s v="DERECHA"/>
    <s v="IZQUIERDA"/>
    <s v="IZQUIERDA"/>
    <s v="DERECHA"/>
    <n v="1"/>
    <n v="0"/>
  </r>
  <r>
    <x v="10"/>
    <n v="2"/>
    <n v="3"/>
    <x v="5"/>
    <x v="10"/>
    <x v="9"/>
    <x v="9"/>
    <s v="DERECHA"/>
    <s v="IZQUIERDA"/>
    <s v="IZQUIERDA"/>
    <s v="DERECHA"/>
    <n v="1"/>
    <n v="0"/>
  </r>
  <r>
    <x v="10"/>
    <n v="2"/>
    <n v="4"/>
    <x v="5"/>
    <x v="10"/>
    <x v="9"/>
    <x v="9"/>
    <s v="DERECHA"/>
    <s v="IZQUIERDA"/>
    <s v="IZQUIERDA"/>
    <s v="DERECHA"/>
    <n v="1"/>
    <n v="0"/>
  </r>
  <r>
    <x v="10"/>
    <n v="2"/>
    <n v="5"/>
    <x v="5"/>
    <x v="10"/>
    <x v="9"/>
    <x v="9"/>
    <s v="DERECHA"/>
    <s v="IZQUIERDA"/>
    <s v="IZQUIERDA"/>
    <s v="DERECHA"/>
    <n v="0"/>
    <n v="1"/>
  </r>
  <r>
    <x v="10"/>
    <n v="2"/>
    <n v="6"/>
    <x v="5"/>
    <x v="10"/>
    <x v="9"/>
    <x v="9"/>
    <s v="DERECHA"/>
    <s v="IZQUIERDA"/>
    <s v="IZQUIERDA"/>
    <s v="DERECHA"/>
    <n v="0"/>
    <n v="1"/>
  </r>
  <r>
    <x v="10"/>
    <n v="2"/>
    <n v="7"/>
    <x v="5"/>
    <x v="10"/>
    <x v="9"/>
    <x v="9"/>
    <s v="DERECHA"/>
    <s v="IZQUIERDA"/>
    <s v="IZQUIERDA"/>
    <s v="DERECHA"/>
    <n v="1"/>
    <n v="0"/>
  </r>
  <r>
    <x v="10"/>
    <n v="2"/>
    <n v="8"/>
    <x v="5"/>
    <x v="10"/>
    <x v="9"/>
    <x v="9"/>
    <s v="DERECHA"/>
    <s v="IZQUIERDA"/>
    <s v="IZQUIERDA"/>
    <s v="DERECHA"/>
    <n v="0"/>
    <n v="1"/>
  </r>
  <r>
    <x v="10"/>
    <n v="2"/>
    <n v="9"/>
    <x v="5"/>
    <x v="10"/>
    <x v="9"/>
    <x v="9"/>
    <s v="DERECHA"/>
    <s v="IZQUIERDA"/>
    <s v="IZQUIERDA"/>
    <s v="DERECHA"/>
    <n v="0"/>
    <n v="1"/>
  </r>
  <r>
    <x v="10"/>
    <n v="2"/>
    <n v="10"/>
    <x v="5"/>
    <x v="10"/>
    <x v="9"/>
    <x v="9"/>
    <s v="DERECHA"/>
    <s v="IZQUIERDA"/>
    <s v="IZQUIERDA"/>
    <s v="DERECHA"/>
    <n v="0"/>
    <n v="1"/>
  </r>
  <r>
    <x v="10"/>
    <n v="2"/>
    <n v="11"/>
    <x v="5"/>
    <x v="10"/>
    <x v="9"/>
    <x v="9"/>
    <s v="DERECHA"/>
    <s v="IZQUIERDA"/>
    <s v="IZQUIERDA"/>
    <s v="DERECHA"/>
    <n v="0"/>
    <n v="1"/>
  </r>
  <r>
    <x v="10"/>
    <n v="2"/>
    <n v="12"/>
    <x v="5"/>
    <x v="10"/>
    <x v="9"/>
    <x v="9"/>
    <s v="DERECHA"/>
    <s v="IZQUIERDA"/>
    <s v="IZQUIERDA"/>
    <s v="DERECHA"/>
    <n v="1"/>
    <n v="0"/>
  </r>
  <r>
    <x v="10"/>
    <n v="2"/>
    <n v="13"/>
    <x v="5"/>
    <x v="10"/>
    <x v="9"/>
    <x v="9"/>
    <s v="DERECHA"/>
    <s v="IZQUIERDA"/>
    <s v="IZQUIERDA"/>
    <s v="DERECHA"/>
    <n v="0"/>
    <n v="1"/>
  </r>
  <r>
    <x v="11"/>
    <n v="2"/>
    <n v="1"/>
    <x v="3"/>
    <x v="11"/>
    <x v="10"/>
    <x v="0"/>
    <s v="IZQUIERDA"/>
    <s v="DERECHA"/>
    <s v="IZQUIERDA"/>
    <s v="DERECHA"/>
    <n v="0"/>
    <n v="1"/>
  </r>
  <r>
    <x v="11"/>
    <n v="2"/>
    <n v="2"/>
    <x v="3"/>
    <x v="11"/>
    <x v="10"/>
    <x v="0"/>
    <s v="IZQUIERDA"/>
    <s v="DERECHA"/>
    <s v="IZQUIERDA"/>
    <s v="DERECHA"/>
    <n v="1"/>
    <n v="0"/>
  </r>
  <r>
    <x v="11"/>
    <n v="2"/>
    <n v="3"/>
    <x v="3"/>
    <x v="11"/>
    <x v="10"/>
    <x v="0"/>
    <s v="IZQUIERDA"/>
    <s v="DERECHA"/>
    <s v="IZQUIERDA"/>
    <s v="DERECHA"/>
    <n v="0"/>
    <n v="1"/>
  </r>
  <r>
    <x v="11"/>
    <n v="2"/>
    <n v="4"/>
    <x v="3"/>
    <x v="11"/>
    <x v="10"/>
    <x v="0"/>
    <s v="IZQUIERDA"/>
    <s v="DERECHA"/>
    <s v="IZQUIERDA"/>
    <s v="DERECHA"/>
    <n v="1"/>
    <n v="0"/>
  </r>
  <r>
    <x v="11"/>
    <n v="2"/>
    <n v="5"/>
    <x v="3"/>
    <x v="11"/>
    <x v="10"/>
    <x v="0"/>
    <s v="IZQUIERDA"/>
    <s v="DERECHA"/>
    <s v="IZQUIERDA"/>
    <s v="DERECHA"/>
    <n v="0"/>
    <n v="1"/>
  </r>
  <r>
    <x v="11"/>
    <n v="2"/>
    <n v="6"/>
    <x v="3"/>
    <x v="11"/>
    <x v="10"/>
    <x v="0"/>
    <s v="IZQUIERDA"/>
    <s v="DERECHA"/>
    <s v="IZQUIERDA"/>
    <s v="DERECHA"/>
    <n v="0"/>
    <n v="1"/>
  </r>
  <r>
    <x v="11"/>
    <n v="2"/>
    <n v="7"/>
    <x v="3"/>
    <x v="11"/>
    <x v="10"/>
    <x v="0"/>
    <s v="IZQUIERDA"/>
    <s v="DERECHA"/>
    <s v="IZQUIERDA"/>
    <s v="DERECHA"/>
    <n v="0"/>
    <n v="1"/>
  </r>
  <r>
    <x v="11"/>
    <n v="2"/>
    <n v="8"/>
    <x v="3"/>
    <x v="11"/>
    <x v="10"/>
    <x v="0"/>
    <s v="IZQUIERDA"/>
    <s v="DERECHA"/>
    <s v="IZQUIERDA"/>
    <s v="DERECHA"/>
    <n v="0"/>
    <n v="1"/>
  </r>
  <r>
    <x v="11"/>
    <n v="2"/>
    <n v="9"/>
    <x v="3"/>
    <x v="11"/>
    <x v="10"/>
    <x v="0"/>
    <s v="IZQUIERDA"/>
    <s v="DERECHA"/>
    <s v="IZQUIERDA"/>
    <s v="DERECHA"/>
    <n v="1"/>
    <n v="0"/>
  </r>
  <r>
    <x v="11"/>
    <n v="2"/>
    <n v="10"/>
    <x v="3"/>
    <x v="11"/>
    <x v="10"/>
    <x v="0"/>
    <s v="IZQUIERDA"/>
    <s v="DERECHA"/>
    <s v="IZQUIERDA"/>
    <s v="DERECHA"/>
    <n v="1"/>
    <n v="0"/>
  </r>
  <r>
    <x v="11"/>
    <n v="2"/>
    <n v="11"/>
    <x v="3"/>
    <x v="11"/>
    <x v="10"/>
    <x v="0"/>
    <s v="IZQUIERDA"/>
    <s v="DERECHA"/>
    <s v="IZQUIERDA"/>
    <s v="DERECHA"/>
    <n v="0"/>
    <n v="1"/>
  </r>
  <r>
    <x v="12"/>
    <n v="2"/>
    <n v="1"/>
    <x v="8"/>
    <x v="12"/>
    <x v="11"/>
    <x v="2"/>
    <s v="IZQUIERDA"/>
    <s v="DERECHA"/>
    <s v="IZQUIERDA"/>
    <s v="DERECHA"/>
    <n v="0"/>
    <n v="1"/>
  </r>
  <r>
    <x v="12"/>
    <n v="2"/>
    <n v="2"/>
    <x v="8"/>
    <x v="12"/>
    <x v="11"/>
    <x v="2"/>
    <s v="IZQUIERDA"/>
    <s v="DERECHA"/>
    <s v="IZQUIERDA"/>
    <s v="DERECHA"/>
    <n v="0"/>
    <n v="1"/>
  </r>
  <r>
    <x v="12"/>
    <n v="2"/>
    <n v="3"/>
    <x v="8"/>
    <x v="12"/>
    <x v="11"/>
    <x v="2"/>
    <s v="IZQUIERDA"/>
    <s v="DERECHA"/>
    <s v="IZQUIERDA"/>
    <s v="DERECHA"/>
    <n v="0"/>
    <n v="1"/>
  </r>
  <r>
    <x v="12"/>
    <n v="2"/>
    <n v="4"/>
    <x v="8"/>
    <x v="12"/>
    <x v="11"/>
    <x v="2"/>
    <s v="IZQUIERDA"/>
    <s v="DERECHA"/>
    <s v="IZQUIERDA"/>
    <s v="DERECHA"/>
    <n v="0"/>
    <n v="1"/>
  </r>
  <r>
    <x v="12"/>
    <n v="2"/>
    <n v="5"/>
    <x v="8"/>
    <x v="12"/>
    <x v="11"/>
    <x v="2"/>
    <s v="IZQUIERDA"/>
    <s v="DERECHA"/>
    <s v="IZQUIERDA"/>
    <s v="DERECHA"/>
    <n v="0"/>
    <n v="1"/>
  </r>
  <r>
    <x v="12"/>
    <n v="2"/>
    <n v="6"/>
    <x v="8"/>
    <x v="12"/>
    <x v="11"/>
    <x v="2"/>
    <s v="IZQUIERDA"/>
    <s v="DERECHA"/>
    <s v="IZQUIERDA"/>
    <s v="DERECHA"/>
    <n v="1"/>
    <n v="0"/>
  </r>
  <r>
    <x v="12"/>
    <n v="2"/>
    <n v="7"/>
    <x v="8"/>
    <x v="12"/>
    <x v="11"/>
    <x v="2"/>
    <s v="IZQUIERDA"/>
    <s v="DERECHA"/>
    <s v="IZQUIERDA"/>
    <s v="DERECHA"/>
    <n v="1"/>
    <n v="0"/>
  </r>
  <r>
    <x v="12"/>
    <n v="2"/>
    <n v="8"/>
    <x v="8"/>
    <x v="12"/>
    <x v="11"/>
    <x v="2"/>
    <s v="IZQUIERDA"/>
    <s v="DERECHA"/>
    <s v="IZQUIERDA"/>
    <s v="DERECHA"/>
    <n v="0"/>
    <n v="1"/>
  </r>
  <r>
    <x v="12"/>
    <n v="2"/>
    <n v="9"/>
    <x v="8"/>
    <x v="12"/>
    <x v="11"/>
    <x v="2"/>
    <s v="IZQUIERDA"/>
    <s v="DERECHA"/>
    <s v="IZQUIERDA"/>
    <s v="DERECHA"/>
    <n v="0"/>
    <n v="1"/>
  </r>
  <r>
    <x v="13"/>
    <n v="2"/>
    <n v="1"/>
    <x v="2"/>
    <x v="7"/>
    <x v="12"/>
    <x v="10"/>
    <s v="DERECHA"/>
    <s v="IZQUIERDA"/>
    <s v="DERECHA"/>
    <s v="IZQUIERDA"/>
    <n v="1"/>
    <n v="0"/>
  </r>
  <r>
    <x v="13"/>
    <n v="2"/>
    <n v="2"/>
    <x v="2"/>
    <x v="7"/>
    <x v="12"/>
    <x v="10"/>
    <s v="DERECHA"/>
    <s v="IZQUIERDA"/>
    <s v="DERECHA"/>
    <s v="IZQUIERDA"/>
    <n v="1"/>
    <n v="0"/>
  </r>
  <r>
    <x v="13"/>
    <n v="2"/>
    <n v="3"/>
    <x v="2"/>
    <x v="7"/>
    <x v="12"/>
    <x v="10"/>
    <s v="DERECHA"/>
    <s v="IZQUIERDA"/>
    <s v="DERECHA"/>
    <s v="IZQUIERDA"/>
    <n v="0"/>
    <n v="1"/>
  </r>
  <r>
    <x v="13"/>
    <n v="2"/>
    <n v="4"/>
    <x v="2"/>
    <x v="7"/>
    <x v="12"/>
    <x v="10"/>
    <s v="DERECHA"/>
    <s v="IZQUIERDA"/>
    <s v="DERECHA"/>
    <s v="IZQUIERDA"/>
    <n v="1"/>
    <n v="0"/>
  </r>
  <r>
    <x v="13"/>
    <n v="2"/>
    <n v="5"/>
    <x v="2"/>
    <x v="7"/>
    <x v="12"/>
    <x v="10"/>
    <s v="DERECHA"/>
    <s v="IZQUIERDA"/>
    <s v="DERECHA"/>
    <s v="IZQUIERDA"/>
    <n v="0"/>
    <n v="1"/>
  </r>
  <r>
    <x v="13"/>
    <n v="2"/>
    <n v="6"/>
    <x v="2"/>
    <x v="7"/>
    <x v="12"/>
    <x v="10"/>
    <s v="DERECHA"/>
    <s v="IZQUIERDA"/>
    <s v="DERECHA"/>
    <s v="IZQUIERDA"/>
    <n v="1"/>
    <n v="0"/>
  </r>
  <r>
    <x v="13"/>
    <n v="2"/>
    <n v="7"/>
    <x v="2"/>
    <x v="7"/>
    <x v="12"/>
    <x v="10"/>
    <s v="DERECHA"/>
    <s v="IZQUIERDA"/>
    <s v="DERECHA"/>
    <s v="IZQUIERDA"/>
    <n v="1"/>
    <n v="0"/>
  </r>
  <r>
    <x v="13"/>
    <n v="2"/>
    <n v="8"/>
    <x v="2"/>
    <x v="7"/>
    <x v="12"/>
    <x v="10"/>
    <s v="DERECHA"/>
    <s v="IZQUIERDA"/>
    <s v="DERECHA"/>
    <s v="IZQUIERDA"/>
    <n v="1"/>
    <n v="0"/>
  </r>
  <r>
    <x v="13"/>
    <n v="2"/>
    <n v="9"/>
    <x v="2"/>
    <x v="7"/>
    <x v="12"/>
    <x v="10"/>
    <s v="DERECHA"/>
    <s v="IZQUIERDA"/>
    <s v="DERECHA"/>
    <s v="IZQUIERDA"/>
    <n v="1"/>
    <n v="0"/>
  </r>
  <r>
    <x v="14"/>
    <n v="2"/>
    <n v="1"/>
    <x v="9"/>
    <x v="3"/>
    <x v="13"/>
    <x v="5"/>
    <s v="IZQUIERDA"/>
    <s v="DERECHA"/>
    <s v="DERECHA"/>
    <s v="IZQUIERDA"/>
    <n v="0"/>
    <n v="1"/>
  </r>
  <r>
    <x v="14"/>
    <n v="2"/>
    <n v="2"/>
    <x v="9"/>
    <x v="3"/>
    <x v="13"/>
    <x v="5"/>
    <s v="IZQUIERDA"/>
    <s v="DERECHA"/>
    <s v="DERECHA"/>
    <s v="IZQUIERDA"/>
    <n v="1"/>
    <n v="0"/>
  </r>
  <r>
    <x v="14"/>
    <n v="2"/>
    <n v="3"/>
    <x v="9"/>
    <x v="3"/>
    <x v="13"/>
    <x v="5"/>
    <s v="IZQUIERDA"/>
    <s v="DERECHA"/>
    <s v="DERECHA"/>
    <s v="IZQUIERDA"/>
    <n v="0"/>
    <n v="1"/>
  </r>
  <r>
    <x v="14"/>
    <n v="2"/>
    <n v="4"/>
    <x v="9"/>
    <x v="3"/>
    <x v="13"/>
    <x v="5"/>
    <s v="IZQUIERDA"/>
    <s v="DERECHA"/>
    <s v="DERECHA"/>
    <s v="IZQUIERDA"/>
    <n v="1"/>
    <n v="0"/>
  </r>
  <r>
    <x v="14"/>
    <n v="2"/>
    <n v="5"/>
    <x v="9"/>
    <x v="3"/>
    <x v="13"/>
    <x v="5"/>
    <s v="IZQUIERDA"/>
    <s v="DERECHA"/>
    <s v="DERECHA"/>
    <s v="IZQUIERDA"/>
    <n v="0"/>
    <n v="1"/>
  </r>
  <r>
    <x v="14"/>
    <n v="2"/>
    <n v="6"/>
    <x v="9"/>
    <x v="3"/>
    <x v="13"/>
    <x v="5"/>
    <s v="IZQUIERDA"/>
    <s v="DERECHA"/>
    <s v="DERECHA"/>
    <s v="IZQUIERDA"/>
    <n v="1"/>
    <n v="0"/>
  </r>
  <r>
    <x v="14"/>
    <n v="2"/>
    <n v="7"/>
    <x v="9"/>
    <x v="3"/>
    <x v="13"/>
    <x v="5"/>
    <s v="IZQUIERDA"/>
    <s v="DERECHA"/>
    <s v="DERECHA"/>
    <s v="IZQUIERDA"/>
    <n v="0"/>
    <n v="1"/>
  </r>
  <r>
    <x v="14"/>
    <n v="2"/>
    <n v="8"/>
    <x v="9"/>
    <x v="3"/>
    <x v="13"/>
    <x v="5"/>
    <s v="IZQUIERDA"/>
    <s v="DERECHA"/>
    <s v="DERECHA"/>
    <s v="IZQUIERDA"/>
    <n v="0"/>
    <n v="1"/>
  </r>
  <r>
    <x v="14"/>
    <n v="2"/>
    <n v="9"/>
    <x v="9"/>
    <x v="3"/>
    <x v="13"/>
    <x v="5"/>
    <s v="IZQUIERDA"/>
    <s v="DERECHA"/>
    <s v="DERECHA"/>
    <s v="IZQUIERDA"/>
    <n v="1"/>
    <n v="0"/>
  </r>
  <r>
    <x v="14"/>
    <n v="2"/>
    <n v="10"/>
    <x v="9"/>
    <x v="3"/>
    <x v="13"/>
    <x v="5"/>
    <s v="IZQUIERDA"/>
    <s v="DERECHA"/>
    <s v="DERECHA"/>
    <s v="IZQUIERDA"/>
    <n v="1"/>
    <n v="0"/>
  </r>
  <r>
    <x v="14"/>
    <n v="2"/>
    <n v="11"/>
    <x v="9"/>
    <x v="3"/>
    <x v="13"/>
    <x v="5"/>
    <s v="IZQUIERDA"/>
    <s v="DERECHA"/>
    <s v="DERECHA"/>
    <s v="IZQUIERDA"/>
    <n v="1"/>
    <n v="0"/>
  </r>
  <r>
    <x v="14"/>
    <n v="2"/>
    <n v="12"/>
    <x v="9"/>
    <x v="3"/>
    <x v="13"/>
    <x v="5"/>
    <s v="IZQUIERDA"/>
    <s v="DERECHA"/>
    <s v="DERECHA"/>
    <s v="IZQUIERDA"/>
    <n v="1"/>
    <n v="0"/>
  </r>
  <r>
    <x v="15"/>
    <n v="2"/>
    <n v="1"/>
    <x v="4"/>
    <x v="13"/>
    <x v="14"/>
    <x v="11"/>
    <s v="IZQUIERDA"/>
    <s v="DERECHA"/>
    <s v="IZQUIERDA"/>
    <s v="DERECHA"/>
    <n v="0"/>
    <n v="1"/>
  </r>
  <r>
    <x v="15"/>
    <n v="2"/>
    <n v="2"/>
    <x v="4"/>
    <x v="13"/>
    <x v="14"/>
    <x v="11"/>
    <s v="IZQUIERDA"/>
    <s v="DERECHA"/>
    <s v="IZQUIERDA"/>
    <s v="DERECHA"/>
    <n v="0"/>
    <n v="1"/>
  </r>
  <r>
    <x v="15"/>
    <n v="2"/>
    <n v="3"/>
    <x v="4"/>
    <x v="13"/>
    <x v="14"/>
    <x v="11"/>
    <s v="IZQUIERDA"/>
    <s v="DERECHA"/>
    <s v="IZQUIERDA"/>
    <s v="DERECHA"/>
    <n v="1"/>
    <n v="0"/>
  </r>
  <r>
    <x v="15"/>
    <n v="2"/>
    <n v="4"/>
    <x v="4"/>
    <x v="13"/>
    <x v="14"/>
    <x v="11"/>
    <s v="IZQUIERDA"/>
    <s v="DERECHA"/>
    <s v="IZQUIERDA"/>
    <s v="DERECHA"/>
    <n v="1"/>
    <n v="0"/>
  </r>
  <r>
    <x v="15"/>
    <n v="2"/>
    <n v="5"/>
    <x v="4"/>
    <x v="13"/>
    <x v="14"/>
    <x v="11"/>
    <s v="IZQUIERDA"/>
    <s v="DERECHA"/>
    <s v="IZQUIERDA"/>
    <s v="DERECHA"/>
    <n v="0"/>
    <n v="1"/>
  </r>
  <r>
    <x v="15"/>
    <n v="2"/>
    <n v="6"/>
    <x v="4"/>
    <x v="13"/>
    <x v="14"/>
    <x v="11"/>
    <s v="IZQUIERDA"/>
    <s v="DERECHA"/>
    <s v="IZQUIERDA"/>
    <s v="DERECHA"/>
    <n v="1"/>
    <n v="0"/>
  </r>
  <r>
    <x v="15"/>
    <n v="2"/>
    <n v="7"/>
    <x v="4"/>
    <x v="13"/>
    <x v="14"/>
    <x v="11"/>
    <s v="IZQUIERDA"/>
    <s v="DERECHA"/>
    <s v="IZQUIERDA"/>
    <s v="DERECHA"/>
    <n v="0"/>
    <n v="1"/>
  </r>
  <r>
    <x v="15"/>
    <n v="2"/>
    <n v="8"/>
    <x v="4"/>
    <x v="13"/>
    <x v="14"/>
    <x v="11"/>
    <s v="IZQUIERDA"/>
    <s v="DERECHA"/>
    <s v="IZQUIERDA"/>
    <s v="DERECHA"/>
    <n v="0"/>
    <n v="1"/>
  </r>
  <r>
    <x v="15"/>
    <n v="2"/>
    <n v="9"/>
    <x v="4"/>
    <x v="13"/>
    <x v="14"/>
    <x v="11"/>
    <s v="IZQUIERDA"/>
    <s v="DERECHA"/>
    <s v="IZQUIERDA"/>
    <s v="DERECHA"/>
    <n v="0"/>
    <n v="1"/>
  </r>
  <r>
    <x v="15"/>
    <n v="2"/>
    <n v="10"/>
    <x v="4"/>
    <x v="13"/>
    <x v="14"/>
    <x v="11"/>
    <s v="IZQUIERDA"/>
    <s v="DERECHA"/>
    <s v="IZQUIERDA"/>
    <s v="DERECHA"/>
    <n v="0"/>
    <n v="1"/>
  </r>
  <r>
    <x v="16"/>
    <n v="2"/>
    <n v="1"/>
    <x v="10"/>
    <x v="14"/>
    <x v="15"/>
    <x v="7"/>
    <s v="IZQUIERDA"/>
    <s v="DERECHA"/>
    <s v="IZQUIERDA"/>
    <s v="DERECHA"/>
    <n v="0"/>
    <n v="1"/>
  </r>
  <r>
    <x v="16"/>
    <n v="2"/>
    <n v="2"/>
    <x v="10"/>
    <x v="14"/>
    <x v="15"/>
    <x v="7"/>
    <s v="IZQUIERDA"/>
    <s v="DERECHA"/>
    <s v="IZQUIERDA"/>
    <s v="DERECHA"/>
    <n v="1"/>
    <n v="0"/>
  </r>
  <r>
    <x v="16"/>
    <n v="2"/>
    <n v="3"/>
    <x v="10"/>
    <x v="14"/>
    <x v="15"/>
    <x v="7"/>
    <s v="IZQUIERDA"/>
    <s v="DERECHA"/>
    <s v="IZQUIERDA"/>
    <s v="DERECHA"/>
    <n v="1"/>
    <n v="0"/>
  </r>
  <r>
    <x v="16"/>
    <n v="2"/>
    <n v="4"/>
    <x v="10"/>
    <x v="14"/>
    <x v="15"/>
    <x v="7"/>
    <s v="IZQUIERDA"/>
    <s v="DERECHA"/>
    <s v="IZQUIERDA"/>
    <s v="DERECHA"/>
    <n v="1"/>
    <n v="0"/>
  </r>
  <r>
    <x v="16"/>
    <n v="2"/>
    <n v="5"/>
    <x v="10"/>
    <x v="14"/>
    <x v="15"/>
    <x v="7"/>
    <s v="IZQUIERDA"/>
    <s v="DERECHA"/>
    <s v="IZQUIERDA"/>
    <s v="DERECHA"/>
    <n v="0"/>
    <n v="1"/>
  </r>
  <r>
    <x v="16"/>
    <n v="2"/>
    <n v="6"/>
    <x v="10"/>
    <x v="14"/>
    <x v="15"/>
    <x v="7"/>
    <s v="IZQUIERDA"/>
    <s v="DERECHA"/>
    <s v="IZQUIERDA"/>
    <s v="DERECHA"/>
    <n v="0"/>
    <n v="1"/>
  </r>
  <r>
    <x v="16"/>
    <n v="2"/>
    <n v="7"/>
    <x v="10"/>
    <x v="14"/>
    <x v="15"/>
    <x v="7"/>
    <s v="IZQUIERDA"/>
    <s v="DERECHA"/>
    <s v="IZQUIERDA"/>
    <s v="DERECHA"/>
    <n v="1"/>
    <n v="0"/>
  </r>
  <r>
    <x v="16"/>
    <n v="2"/>
    <n v="8"/>
    <x v="10"/>
    <x v="14"/>
    <x v="15"/>
    <x v="7"/>
    <s v="IZQUIERDA"/>
    <s v="DERECHA"/>
    <s v="IZQUIERDA"/>
    <s v="DERECHA"/>
    <n v="0"/>
    <n v="1"/>
  </r>
  <r>
    <x v="16"/>
    <n v="2"/>
    <n v="9"/>
    <x v="10"/>
    <x v="14"/>
    <x v="15"/>
    <x v="7"/>
    <s v="IZQUIERDA"/>
    <s v="DERECHA"/>
    <s v="IZQUIERDA"/>
    <s v="DERECHA"/>
    <n v="1"/>
    <n v="0"/>
  </r>
  <r>
    <x v="16"/>
    <n v="2"/>
    <n v="10"/>
    <x v="10"/>
    <x v="14"/>
    <x v="15"/>
    <x v="7"/>
    <s v="IZQUIERDA"/>
    <s v="DERECHA"/>
    <s v="IZQUIERDA"/>
    <s v="DERECHA"/>
    <n v="1"/>
    <n v="0"/>
  </r>
  <r>
    <x v="16"/>
    <n v="2"/>
    <n v="11"/>
    <x v="10"/>
    <x v="14"/>
    <x v="15"/>
    <x v="7"/>
    <s v="IZQUIERDA"/>
    <s v="DERECHA"/>
    <s v="IZQUIERDA"/>
    <s v="DERECHA"/>
    <n v="0"/>
    <n v="1"/>
  </r>
  <r>
    <x v="16"/>
    <n v="2"/>
    <n v="12"/>
    <x v="10"/>
    <x v="14"/>
    <x v="15"/>
    <x v="7"/>
    <s v="IZQUIERDA"/>
    <s v="DERECHA"/>
    <s v="IZQUIERDA"/>
    <s v="DERECHA"/>
    <n v="0"/>
    <n v="1"/>
  </r>
  <r>
    <x v="16"/>
    <n v="2"/>
    <n v="13"/>
    <x v="10"/>
    <x v="14"/>
    <x v="15"/>
    <x v="7"/>
    <s v="IZQUIERDA"/>
    <s v="DERECHA"/>
    <s v="IZQUIERDA"/>
    <s v="DERECHA"/>
    <n v="1"/>
    <n v="0"/>
  </r>
  <r>
    <x v="17"/>
    <n v="2"/>
    <n v="1"/>
    <x v="11"/>
    <x v="15"/>
    <x v="11"/>
    <x v="12"/>
    <s v="IZQUIERDA"/>
    <s v="DERECHA"/>
    <s v="IZQUIERDA"/>
    <s v="DERECHA"/>
    <n v="1"/>
    <n v="0"/>
  </r>
  <r>
    <x v="17"/>
    <n v="2"/>
    <n v="2"/>
    <x v="11"/>
    <x v="15"/>
    <x v="11"/>
    <x v="12"/>
    <s v="IZQUIERDA"/>
    <s v="DERECHA"/>
    <s v="IZQUIERDA"/>
    <s v="DERECHA"/>
    <n v="0"/>
    <n v="1"/>
  </r>
  <r>
    <x v="17"/>
    <n v="2"/>
    <n v="3"/>
    <x v="11"/>
    <x v="15"/>
    <x v="11"/>
    <x v="12"/>
    <s v="IZQUIERDA"/>
    <s v="DERECHA"/>
    <s v="IZQUIERDA"/>
    <s v="DERECHA"/>
    <n v="1"/>
    <n v="0"/>
  </r>
  <r>
    <x v="17"/>
    <n v="2"/>
    <n v="4"/>
    <x v="11"/>
    <x v="15"/>
    <x v="11"/>
    <x v="12"/>
    <s v="IZQUIERDA"/>
    <s v="DERECHA"/>
    <s v="IZQUIERDA"/>
    <s v="DERECHA"/>
    <n v="0"/>
    <n v="1"/>
  </r>
  <r>
    <x v="17"/>
    <n v="2"/>
    <n v="5"/>
    <x v="11"/>
    <x v="15"/>
    <x v="11"/>
    <x v="12"/>
    <s v="IZQUIERDA"/>
    <s v="DERECHA"/>
    <s v="IZQUIERDA"/>
    <s v="DERECHA"/>
    <n v="0"/>
    <n v="1"/>
  </r>
  <r>
    <x v="17"/>
    <n v="2"/>
    <n v="6"/>
    <x v="11"/>
    <x v="15"/>
    <x v="11"/>
    <x v="12"/>
    <s v="IZQUIERDA"/>
    <s v="DERECHA"/>
    <s v="IZQUIERDA"/>
    <s v="DERECHA"/>
    <n v="0"/>
    <n v="1"/>
  </r>
  <r>
    <x v="17"/>
    <n v="2"/>
    <n v="7"/>
    <x v="11"/>
    <x v="15"/>
    <x v="11"/>
    <x v="12"/>
    <s v="IZQUIERDA"/>
    <s v="DERECHA"/>
    <s v="IZQUIERDA"/>
    <s v="DERECHA"/>
    <n v="0"/>
    <n v="1"/>
  </r>
  <r>
    <x v="17"/>
    <n v="2"/>
    <n v="8"/>
    <x v="11"/>
    <x v="15"/>
    <x v="11"/>
    <x v="12"/>
    <s v="IZQUIERDA"/>
    <s v="DERECHA"/>
    <s v="IZQUIERDA"/>
    <s v="DERECHA"/>
    <n v="0"/>
    <n v="1"/>
  </r>
  <r>
    <x v="17"/>
    <n v="2"/>
    <n v="9"/>
    <x v="11"/>
    <x v="15"/>
    <x v="11"/>
    <x v="12"/>
    <s v="IZQUIERDA"/>
    <s v="DERECHA"/>
    <s v="IZQUIERDA"/>
    <s v="DERECHA"/>
    <n v="0"/>
    <n v="1"/>
  </r>
  <r>
    <x v="18"/>
    <n v="2"/>
    <n v="1"/>
    <x v="12"/>
    <x v="6"/>
    <x v="16"/>
    <x v="1"/>
    <s v="DERECHA"/>
    <s v="IZQUIERDA"/>
    <s v="DERECHA"/>
    <s v="IZQUIERDA"/>
    <n v="0"/>
    <n v="1"/>
  </r>
  <r>
    <x v="18"/>
    <n v="2"/>
    <n v="2"/>
    <x v="12"/>
    <x v="6"/>
    <x v="16"/>
    <x v="1"/>
    <s v="DERECHA"/>
    <s v="IZQUIERDA"/>
    <s v="DERECHA"/>
    <s v="IZQUIERDA"/>
    <n v="1"/>
    <n v="0"/>
  </r>
  <r>
    <x v="18"/>
    <n v="2"/>
    <n v="3"/>
    <x v="12"/>
    <x v="6"/>
    <x v="16"/>
    <x v="1"/>
    <s v="DERECHA"/>
    <s v="IZQUIERDA"/>
    <s v="DERECHA"/>
    <s v="IZQUIERDA"/>
    <n v="1"/>
    <n v="0"/>
  </r>
  <r>
    <x v="18"/>
    <n v="2"/>
    <n v="4"/>
    <x v="12"/>
    <x v="6"/>
    <x v="16"/>
    <x v="1"/>
    <s v="DERECHA"/>
    <s v="IZQUIERDA"/>
    <s v="DERECHA"/>
    <s v="IZQUIERDA"/>
    <n v="0"/>
    <n v="1"/>
  </r>
  <r>
    <x v="18"/>
    <n v="2"/>
    <n v="5"/>
    <x v="12"/>
    <x v="6"/>
    <x v="16"/>
    <x v="1"/>
    <s v="DERECHA"/>
    <s v="IZQUIERDA"/>
    <s v="DERECHA"/>
    <s v="IZQUIERDA"/>
    <n v="0"/>
    <n v="1"/>
  </r>
  <r>
    <x v="18"/>
    <n v="2"/>
    <n v="6"/>
    <x v="12"/>
    <x v="6"/>
    <x v="16"/>
    <x v="1"/>
    <s v="DERECHA"/>
    <s v="IZQUIERDA"/>
    <s v="DERECHA"/>
    <s v="IZQUIERDA"/>
    <n v="1"/>
    <n v="0"/>
  </r>
  <r>
    <x v="18"/>
    <n v="2"/>
    <n v="7"/>
    <x v="12"/>
    <x v="6"/>
    <x v="16"/>
    <x v="1"/>
    <s v="DERECHA"/>
    <s v="IZQUIERDA"/>
    <s v="DERECHA"/>
    <s v="IZQUIERDA"/>
    <n v="1"/>
    <n v="0"/>
  </r>
  <r>
    <x v="18"/>
    <n v="2"/>
    <n v="8"/>
    <x v="12"/>
    <x v="6"/>
    <x v="16"/>
    <x v="1"/>
    <s v="DERECHA"/>
    <s v="IZQUIERDA"/>
    <s v="DERECHA"/>
    <s v="IZQUIERDA"/>
    <n v="0"/>
    <n v="1"/>
  </r>
  <r>
    <x v="18"/>
    <n v="2"/>
    <n v="9"/>
    <x v="12"/>
    <x v="6"/>
    <x v="16"/>
    <x v="1"/>
    <s v="DERECHA"/>
    <s v="IZQUIERDA"/>
    <s v="DERECHA"/>
    <s v="IZQUIERDA"/>
    <n v="0"/>
    <n v="1"/>
  </r>
  <r>
    <x v="18"/>
    <n v="2"/>
    <n v="10"/>
    <x v="12"/>
    <x v="6"/>
    <x v="16"/>
    <x v="1"/>
    <s v="DERECHA"/>
    <s v="IZQUIERDA"/>
    <s v="DERECHA"/>
    <s v="IZQUIERDA"/>
    <n v="0"/>
    <n v="1"/>
  </r>
  <r>
    <x v="18"/>
    <n v="2"/>
    <n v="11"/>
    <x v="12"/>
    <x v="6"/>
    <x v="16"/>
    <x v="1"/>
    <s v="DERECHA"/>
    <s v="IZQUIERDA"/>
    <s v="DERECHA"/>
    <s v="IZQUIERDA"/>
    <n v="0"/>
    <n v="1"/>
  </r>
  <r>
    <x v="19"/>
    <n v="2"/>
    <n v="1"/>
    <x v="13"/>
    <x v="13"/>
    <x v="6"/>
    <x v="13"/>
    <s v="IZQUIERDA"/>
    <s v="DERECHA"/>
    <s v="DERECHA"/>
    <s v="IZQUIERDA"/>
    <n v="1"/>
    <n v="0"/>
  </r>
  <r>
    <x v="19"/>
    <n v="2"/>
    <n v="2"/>
    <x v="13"/>
    <x v="13"/>
    <x v="6"/>
    <x v="13"/>
    <s v="IZQUIERDA"/>
    <s v="DERECHA"/>
    <s v="DERECHA"/>
    <s v="IZQUIERDA"/>
    <n v="0"/>
    <n v="1"/>
  </r>
  <r>
    <x v="19"/>
    <n v="2"/>
    <n v="3"/>
    <x v="13"/>
    <x v="13"/>
    <x v="6"/>
    <x v="13"/>
    <s v="IZQUIERDA"/>
    <s v="DERECHA"/>
    <s v="DERECHA"/>
    <s v="IZQUIERDA"/>
    <n v="0"/>
    <n v="1"/>
  </r>
  <r>
    <x v="19"/>
    <n v="2"/>
    <n v="4"/>
    <x v="13"/>
    <x v="13"/>
    <x v="6"/>
    <x v="13"/>
    <s v="IZQUIERDA"/>
    <s v="DERECHA"/>
    <s v="DERECHA"/>
    <s v="IZQUIERDA"/>
    <n v="1"/>
    <n v="0"/>
  </r>
  <r>
    <x v="19"/>
    <n v="2"/>
    <n v="5"/>
    <x v="13"/>
    <x v="13"/>
    <x v="6"/>
    <x v="13"/>
    <s v="IZQUIERDA"/>
    <s v="DERECHA"/>
    <s v="DERECHA"/>
    <s v="IZQUIERDA"/>
    <n v="0"/>
    <n v="1"/>
  </r>
  <r>
    <x v="19"/>
    <n v="2"/>
    <n v="6"/>
    <x v="13"/>
    <x v="13"/>
    <x v="6"/>
    <x v="13"/>
    <s v="IZQUIERDA"/>
    <s v="DERECHA"/>
    <s v="DERECHA"/>
    <s v="IZQUIERDA"/>
    <n v="1"/>
    <n v="0"/>
  </r>
  <r>
    <x v="19"/>
    <n v="2"/>
    <n v="7"/>
    <x v="13"/>
    <x v="13"/>
    <x v="6"/>
    <x v="13"/>
    <s v="IZQUIERDA"/>
    <s v="DERECHA"/>
    <s v="DERECHA"/>
    <s v="IZQUIERDA"/>
    <n v="0"/>
    <n v="1"/>
  </r>
  <r>
    <x v="19"/>
    <n v="2"/>
    <n v="8"/>
    <x v="13"/>
    <x v="13"/>
    <x v="6"/>
    <x v="13"/>
    <s v="IZQUIERDA"/>
    <s v="DERECHA"/>
    <s v="DERECHA"/>
    <s v="IZQUIERDA"/>
    <n v="1"/>
    <n v="0"/>
  </r>
  <r>
    <x v="19"/>
    <n v="2"/>
    <n v="9"/>
    <x v="13"/>
    <x v="13"/>
    <x v="6"/>
    <x v="13"/>
    <s v="IZQUIERDA"/>
    <s v="DERECHA"/>
    <s v="DERECHA"/>
    <s v="IZQUIERDA"/>
    <n v="0"/>
    <n v="1"/>
  </r>
  <r>
    <x v="19"/>
    <n v="2"/>
    <n v="10"/>
    <x v="13"/>
    <x v="13"/>
    <x v="6"/>
    <x v="13"/>
    <s v="IZQUIERDA"/>
    <s v="DERECHA"/>
    <s v="DERECHA"/>
    <s v="IZQUIERDA"/>
    <n v="0"/>
    <n v="1"/>
  </r>
  <r>
    <x v="19"/>
    <n v="2"/>
    <n v="11"/>
    <x v="13"/>
    <x v="13"/>
    <x v="6"/>
    <x v="13"/>
    <s v="IZQUIERDA"/>
    <s v="DERECHA"/>
    <s v="DERECHA"/>
    <s v="IZQUIERDA"/>
    <n v="0"/>
    <n v="1"/>
  </r>
  <r>
    <x v="20"/>
    <n v="2"/>
    <n v="1"/>
    <x v="14"/>
    <x v="14"/>
    <x v="17"/>
    <x v="14"/>
    <s v="IZQUIERDA"/>
    <s v="DERECHA"/>
    <s v="IZQUIERDA"/>
    <s v="DERECHA"/>
    <n v="1"/>
    <n v="0"/>
  </r>
  <r>
    <x v="20"/>
    <n v="2"/>
    <n v="2"/>
    <x v="14"/>
    <x v="14"/>
    <x v="17"/>
    <x v="14"/>
    <s v="IZQUIERDA"/>
    <s v="DERECHA"/>
    <s v="IZQUIERDA"/>
    <s v="DERECHA"/>
    <n v="1"/>
    <n v="0"/>
  </r>
  <r>
    <x v="20"/>
    <n v="2"/>
    <n v="3"/>
    <x v="14"/>
    <x v="14"/>
    <x v="17"/>
    <x v="14"/>
    <s v="IZQUIERDA"/>
    <s v="DERECHA"/>
    <s v="IZQUIERDA"/>
    <s v="DERECHA"/>
    <n v="1"/>
    <n v="0"/>
  </r>
  <r>
    <x v="20"/>
    <n v="2"/>
    <n v="4"/>
    <x v="14"/>
    <x v="14"/>
    <x v="17"/>
    <x v="14"/>
    <s v="IZQUIERDA"/>
    <s v="DERECHA"/>
    <s v="IZQUIERDA"/>
    <s v="DERECHA"/>
    <n v="1"/>
    <n v="0"/>
  </r>
  <r>
    <x v="20"/>
    <n v="2"/>
    <n v="5"/>
    <x v="14"/>
    <x v="14"/>
    <x v="17"/>
    <x v="14"/>
    <s v="IZQUIERDA"/>
    <s v="DERECHA"/>
    <s v="IZQUIERDA"/>
    <s v="DERECHA"/>
    <n v="1"/>
    <n v="0"/>
  </r>
  <r>
    <x v="20"/>
    <n v="2"/>
    <n v="6"/>
    <x v="14"/>
    <x v="14"/>
    <x v="17"/>
    <x v="14"/>
    <s v="IZQUIERDA"/>
    <s v="DERECHA"/>
    <s v="IZQUIERDA"/>
    <s v="DERECHA"/>
    <n v="1"/>
    <n v="0"/>
  </r>
  <r>
    <x v="20"/>
    <n v="2"/>
    <n v="7"/>
    <x v="14"/>
    <x v="14"/>
    <x v="17"/>
    <x v="14"/>
    <s v="IZQUIERDA"/>
    <s v="DERECHA"/>
    <s v="IZQUIERDA"/>
    <s v="DERECHA"/>
    <n v="0"/>
    <n v="1"/>
  </r>
  <r>
    <x v="20"/>
    <n v="2"/>
    <n v="8"/>
    <x v="14"/>
    <x v="14"/>
    <x v="17"/>
    <x v="14"/>
    <s v="IZQUIERDA"/>
    <s v="DERECHA"/>
    <s v="IZQUIERDA"/>
    <s v="DERECHA"/>
    <n v="0"/>
    <n v="1"/>
  </r>
  <r>
    <x v="20"/>
    <n v="2"/>
    <n v="9"/>
    <x v="14"/>
    <x v="14"/>
    <x v="17"/>
    <x v="14"/>
    <s v="IZQUIERDA"/>
    <s v="DERECHA"/>
    <s v="IZQUIERDA"/>
    <s v="DERECHA"/>
    <n v="1"/>
    <n v="0"/>
  </r>
  <r>
    <x v="21"/>
    <n v="2"/>
    <n v="1"/>
    <x v="15"/>
    <x v="16"/>
    <x v="18"/>
    <x v="15"/>
    <s v="DERECHA"/>
    <s v="IZQUIERDA"/>
    <s v="DERECHA"/>
    <s v="IZQUIERDA"/>
    <n v="0"/>
    <n v="1"/>
  </r>
  <r>
    <x v="21"/>
    <n v="2"/>
    <n v="2"/>
    <x v="15"/>
    <x v="16"/>
    <x v="18"/>
    <x v="15"/>
    <s v="DERECHA"/>
    <s v="IZQUIERDA"/>
    <s v="DERECHA"/>
    <s v="IZQUIERDA"/>
    <n v="0"/>
    <n v="1"/>
  </r>
  <r>
    <x v="21"/>
    <n v="2"/>
    <n v="3"/>
    <x v="15"/>
    <x v="16"/>
    <x v="18"/>
    <x v="15"/>
    <s v="DERECHA"/>
    <s v="IZQUIERDA"/>
    <s v="DERECHA"/>
    <s v="IZQUIERDA"/>
    <n v="0"/>
    <n v="1"/>
  </r>
  <r>
    <x v="21"/>
    <n v="2"/>
    <n v="4"/>
    <x v="15"/>
    <x v="16"/>
    <x v="18"/>
    <x v="15"/>
    <s v="DERECHA"/>
    <s v="IZQUIERDA"/>
    <s v="DERECHA"/>
    <s v="IZQUIERDA"/>
    <n v="0"/>
    <n v="1"/>
  </r>
  <r>
    <x v="21"/>
    <n v="2"/>
    <n v="5"/>
    <x v="15"/>
    <x v="16"/>
    <x v="18"/>
    <x v="15"/>
    <s v="DERECHA"/>
    <s v="IZQUIERDA"/>
    <s v="DERECHA"/>
    <s v="IZQUIERDA"/>
    <n v="0"/>
    <n v="1"/>
  </r>
  <r>
    <x v="21"/>
    <n v="2"/>
    <n v="6"/>
    <x v="15"/>
    <x v="16"/>
    <x v="18"/>
    <x v="15"/>
    <s v="DERECHA"/>
    <s v="IZQUIERDA"/>
    <s v="DERECHA"/>
    <s v="IZQUIERDA"/>
    <n v="1"/>
    <n v="0"/>
  </r>
  <r>
    <x v="21"/>
    <n v="2"/>
    <n v="7"/>
    <x v="15"/>
    <x v="16"/>
    <x v="18"/>
    <x v="15"/>
    <s v="DERECHA"/>
    <s v="IZQUIERDA"/>
    <s v="DERECHA"/>
    <s v="IZQUIERDA"/>
    <n v="1"/>
    <n v="0"/>
  </r>
  <r>
    <x v="21"/>
    <n v="2"/>
    <n v="8"/>
    <x v="15"/>
    <x v="16"/>
    <x v="18"/>
    <x v="15"/>
    <s v="DERECHA"/>
    <s v="IZQUIERDA"/>
    <s v="DERECHA"/>
    <s v="IZQUIERDA"/>
    <n v="0"/>
    <n v="1"/>
  </r>
  <r>
    <x v="21"/>
    <n v="2"/>
    <n v="9"/>
    <x v="15"/>
    <x v="16"/>
    <x v="18"/>
    <x v="15"/>
    <s v="DERECHA"/>
    <s v="IZQUIERDA"/>
    <s v="DERECHA"/>
    <s v="IZQUIERDA"/>
    <n v="0"/>
    <n v="1"/>
  </r>
  <r>
    <x v="21"/>
    <n v="2"/>
    <n v="10"/>
    <x v="15"/>
    <x v="16"/>
    <x v="18"/>
    <x v="15"/>
    <s v="DERECHA"/>
    <s v="IZQUIERDA"/>
    <s v="DERECHA"/>
    <s v="IZQUIERDA"/>
    <m/>
    <m/>
  </r>
  <r>
    <x v="22"/>
    <n v="2"/>
    <n v="1"/>
    <x v="13"/>
    <x v="17"/>
    <x v="8"/>
    <x v="16"/>
    <s v="IZQUIERDA"/>
    <s v="DERECHA"/>
    <s v="DERECHA"/>
    <s v="IZQUIERDA"/>
    <n v="1"/>
    <n v="0"/>
  </r>
  <r>
    <x v="22"/>
    <n v="2"/>
    <n v="2"/>
    <x v="13"/>
    <x v="17"/>
    <x v="8"/>
    <x v="16"/>
    <s v="IZQUIERDA"/>
    <s v="DERECHA"/>
    <s v="DERECHA"/>
    <s v="IZQUIERDA"/>
    <n v="1"/>
    <n v="0"/>
  </r>
  <r>
    <x v="22"/>
    <n v="2"/>
    <n v="3"/>
    <x v="13"/>
    <x v="17"/>
    <x v="8"/>
    <x v="16"/>
    <s v="IZQUIERDA"/>
    <s v="DERECHA"/>
    <s v="DERECHA"/>
    <s v="IZQUIERDA"/>
    <n v="1"/>
    <n v="0"/>
  </r>
  <r>
    <x v="22"/>
    <n v="2"/>
    <n v="4"/>
    <x v="13"/>
    <x v="17"/>
    <x v="8"/>
    <x v="16"/>
    <s v="IZQUIERDA"/>
    <s v="DERECHA"/>
    <s v="DERECHA"/>
    <s v="IZQUIERDA"/>
    <n v="0"/>
    <n v="1"/>
  </r>
  <r>
    <x v="22"/>
    <n v="2"/>
    <n v="5"/>
    <x v="13"/>
    <x v="17"/>
    <x v="8"/>
    <x v="16"/>
    <s v="IZQUIERDA"/>
    <s v="DERECHA"/>
    <s v="DERECHA"/>
    <s v="IZQUIERDA"/>
    <n v="0"/>
    <n v="1"/>
  </r>
  <r>
    <x v="22"/>
    <n v="2"/>
    <n v="6"/>
    <x v="13"/>
    <x v="17"/>
    <x v="8"/>
    <x v="16"/>
    <s v="IZQUIERDA"/>
    <s v="DERECHA"/>
    <s v="DERECHA"/>
    <s v="IZQUIERDA"/>
    <n v="0"/>
    <n v="1"/>
  </r>
  <r>
    <x v="22"/>
    <n v="2"/>
    <n v="7"/>
    <x v="13"/>
    <x v="17"/>
    <x v="8"/>
    <x v="16"/>
    <s v="IZQUIERDA"/>
    <s v="DERECHA"/>
    <s v="DERECHA"/>
    <s v="IZQUIERDA"/>
    <n v="1"/>
    <n v="0"/>
  </r>
  <r>
    <x v="22"/>
    <n v="2"/>
    <n v="8"/>
    <x v="13"/>
    <x v="17"/>
    <x v="8"/>
    <x v="16"/>
    <s v="IZQUIERDA"/>
    <s v="DERECHA"/>
    <s v="DERECHA"/>
    <s v="IZQUIERDA"/>
    <n v="0"/>
    <n v="1"/>
  </r>
  <r>
    <x v="22"/>
    <n v="2"/>
    <n v="9"/>
    <x v="13"/>
    <x v="17"/>
    <x v="8"/>
    <x v="16"/>
    <s v="IZQUIERDA"/>
    <s v="DERECHA"/>
    <s v="DERECHA"/>
    <s v="IZQUIERDA"/>
    <n v="1"/>
    <n v="0"/>
  </r>
  <r>
    <x v="22"/>
    <n v="2"/>
    <n v="10"/>
    <x v="13"/>
    <x v="17"/>
    <x v="8"/>
    <x v="16"/>
    <s v="IZQUIERDA"/>
    <s v="DERECHA"/>
    <s v="DERECHA"/>
    <s v="IZQUIERDA"/>
    <n v="1"/>
    <n v="0"/>
  </r>
  <r>
    <x v="22"/>
    <n v="2"/>
    <n v="11"/>
    <x v="13"/>
    <x v="17"/>
    <x v="8"/>
    <x v="16"/>
    <s v="IZQUIERDA"/>
    <s v="DERECHA"/>
    <s v="DERECHA"/>
    <s v="IZQUIERDA"/>
    <n v="0"/>
    <n v="1"/>
  </r>
  <r>
    <x v="22"/>
    <n v="2"/>
    <n v="12"/>
    <x v="13"/>
    <x v="17"/>
    <x v="8"/>
    <x v="16"/>
    <s v="IZQUIERDA"/>
    <s v="DERECHA"/>
    <s v="DERECHA"/>
    <s v="IZQUIERDA"/>
    <n v="0"/>
    <n v="1"/>
  </r>
  <r>
    <x v="22"/>
    <n v="2"/>
    <n v="13"/>
    <x v="13"/>
    <x v="17"/>
    <x v="8"/>
    <x v="16"/>
    <s v="IZQUIERDA"/>
    <s v="DERECHA"/>
    <s v="DERECHA"/>
    <s v="IZQUIERDA"/>
    <n v="0"/>
    <n v="1"/>
  </r>
  <r>
    <x v="22"/>
    <n v="2"/>
    <n v="14"/>
    <x v="13"/>
    <x v="17"/>
    <x v="8"/>
    <x v="16"/>
    <s v="IZQUIERDA"/>
    <s v="DERECHA"/>
    <s v="DERECHA"/>
    <s v="IZQUIERDA"/>
    <n v="0"/>
    <n v="1"/>
  </r>
  <r>
    <x v="23"/>
    <n v="1"/>
    <n v="1"/>
    <x v="16"/>
    <x v="18"/>
    <x v="19"/>
    <x v="17"/>
    <s v="IZQUIERDA"/>
    <s v="DERECHA"/>
    <s v="IZQUIERDA"/>
    <s v="DERECHA"/>
    <n v="1"/>
    <n v="0"/>
  </r>
  <r>
    <x v="23"/>
    <n v="1"/>
    <n v="2"/>
    <x v="16"/>
    <x v="18"/>
    <x v="19"/>
    <x v="17"/>
    <s v="IZQUIERDA"/>
    <s v="DERECHA"/>
    <s v="IZQUIERDA"/>
    <s v="DERECHA"/>
    <n v="0"/>
    <n v="1"/>
  </r>
  <r>
    <x v="23"/>
    <n v="1"/>
    <n v="3"/>
    <x v="16"/>
    <x v="18"/>
    <x v="19"/>
    <x v="17"/>
    <s v="IZQUIERDA"/>
    <s v="DERECHA"/>
    <s v="IZQUIERDA"/>
    <s v="DERECHA"/>
    <n v="0"/>
    <n v="1"/>
  </r>
  <r>
    <x v="23"/>
    <n v="1"/>
    <n v="4"/>
    <x v="16"/>
    <x v="18"/>
    <x v="19"/>
    <x v="17"/>
    <s v="IZQUIERDA"/>
    <s v="DERECHA"/>
    <s v="IZQUIERDA"/>
    <s v="DERECHA"/>
    <n v="1"/>
    <n v="0"/>
  </r>
  <r>
    <x v="23"/>
    <n v="1"/>
    <n v="5"/>
    <x v="16"/>
    <x v="18"/>
    <x v="19"/>
    <x v="17"/>
    <s v="IZQUIERDA"/>
    <s v="DERECHA"/>
    <s v="IZQUIERDA"/>
    <s v="DERECHA"/>
    <n v="0"/>
    <n v="1"/>
  </r>
  <r>
    <x v="23"/>
    <n v="1"/>
    <n v="6"/>
    <x v="16"/>
    <x v="18"/>
    <x v="19"/>
    <x v="17"/>
    <s v="IZQUIERDA"/>
    <s v="DERECHA"/>
    <s v="IZQUIERDA"/>
    <s v="DERECHA"/>
    <n v="1"/>
    <n v="0"/>
  </r>
  <r>
    <x v="23"/>
    <n v="1"/>
    <n v="7"/>
    <x v="16"/>
    <x v="18"/>
    <x v="19"/>
    <x v="17"/>
    <s v="IZQUIERDA"/>
    <s v="DERECHA"/>
    <s v="IZQUIERDA"/>
    <s v="DERECHA"/>
    <n v="0"/>
    <n v="1"/>
  </r>
  <r>
    <x v="23"/>
    <n v="1"/>
    <n v="8"/>
    <x v="16"/>
    <x v="18"/>
    <x v="19"/>
    <x v="17"/>
    <s v="IZQUIERDA"/>
    <s v="DERECHA"/>
    <s v="IZQUIERDA"/>
    <s v="DERECHA"/>
    <n v="1"/>
    <n v="0"/>
  </r>
  <r>
    <x v="23"/>
    <n v="1"/>
    <n v="9"/>
    <x v="16"/>
    <x v="18"/>
    <x v="19"/>
    <x v="17"/>
    <s v="IZQUIERDA"/>
    <s v="DERECHA"/>
    <s v="IZQUIERDA"/>
    <s v="DERECHA"/>
    <n v="0"/>
    <n v="1"/>
  </r>
  <r>
    <x v="23"/>
    <n v="1"/>
    <n v="10"/>
    <x v="16"/>
    <x v="18"/>
    <x v="19"/>
    <x v="17"/>
    <s v="IZQUIERDA"/>
    <s v="DERECHA"/>
    <s v="IZQUIERDA"/>
    <s v="DERECHA"/>
    <n v="1"/>
    <n v="0"/>
  </r>
  <r>
    <x v="23"/>
    <n v="1"/>
    <n v="11"/>
    <x v="16"/>
    <x v="18"/>
    <x v="19"/>
    <x v="17"/>
    <s v="IZQUIERDA"/>
    <s v="DERECHA"/>
    <s v="IZQUIERDA"/>
    <s v="DERECHA"/>
    <n v="1"/>
    <n v="0"/>
  </r>
  <r>
    <x v="23"/>
    <n v="1"/>
    <n v="12"/>
    <x v="16"/>
    <x v="18"/>
    <x v="19"/>
    <x v="17"/>
    <s v="IZQUIERDA"/>
    <s v="DERECHA"/>
    <s v="IZQUIERDA"/>
    <s v="DERECHA"/>
    <n v="1"/>
    <n v="0"/>
  </r>
  <r>
    <x v="24"/>
    <n v="1"/>
    <n v="1"/>
    <x v="16"/>
    <x v="18"/>
    <x v="19"/>
    <x v="17"/>
    <s v="DERECHA"/>
    <s v="IZQUIERDA"/>
    <s v="IZQUIERDA"/>
    <s v="DERECHA"/>
    <n v="1"/>
    <n v="0"/>
  </r>
  <r>
    <x v="24"/>
    <n v="1"/>
    <n v="2"/>
    <x v="16"/>
    <x v="18"/>
    <x v="19"/>
    <x v="17"/>
    <s v="DERECHA"/>
    <s v="IZQUIERDA"/>
    <s v="IZQUIERDA"/>
    <s v="DERECHA"/>
    <n v="1"/>
    <n v="0"/>
  </r>
  <r>
    <x v="24"/>
    <n v="1"/>
    <n v="3"/>
    <x v="16"/>
    <x v="18"/>
    <x v="19"/>
    <x v="17"/>
    <s v="DERECHA"/>
    <s v="IZQUIERDA"/>
    <s v="IZQUIERDA"/>
    <s v="DERECHA"/>
    <n v="1"/>
    <n v="0"/>
  </r>
  <r>
    <x v="24"/>
    <n v="1"/>
    <n v="4"/>
    <x v="16"/>
    <x v="18"/>
    <x v="19"/>
    <x v="17"/>
    <s v="DERECHA"/>
    <s v="IZQUIERDA"/>
    <s v="IZQUIERDA"/>
    <s v="DERECHA"/>
    <n v="0"/>
    <n v="1"/>
  </r>
  <r>
    <x v="24"/>
    <n v="1"/>
    <n v="5"/>
    <x v="16"/>
    <x v="18"/>
    <x v="19"/>
    <x v="17"/>
    <s v="DERECHA"/>
    <s v="IZQUIERDA"/>
    <s v="IZQUIERDA"/>
    <s v="DERECHA"/>
    <n v="0"/>
    <n v="1"/>
  </r>
  <r>
    <x v="24"/>
    <n v="1"/>
    <n v="6"/>
    <x v="16"/>
    <x v="18"/>
    <x v="19"/>
    <x v="17"/>
    <s v="DERECHA"/>
    <s v="IZQUIERDA"/>
    <s v="IZQUIERDA"/>
    <s v="DERECHA"/>
    <n v="0"/>
    <n v="1"/>
  </r>
  <r>
    <x v="24"/>
    <n v="1"/>
    <n v="7"/>
    <x v="16"/>
    <x v="18"/>
    <x v="19"/>
    <x v="17"/>
    <s v="DERECHA"/>
    <s v="IZQUIERDA"/>
    <s v="IZQUIERDA"/>
    <s v="DERECHA"/>
    <n v="1"/>
    <n v="0"/>
  </r>
  <r>
    <x v="24"/>
    <n v="1"/>
    <n v="8"/>
    <x v="16"/>
    <x v="18"/>
    <x v="19"/>
    <x v="17"/>
    <s v="DERECHA"/>
    <s v="IZQUIERDA"/>
    <s v="IZQUIERDA"/>
    <s v="DERECHA"/>
    <n v="1"/>
    <n v="0"/>
  </r>
  <r>
    <x v="24"/>
    <n v="1"/>
    <n v="9"/>
    <x v="16"/>
    <x v="18"/>
    <x v="19"/>
    <x v="17"/>
    <s v="DERECHA"/>
    <s v="IZQUIERDA"/>
    <s v="IZQUIERDA"/>
    <s v="DERECHA"/>
    <n v="0"/>
    <n v="1"/>
  </r>
  <r>
    <x v="24"/>
    <n v="1"/>
    <n v="10"/>
    <x v="16"/>
    <x v="18"/>
    <x v="19"/>
    <x v="17"/>
    <s v="DERECHA"/>
    <s v="IZQUIERDA"/>
    <s v="IZQUIERDA"/>
    <s v="DERECHA"/>
    <n v="0"/>
    <n v="1"/>
  </r>
  <r>
    <x v="24"/>
    <n v="1"/>
    <n v="11"/>
    <x v="16"/>
    <x v="18"/>
    <x v="19"/>
    <x v="17"/>
    <s v="DERECHA"/>
    <s v="IZQUIERDA"/>
    <s v="IZQUIERDA"/>
    <s v="DERECHA"/>
    <n v="0"/>
    <n v="1"/>
  </r>
  <r>
    <x v="24"/>
    <n v="1"/>
    <n v="12"/>
    <x v="16"/>
    <x v="18"/>
    <x v="19"/>
    <x v="17"/>
    <s v="DERECHA"/>
    <s v="IZQUIERDA"/>
    <s v="IZQUIERDA"/>
    <s v="DERECHA"/>
    <n v="0"/>
    <n v="1"/>
  </r>
  <r>
    <x v="25"/>
    <n v="1"/>
    <n v="1"/>
    <x v="16"/>
    <x v="18"/>
    <x v="19"/>
    <x v="17"/>
    <s v="IZQUIERDA"/>
    <s v="DERECHA"/>
    <s v="IZQUIERDA"/>
    <s v="DERECHA"/>
    <s v="|"/>
    <n v="0"/>
  </r>
  <r>
    <x v="25"/>
    <n v="1"/>
    <n v="2"/>
    <x v="16"/>
    <x v="18"/>
    <x v="19"/>
    <x v="17"/>
    <s v="IZQUIERDA"/>
    <s v="DERECHA"/>
    <s v="IZQUIERDA"/>
    <s v="DERECHA"/>
    <n v="0"/>
    <n v="1"/>
  </r>
  <r>
    <x v="25"/>
    <n v="1"/>
    <n v="3"/>
    <x v="16"/>
    <x v="18"/>
    <x v="19"/>
    <x v="17"/>
    <s v="IZQUIERDA"/>
    <s v="DERECHA"/>
    <s v="IZQUIERDA"/>
    <s v="DERECHA"/>
    <n v="1"/>
    <n v="0"/>
  </r>
  <r>
    <x v="25"/>
    <n v="1"/>
    <n v="4"/>
    <x v="16"/>
    <x v="18"/>
    <x v="19"/>
    <x v="17"/>
    <s v="IZQUIERDA"/>
    <s v="DERECHA"/>
    <s v="IZQUIERDA"/>
    <s v="DERECHA"/>
    <n v="0"/>
    <n v="1"/>
  </r>
  <r>
    <x v="25"/>
    <n v="1"/>
    <n v="5"/>
    <x v="16"/>
    <x v="18"/>
    <x v="19"/>
    <x v="17"/>
    <s v="IZQUIERDA"/>
    <s v="DERECHA"/>
    <s v="IZQUIERDA"/>
    <s v="DERECHA"/>
    <n v="1"/>
    <n v="0"/>
  </r>
  <r>
    <x v="25"/>
    <n v="1"/>
    <n v="6"/>
    <x v="16"/>
    <x v="18"/>
    <x v="19"/>
    <x v="17"/>
    <s v="IZQUIERDA"/>
    <s v="DERECHA"/>
    <s v="IZQUIERDA"/>
    <s v="DERECHA"/>
    <n v="0"/>
    <n v="1"/>
  </r>
  <r>
    <x v="25"/>
    <n v="1"/>
    <n v="7"/>
    <x v="16"/>
    <x v="18"/>
    <x v="19"/>
    <x v="17"/>
    <s v="IZQUIERDA"/>
    <s v="DERECHA"/>
    <s v="IZQUIERDA"/>
    <s v="DERECHA"/>
    <n v="1"/>
    <n v="0"/>
  </r>
  <r>
    <x v="25"/>
    <n v="1"/>
    <n v="8"/>
    <x v="16"/>
    <x v="18"/>
    <x v="19"/>
    <x v="17"/>
    <s v="IZQUIERDA"/>
    <s v="DERECHA"/>
    <s v="IZQUIERDA"/>
    <s v="DERECHA"/>
    <n v="1"/>
    <n v="0"/>
  </r>
  <r>
    <x v="25"/>
    <n v="1"/>
    <n v="9"/>
    <x v="16"/>
    <x v="18"/>
    <x v="19"/>
    <x v="17"/>
    <s v="IZQUIERDA"/>
    <s v="DERECHA"/>
    <s v="IZQUIERDA"/>
    <s v="DERECHA"/>
    <n v="1"/>
    <n v="0"/>
  </r>
  <r>
    <x v="25"/>
    <n v="1"/>
    <n v="10"/>
    <x v="16"/>
    <x v="18"/>
    <x v="19"/>
    <x v="17"/>
    <s v="IZQUIERDA"/>
    <s v="DERECHA"/>
    <s v="IZQUIERDA"/>
    <s v="DERECHA"/>
    <n v="0"/>
    <n v="1"/>
  </r>
  <r>
    <x v="25"/>
    <n v="1"/>
    <n v="11"/>
    <x v="16"/>
    <x v="18"/>
    <x v="19"/>
    <x v="17"/>
    <s v="IZQUIERDA"/>
    <s v="DERECHA"/>
    <s v="IZQUIERDA"/>
    <s v="DERECHA"/>
    <n v="0"/>
    <n v="1"/>
  </r>
  <r>
    <x v="25"/>
    <n v="1"/>
    <n v="12"/>
    <x v="16"/>
    <x v="18"/>
    <x v="19"/>
    <x v="17"/>
    <s v="IZQUIERDA"/>
    <s v="DERECHA"/>
    <s v="IZQUIERDA"/>
    <s v="DERECHA"/>
    <n v="1"/>
    <n v="0"/>
  </r>
  <r>
    <x v="26"/>
    <n v="1"/>
    <n v="1"/>
    <x v="16"/>
    <x v="18"/>
    <x v="19"/>
    <x v="17"/>
    <s v="DERECHA"/>
    <s v="IZQUIERDA"/>
    <s v="IZQUIERDA"/>
    <s v="DERECHA"/>
    <n v="1"/>
    <n v="0"/>
  </r>
  <r>
    <x v="26"/>
    <n v="1"/>
    <n v="2"/>
    <x v="16"/>
    <x v="18"/>
    <x v="19"/>
    <x v="17"/>
    <s v="DERECHA"/>
    <s v="IZQUIERDA"/>
    <s v="IZQUIERDA"/>
    <s v="DERECHA"/>
    <n v="1"/>
    <n v="0"/>
  </r>
  <r>
    <x v="26"/>
    <n v="1"/>
    <n v="3"/>
    <x v="16"/>
    <x v="18"/>
    <x v="19"/>
    <x v="17"/>
    <s v="DERECHA"/>
    <s v="IZQUIERDA"/>
    <s v="IZQUIERDA"/>
    <s v="DERECHA"/>
    <n v="0"/>
    <n v="1"/>
  </r>
  <r>
    <x v="26"/>
    <n v="1"/>
    <n v="4"/>
    <x v="16"/>
    <x v="18"/>
    <x v="19"/>
    <x v="17"/>
    <s v="DERECHA"/>
    <s v="IZQUIERDA"/>
    <s v="IZQUIERDA"/>
    <s v="DERECHA"/>
    <n v="1"/>
    <n v="0"/>
  </r>
  <r>
    <x v="26"/>
    <n v="1"/>
    <n v="5"/>
    <x v="16"/>
    <x v="18"/>
    <x v="19"/>
    <x v="17"/>
    <s v="DERECHA"/>
    <s v="IZQUIERDA"/>
    <s v="IZQUIERDA"/>
    <s v="DERECHA"/>
    <n v="1"/>
    <n v="0"/>
  </r>
  <r>
    <x v="26"/>
    <n v="1"/>
    <n v="6"/>
    <x v="16"/>
    <x v="18"/>
    <x v="19"/>
    <x v="17"/>
    <s v="DERECHA"/>
    <s v="IZQUIERDA"/>
    <s v="IZQUIERDA"/>
    <s v="DERECHA"/>
    <n v="1"/>
    <n v="0"/>
  </r>
  <r>
    <x v="26"/>
    <n v="1"/>
    <n v="7"/>
    <x v="16"/>
    <x v="18"/>
    <x v="19"/>
    <x v="17"/>
    <s v="DERECHA"/>
    <s v="IZQUIERDA"/>
    <s v="IZQUIERDA"/>
    <s v="DERECHA"/>
    <n v="0"/>
    <n v="1"/>
  </r>
  <r>
    <x v="26"/>
    <n v="1"/>
    <n v="8"/>
    <x v="16"/>
    <x v="18"/>
    <x v="19"/>
    <x v="17"/>
    <s v="DERECHA"/>
    <s v="IZQUIERDA"/>
    <s v="IZQUIERDA"/>
    <s v="DERECHA"/>
    <n v="0"/>
    <n v="1"/>
  </r>
  <r>
    <x v="26"/>
    <n v="1"/>
    <n v="9"/>
    <x v="16"/>
    <x v="18"/>
    <x v="19"/>
    <x v="17"/>
    <s v="DERECHA"/>
    <s v="IZQUIERDA"/>
    <s v="IZQUIERDA"/>
    <s v="DERECHA"/>
    <n v="0"/>
    <n v="1"/>
  </r>
  <r>
    <x v="26"/>
    <n v="1"/>
    <n v="10"/>
    <x v="16"/>
    <x v="18"/>
    <x v="19"/>
    <x v="17"/>
    <s v="DERECHA"/>
    <s v="IZQUIERDA"/>
    <s v="IZQUIERDA"/>
    <s v="DERECHA"/>
    <n v="0"/>
    <n v="1"/>
  </r>
  <r>
    <x v="26"/>
    <n v="1"/>
    <n v="11"/>
    <x v="16"/>
    <x v="18"/>
    <x v="19"/>
    <x v="17"/>
    <s v="DERECHA"/>
    <s v="IZQUIERDA"/>
    <s v="IZQUIERDA"/>
    <s v="DERECHA"/>
    <n v="1"/>
    <n v="0"/>
  </r>
  <r>
    <x v="26"/>
    <n v="1"/>
    <n v="12"/>
    <x v="16"/>
    <x v="18"/>
    <x v="19"/>
    <x v="17"/>
    <s v="DERECHA"/>
    <s v="IZQUIERDA"/>
    <s v="IZQUIERDA"/>
    <s v="DERECHA"/>
    <n v="1"/>
    <n v="0"/>
  </r>
  <r>
    <x v="27"/>
    <n v="1"/>
    <n v="1"/>
    <x v="17"/>
    <x v="19"/>
    <x v="20"/>
    <x v="18"/>
    <s v="IZQUIERDA"/>
    <s v="DERECHA"/>
    <s v="DERECHA"/>
    <s v="IZQUIERDA"/>
    <n v="0"/>
    <n v="1"/>
  </r>
  <r>
    <x v="27"/>
    <n v="1"/>
    <n v="2"/>
    <x v="17"/>
    <x v="19"/>
    <x v="20"/>
    <x v="18"/>
    <s v="IZQUIERDA"/>
    <s v="DERECHA"/>
    <s v="DERECHA"/>
    <s v="IZQUIERDA"/>
    <n v="1"/>
    <n v="0"/>
  </r>
  <r>
    <x v="27"/>
    <n v="1"/>
    <n v="3"/>
    <x v="17"/>
    <x v="19"/>
    <x v="20"/>
    <x v="18"/>
    <s v="IZQUIERDA"/>
    <s v="DERECHA"/>
    <s v="DERECHA"/>
    <s v="IZQUIERDA"/>
    <n v="0"/>
    <n v="1"/>
  </r>
  <r>
    <x v="27"/>
    <n v="1"/>
    <n v="4"/>
    <x v="17"/>
    <x v="19"/>
    <x v="20"/>
    <x v="18"/>
    <s v="IZQUIERDA"/>
    <s v="DERECHA"/>
    <s v="DERECHA"/>
    <s v="IZQUIERDA"/>
    <n v="0"/>
    <n v="1"/>
  </r>
  <r>
    <x v="27"/>
    <n v="1"/>
    <n v="5"/>
    <x v="17"/>
    <x v="19"/>
    <x v="20"/>
    <x v="18"/>
    <s v="IZQUIERDA"/>
    <s v="DERECHA"/>
    <s v="DERECHA"/>
    <s v="IZQUIERDA"/>
    <n v="0"/>
    <n v="1"/>
  </r>
  <r>
    <x v="27"/>
    <n v="1"/>
    <n v="6"/>
    <x v="17"/>
    <x v="19"/>
    <x v="20"/>
    <x v="18"/>
    <s v="IZQUIERDA"/>
    <s v="DERECHA"/>
    <s v="DERECHA"/>
    <s v="IZQUIERDA"/>
    <n v="1"/>
    <n v="0"/>
  </r>
  <r>
    <x v="27"/>
    <n v="1"/>
    <n v="7"/>
    <x v="17"/>
    <x v="19"/>
    <x v="20"/>
    <x v="18"/>
    <s v="IZQUIERDA"/>
    <s v="DERECHA"/>
    <s v="DERECHA"/>
    <s v="IZQUIERDA"/>
    <n v="0"/>
    <n v="1"/>
  </r>
  <r>
    <x v="27"/>
    <n v="1"/>
    <n v="8"/>
    <x v="17"/>
    <x v="19"/>
    <x v="20"/>
    <x v="18"/>
    <s v="IZQUIERDA"/>
    <s v="DERECHA"/>
    <s v="DERECHA"/>
    <s v="IZQUIERDA"/>
    <n v="1"/>
    <n v="0"/>
  </r>
  <r>
    <x v="27"/>
    <n v="1"/>
    <n v="9"/>
    <x v="17"/>
    <x v="19"/>
    <x v="20"/>
    <x v="18"/>
    <s v="IZQUIERDA"/>
    <s v="DERECHA"/>
    <s v="DERECHA"/>
    <s v="IZQUIERDA"/>
    <n v="1"/>
    <n v="0"/>
  </r>
  <r>
    <x v="27"/>
    <n v="1"/>
    <n v="10"/>
    <x v="17"/>
    <x v="19"/>
    <x v="20"/>
    <x v="18"/>
    <s v="IZQUIERDA"/>
    <s v="DERECHA"/>
    <s v="DERECHA"/>
    <s v="IZQUIERDA"/>
    <n v="0"/>
    <n v="1"/>
  </r>
  <r>
    <x v="27"/>
    <n v="1"/>
    <n v="11"/>
    <x v="17"/>
    <x v="19"/>
    <x v="20"/>
    <x v="18"/>
    <s v="IZQUIERDA"/>
    <s v="DERECHA"/>
    <s v="DERECHA"/>
    <s v="IZQUIERDA"/>
    <n v="0"/>
    <n v="1"/>
  </r>
  <r>
    <x v="28"/>
    <n v="1"/>
    <n v="1"/>
    <x v="16"/>
    <x v="18"/>
    <x v="19"/>
    <x v="17"/>
    <s v="DERECHA"/>
    <s v="IZQUIERDA"/>
    <s v="DERECHA"/>
    <s v="IZQUIERDA"/>
    <n v="0"/>
    <n v="1"/>
  </r>
  <r>
    <x v="28"/>
    <n v="1"/>
    <n v="2"/>
    <x v="16"/>
    <x v="18"/>
    <x v="19"/>
    <x v="17"/>
    <s v="DERECHA"/>
    <s v="IZQUIERDA"/>
    <s v="DERECHA"/>
    <s v="IZQUIERDA"/>
    <n v="1"/>
    <n v="0"/>
  </r>
  <r>
    <x v="28"/>
    <n v="1"/>
    <n v="3"/>
    <x v="16"/>
    <x v="18"/>
    <x v="19"/>
    <x v="17"/>
    <s v="DERECHA"/>
    <s v="IZQUIERDA"/>
    <s v="DERECHA"/>
    <s v="IZQUIERDA"/>
    <n v="0"/>
    <n v="1"/>
  </r>
  <r>
    <x v="28"/>
    <n v="1"/>
    <n v="4"/>
    <x v="16"/>
    <x v="18"/>
    <x v="19"/>
    <x v="17"/>
    <s v="DERECHA"/>
    <s v="IZQUIERDA"/>
    <s v="DERECHA"/>
    <s v="IZQUIERDA"/>
    <n v="1"/>
    <n v="0"/>
  </r>
  <r>
    <x v="28"/>
    <n v="1"/>
    <n v="5"/>
    <x v="16"/>
    <x v="18"/>
    <x v="19"/>
    <x v="17"/>
    <s v="DERECHA"/>
    <s v="IZQUIERDA"/>
    <s v="DERECHA"/>
    <s v="IZQUIERDA"/>
    <n v="1"/>
    <n v="0"/>
  </r>
  <r>
    <x v="28"/>
    <n v="1"/>
    <n v="6"/>
    <x v="16"/>
    <x v="18"/>
    <x v="19"/>
    <x v="17"/>
    <s v="DERECHA"/>
    <s v="IZQUIERDA"/>
    <s v="DERECHA"/>
    <s v="IZQUIERDA"/>
    <n v="0"/>
    <n v="1"/>
  </r>
  <r>
    <x v="28"/>
    <n v="1"/>
    <n v="7"/>
    <x v="16"/>
    <x v="18"/>
    <x v="19"/>
    <x v="17"/>
    <s v="DERECHA"/>
    <s v="IZQUIERDA"/>
    <s v="DERECHA"/>
    <s v="IZQUIERDA"/>
    <n v="0"/>
    <n v="1"/>
  </r>
  <r>
    <x v="28"/>
    <n v="1"/>
    <n v="8"/>
    <x v="16"/>
    <x v="18"/>
    <x v="19"/>
    <x v="17"/>
    <s v="DERECHA"/>
    <s v="IZQUIERDA"/>
    <s v="DERECHA"/>
    <s v="IZQUIERDA"/>
    <n v="1"/>
    <n v="0"/>
  </r>
  <r>
    <x v="28"/>
    <n v="1"/>
    <n v="9"/>
    <x v="16"/>
    <x v="18"/>
    <x v="19"/>
    <x v="17"/>
    <s v="DERECHA"/>
    <s v="IZQUIERDA"/>
    <s v="DERECHA"/>
    <s v="IZQUIERDA"/>
    <n v="0"/>
    <n v="1"/>
  </r>
  <r>
    <x v="28"/>
    <n v="1"/>
    <n v="10"/>
    <x v="16"/>
    <x v="18"/>
    <x v="19"/>
    <x v="17"/>
    <s v="DERECHA"/>
    <s v="IZQUIERDA"/>
    <s v="DERECHA"/>
    <s v="IZQUIERDA"/>
    <n v="1"/>
    <n v="0"/>
  </r>
  <r>
    <x v="28"/>
    <n v="1"/>
    <n v="11"/>
    <x v="16"/>
    <x v="18"/>
    <x v="19"/>
    <x v="17"/>
    <s v="DERECHA"/>
    <s v="IZQUIERDA"/>
    <s v="DERECHA"/>
    <s v="IZQUIERDA"/>
    <n v="1"/>
    <n v="0"/>
  </r>
  <r>
    <x v="28"/>
    <n v="1"/>
    <n v="12"/>
    <x v="16"/>
    <x v="18"/>
    <x v="19"/>
    <x v="17"/>
    <s v="DERECHA"/>
    <s v="IZQUIERDA"/>
    <s v="DERECHA"/>
    <s v="IZQUIERDA"/>
    <n v="1"/>
    <n v="0"/>
  </r>
  <r>
    <x v="29"/>
    <n v="1"/>
    <n v="1"/>
    <x v="16"/>
    <x v="18"/>
    <x v="19"/>
    <x v="17"/>
    <s v="DERECHA"/>
    <s v="IZQUIERDA"/>
    <s v="IZQUIERDA"/>
    <s v="DERECHA"/>
    <n v="0"/>
    <n v="1"/>
  </r>
  <r>
    <x v="29"/>
    <n v="1"/>
    <n v="2"/>
    <x v="16"/>
    <x v="18"/>
    <x v="19"/>
    <x v="17"/>
    <s v="DERECHA"/>
    <s v="IZQUIERDA"/>
    <s v="IZQUIERDA"/>
    <s v="DERECHA"/>
    <n v="0"/>
    <n v="1"/>
  </r>
  <r>
    <x v="29"/>
    <n v="1"/>
    <n v="3"/>
    <x v="16"/>
    <x v="18"/>
    <x v="19"/>
    <x v="17"/>
    <s v="DERECHA"/>
    <s v="IZQUIERDA"/>
    <s v="IZQUIERDA"/>
    <s v="DERECHA"/>
    <n v="0"/>
    <n v="1"/>
  </r>
  <r>
    <x v="29"/>
    <n v="1"/>
    <n v="4"/>
    <x v="16"/>
    <x v="18"/>
    <x v="19"/>
    <x v="17"/>
    <s v="DERECHA"/>
    <s v="IZQUIERDA"/>
    <s v="IZQUIERDA"/>
    <s v="DERECHA"/>
    <n v="0"/>
    <n v="1"/>
  </r>
  <r>
    <x v="29"/>
    <n v="1"/>
    <n v="5"/>
    <x v="16"/>
    <x v="18"/>
    <x v="19"/>
    <x v="17"/>
    <s v="DERECHA"/>
    <s v="IZQUIERDA"/>
    <s v="IZQUIERDA"/>
    <s v="DERECHA"/>
    <n v="0"/>
    <n v="1"/>
  </r>
  <r>
    <x v="29"/>
    <n v="1"/>
    <n v="6"/>
    <x v="16"/>
    <x v="18"/>
    <x v="19"/>
    <x v="17"/>
    <s v="DERECHA"/>
    <s v="IZQUIERDA"/>
    <s v="IZQUIERDA"/>
    <s v="DERECHA"/>
    <n v="1"/>
    <n v="0"/>
  </r>
  <r>
    <x v="29"/>
    <n v="1"/>
    <n v="7"/>
    <x v="16"/>
    <x v="18"/>
    <x v="19"/>
    <x v="17"/>
    <s v="DERECHA"/>
    <s v="IZQUIERDA"/>
    <s v="IZQUIERDA"/>
    <s v="DERECHA"/>
    <n v="0"/>
    <n v="1"/>
  </r>
  <r>
    <x v="29"/>
    <n v="1"/>
    <n v="8"/>
    <x v="16"/>
    <x v="18"/>
    <x v="19"/>
    <x v="17"/>
    <s v="DERECHA"/>
    <s v="IZQUIERDA"/>
    <s v="IZQUIERDA"/>
    <s v="DERECHA"/>
    <n v="0"/>
    <n v="1"/>
  </r>
  <r>
    <x v="30"/>
    <n v="1"/>
    <n v="1"/>
    <x v="16"/>
    <x v="18"/>
    <x v="19"/>
    <x v="17"/>
    <s v="IZQUIERDA"/>
    <s v="DERECHA"/>
    <s v="DERECHA"/>
    <s v="IZQUIERDA"/>
    <n v="0"/>
    <n v="1"/>
  </r>
  <r>
    <x v="30"/>
    <n v="1"/>
    <n v="2"/>
    <x v="16"/>
    <x v="18"/>
    <x v="19"/>
    <x v="17"/>
    <s v="IZQUIERDA"/>
    <s v="DERECHA"/>
    <s v="DERECHA"/>
    <s v="IZQUIERDA"/>
    <n v="1"/>
    <n v="0"/>
  </r>
  <r>
    <x v="30"/>
    <n v="1"/>
    <n v="3"/>
    <x v="16"/>
    <x v="18"/>
    <x v="19"/>
    <x v="17"/>
    <s v="IZQUIERDA"/>
    <s v="DERECHA"/>
    <s v="DERECHA"/>
    <s v="IZQUIERDA"/>
    <n v="1"/>
    <n v="0"/>
  </r>
  <r>
    <x v="30"/>
    <n v="1"/>
    <n v="4"/>
    <x v="16"/>
    <x v="18"/>
    <x v="19"/>
    <x v="17"/>
    <s v="IZQUIERDA"/>
    <s v="DERECHA"/>
    <s v="DERECHA"/>
    <s v="IZQUIERDA"/>
    <n v="1"/>
    <n v="0"/>
  </r>
  <r>
    <x v="30"/>
    <n v="1"/>
    <n v="5"/>
    <x v="16"/>
    <x v="18"/>
    <x v="19"/>
    <x v="17"/>
    <s v="IZQUIERDA"/>
    <s v="DERECHA"/>
    <s v="DERECHA"/>
    <s v="IZQUIERDA"/>
    <n v="1"/>
    <n v="0"/>
  </r>
  <r>
    <x v="30"/>
    <n v="1"/>
    <n v="6"/>
    <x v="16"/>
    <x v="18"/>
    <x v="19"/>
    <x v="17"/>
    <s v="IZQUIERDA"/>
    <s v="DERECHA"/>
    <s v="DERECHA"/>
    <s v="IZQUIERDA"/>
    <n v="0"/>
    <n v="1"/>
  </r>
  <r>
    <x v="30"/>
    <n v="1"/>
    <n v="7"/>
    <x v="16"/>
    <x v="18"/>
    <x v="19"/>
    <x v="17"/>
    <s v="IZQUIERDA"/>
    <s v="DERECHA"/>
    <s v="DERECHA"/>
    <s v="IZQUIERDA"/>
    <n v="1"/>
    <n v="0"/>
  </r>
  <r>
    <x v="30"/>
    <n v="1"/>
    <n v="8"/>
    <x v="16"/>
    <x v="18"/>
    <x v="19"/>
    <x v="17"/>
    <s v="IZQUIERDA"/>
    <s v="DERECHA"/>
    <s v="DERECHA"/>
    <s v="IZQUIERDA"/>
    <n v="0"/>
    <n v="1"/>
  </r>
  <r>
    <x v="30"/>
    <n v="1"/>
    <n v="9"/>
    <x v="16"/>
    <x v="18"/>
    <x v="19"/>
    <x v="17"/>
    <s v="IZQUIERDA"/>
    <s v="DERECHA"/>
    <s v="DERECHA"/>
    <s v="IZQUIERDA"/>
    <n v="0"/>
    <n v="1"/>
  </r>
  <r>
    <x v="30"/>
    <n v="1"/>
    <n v="10"/>
    <x v="16"/>
    <x v="18"/>
    <x v="19"/>
    <x v="17"/>
    <s v="IZQUIERDA"/>
    <s v="DERECHA"/>
    <s v="DERECHA"/>
    <s v="IZQUIERDA"/>
    <n v="1"/>
    <n v="0"/>
  </r>
  <r>
    <x v="30"/>
    <n v="1"/>
    <n v="11"/>
    <x v="16"/>
    <x v="18"/>
    <x v="19"/>
    <x v="17"/>
    <s v="IZQUIERDA"/>
    <s v="DERECHA"/>
    <s v="DERECHA"/>
    <s v="IZQUIERDA"/>
    <n v="0"/>
    <n v="1"/>
  </r>
  <r>
    <x v="30"/>
    <n v="1"/>
    <n v="12"/>
    <x v="16"/>
    <x v="18"/>
    <x v="19"/>
    <x v="17"/>
    <s v="IZQUIERDA"/>
    <s v="DERECHA"/>
    <s v="DERECHA"/>
    <s v="IZQUIERDA"/>
    <n v="0"/>
    <n v="1"/>
  </r>
  <r>
    <x v="30"/>
    <n v="1"/>
    <n v="13"/>
    <x v="16"/>
    <x v="18"/>
    <x v="19"/>
    <x v="17"/>
    <s v="IZQUIERDA"/>
    <s v="DERECHA"/>
    <s v="DERECHA"/>
    <s v="IZQUIERDA"/>
    <n v="1"/>
    <n v="0"/>
  </r>
  <r>
    <x v="31"/>
    <n v="1"/>
    <n v="1"/>
    <x v="16"/>
    <x v="18"/>
    <x v="19"/>
    <x v="17"/>
    <s v="IZQUIERDA"/>
    <s v="DERECHA"/>
    <s v="IZQUIERDA"/>
    <s v="DERECHA"/>
    <n v="0"/>
    <n v="1"/>
  </r>
  <r>
    <x v="31"/>
    <n v="1"/>
    <n v="2"/>
    <x v="16"/>
    <x v="18"/>
    <x v="19"/>
    <x v="17"/>
    <s v="IZQUIERDA"/>
    <s v="DERECHA"/>
    <s v="IZQUIERDA"/>
    <s v="DERECHA"/>
    <n v="0"/>
    <n v="1"/>
  </r>
  <r>
    <x v="31"/>
    <n v="1"/>
    <n v="3"/>
    <x v="16"/>
    <x v="18"/>
    <x v="19"/>
    <x v="17"/>
    <s v="IZQUIERDA"/>
    <s v="DERECHA"/>
    <s v="IZQUIERDA"/>
    <s v="DERECHA"/>
    <n v="1"/>
    <n v="0"/>
  </r>
  <r>
    <x v="31"/>
    <n v="1"/>
    <n v="4"/>
    <x v="16"/>
    <x v="18"/>
    <x v="19"/>
    <x v="17"/>
    <s v="IZQUIERDA"/>
    <s v="DERECHA"/>
    <s v="IZQUIERDA"/>
    <s v="DERECHA"/>
    <n v="1"/>
    <n v="0"/>
  </r>
  <r>
    <x v="31"/>
    <n v="1"/>
    <n v="5"/>
    <x v="16"/>
    <x v="18"/>
    <x v="19"/>
    <x v="17"/>
    <s v="IZQUIERDA"/>
    <s v="DERECHA"/>
    <s v="IZQUIERDA"/>
    <s v="DERECHA"/>
    <n v="1"/>
    <n v="0"/>
  </r>
  <r>
    <x v="31"/>
    <n v="1"/>
    <n v="6"/>
    <x v="16"/>
    <x v="18"/>
    <x v="19"/>
    <x v="17"/>
    <s v="IZQUIERDA"/>
    <s v="DERECHA"/>
    <s v="IZQUIERDA"/>
    <s v="DERECHA"/>
    <n v="0"/>
    <n v="1"/>
  </r>
  <r>
    <x v="31"/>
    <n v="1"/>
    <n v="7"/>
    <x v="16"/>
    <x v="18"/>
    <x v="19"/>
    <x v="17"/>
    <s v="IZQUIERDA"/>
    <s v="DERECHA"/>
    <s v="IZQUIERDA"/>
    <s v="DERECHA"/>
    <n v="1"/>
    <n v="0"/>
  </r>
  <r>
    <x v="31"/>
    <n v="1"/>
    <n v="8"/>
    <x v="16"/>
    <x v="18"/>
    <x v="19"/>
    <x v="17"/>
    <s v="IZQUIERDA"/>
    <s v="DERECHA"/>
    <s v="IZQUIERDA"/>
    <s v="DERECHA"/>
    <n v="0"/>
    <n v="1"/>
  </r>
  <r>
    <x v="31"/>
    <n v="1"/>
    <n v="9"/>
    <x v="16"/>
    <x v="18"/>
    <x v="19"/>
    <x v="17"/>
    <s v="IZQUIERDA"/>
    <s v="DERECHA"/>
    <s v="IZQUIERDA"/>
    <s v="DERECHA"/>
    <n v="1"/>
    <n v="0"/>
  </r>
  <r>
    <x v="31"/>
    <n v="1"/>
    <n v="10"/>
    <x v="16"/>
    <x v="18"/>
    <x v="19"/>
    <x v="17"/>
    <s v="IZQUIERDA"/>
    <s v="DERECHA"/>
    <s v="IZQUIERDA"/>
    <s v="DERECHA"/>
    <n v="1"/>
    <n v="0"/>
  </r>
  <r>
    <x v="31"/>
    <n v="1"/>
    <n v="11"/>
    <x v="16"/>
    <x v="18"/>
    <x v="19"/>
    <x v="17"/>
    <s v="IZQUIERDA"/>
    <s v="DERECHA"/>
    <s v="IZQUIERDA"/>
    <s v="DERECHA"/>
    <n v="0"/>
    <n v="1"/>
  </r>
  <r>
    <x v="31"/>
    <n v="1"/>
    <n v="12"/>
    <x v="16"/>
    <x v="18"/>
    <x v="19"/>
    <x v="17"/>
    <s v="IZQUIERDA"/>
    <s v="DERECHA"/>
    <s v="IZQUIERDA"/>
    <s v="DERECHA"/>
    <n v="0"/>
    <n v="1"/>
  </r>
  <r>
    <x v="31"/>
    <n v="1"/>
    <n v="13"/>
    <x v="16"/>
    <x v="18"/>
    <x v="19"/>
    <x v="17"/>
    <s v="IZQUIERDA"/>
    <s v="DERECHA"/>
    <s v="IZQUIERDA"/>
    <s v="DERECHA"/>
    <n v="1"/>
    <n v="0"/>
  </r>
  <r>
    <x v="32"/>
    <n v="1"/>
    <n v="1"/>
    <x v="16"/>
    <x v="18"/>
    <x v="19"/>
    <x v="17"/>
    <s v="DERECHA"/>
    <s v="IZQUIERDA"/>
    <s v="DERECHA"/>
    <s v="IZQUIERDA"/>
    <n v="0"/>
    <n v="1"/>
  </r>
  <r>
    <x v="32"/>
    <n v="1"/>
    <n v="2"/>
    <x v="16"/>
    <x v="18"/>
    <x v="19"/>
    <x v="17"/>
    <s v="DERECHA"/>
    <s v="IZQUIERDA"/>
    <s v="DERECHA"/>
    <s v="IZQUIERDA"/>
    <n v="0"/>
    <n v="1"/>
  </r>
  <r>
    <x v="32"/>
    <n v="1"/>
    <n v="3"/>
    <x v="16"/>
    <x v="18"/>
    <x v="19"/>
    <x v="17"/>
    <s v="DERECHA"/>
    <s v="IZQUIERDA"/>
    <s v="DERECHA"/>
    <s v="IZQUIERDA"/>
    <n v="1"/>
    <n v="0"/>
  </r>
  <r>
    <x v="32"/>
    <n v="1"/>
    <n v="4"/>
    <x v="16"/>
    <x v="18"/>
    <x v="19"/>
    <x v="17"/>
    <s v="DERECHA"/>
    <s v="IZQUIERDA"/>
    <s v="DERECHA"/>
    <s v="IZQUIERDA"/>
    <n v="0"/>
    <n v="1"/>
  </r>
  <r>
    <x v="32"/>
    <n v="1"/>
    <n v="5"/>
    <x v="16"/>
    <x v="18"/>
    <x v="19"/>
    <x v="17"/>
    <s v="DERECHA"/>
    <s v="IZQUIERDA"/>
    <s v="DERECHA"/>
    <s v="IZQUIERDA"/>
    <n v="1"/>
    <n v="0"/>
  </r>
  <r>
    <x v="32"/>
    <n v="1"/>
    <n v="6"/>
    <x v="16"/>
    <x v="18"/>
    <x v="19"/>
    <x v="17"/>
    <s v="DERECHA"/>
    <s v="IZQUIERDA"/>
    <s v="DERECHA"/>
    <s v="IZQUIERDA"/>
    <n v="0"/>
    <n v="1"/>
  </r>
  <r>
    <x v="32"/>
    <n v="1"/>
    <n v="7"/>
    <x v="16"/>
    <x v="18"/>
    <x v="19"/>
    <x v="17"/>
    <s v="DERECHA"/>
    <s v="IZQUIERDA"/>
    <s v="DERECHA"/>
    <s v="IZQUIERDA"/>
    <n v="0"/>
    <n v="1"/>
  </r>
  <r>
    <x v="32"/>
    <n v="1"/>
    <n v="8"/>
    <x v="16"/>
    <x v="18"/>
    <x v="19"/>
    <x v="17"/>
    <s v="DERECHA"/>
    <s v="IZQUIERDA"/>
    <s v="DERECHA"/>
    <s v="IZQUIERDA"/>
    <n v="0"/>
    <n v="1"/>
  </r>
  <r>
    <x v="32"/>
    <n v="1"/>
    <n v="9"/>
    <x v="16"/>
    <x v="18"/>
    <x v="19"/>
    <x v="17"/>
    <s v="DERECHA"/>
    <s v="IZQUIERDA"/>
    <s v="DERECHA"/>
    <s v="IZQUIERDA"/>
    <n v="0"/>
    <n v="1"/>
  </r>
  <r>
    <x v="33"/>
    <n v="1"/>
    <n v="1"/>
    <x v="16"/>
    <x v="18"/>
    <x v="19"/>
    <x v="17"/>
    <s v="DERECHA"/>
    <s v="IZQUIERDA"/>
    <s v="IZQUIERDA"/>
    <s v="DERECHA"/>
    <n v="1"/>
    <n v="0"/>
  </r>
  <r>
    <x v="33"/>
    <n v="1"/>
    <n v="2"/>
    <x v="16"/>
    <x v="18"/>
    <x v="19"/>
    <x v="17"/>
    <s v="DERECHA"/>
    <s v="IZQUIERDA"/>
    <s v="IZQUIERDA"/>
    <s v="DERECHA"/>
    <n v="1"/>
    <n v="0"/>
  </r>
  <r>
    <x v="33"/>
    <n v="1"/>
    <n v="3"/>
    <x v="16"/>
    <x v="18"/>
    <x v="19"/>
    <x v="17"/>
    <s v="DERECHA"/>
    <s v="IZQUIERDA"/>
    <s v="IZQUIERDA"/>
    <s v="DERECHA"/>
    <n v="0"/>
    <n v="1"/>
  </r>
  <r>
    <x v="33"/>
    <n v="1"/>
    <n v="4"/>
    <x v="16"/>
    <x v="18"/>
    <x v="19"/>
    <x v="17"/>
    <s v="DERECHA"/>
    <s v="IZQUIERDA"/>
    <s v="IZQUIERDA"/>
    <s v="DERECHA"/>
    <n v="0"/>
    <n v="1"/>
  </r>
  <r>
    <x v="33"/>
    <n v="1"/>
    <n v="5"/>
    <x v="16"/>
    <x v="18"/>
    <x v="19"/>
    <x v="17"/>
    <s v="DERECHA"/>
    <s v="IZQUIERDA"/>
    <s v="IZQUIERDA"/>
    <s v="DERECHA"/>
    <n v="1"/>
    <n v="0"/>
  </r>
  <r>
    <x v="33"/>
    <n v="1"/>
    <n v="6"/>
    <x v="16"/>
    <x v="18"/>
    <x v="19"/>
    <x v="17"/>
    <s v="DERECHA"/>
    <s v="IZQUIERDA"/>
    <s v="IZQUIERDA"/>
    <s v="DERECHA"/>
    <n v="1"/>
    <n v="0"/>
  </r>
  <r>
    <x v="33"/>
    <n v="1"/>
    <n v="7"/>
    <x v="16"/>
    <x v="18"/>
    <x v="19"/>
    <x v="17"/>
    <s v="DERECHA"/>
    <s v="IZQUIERDA"/>
    <s v="IZQUIERDA"/>
    <s v="DERECHA"/>
    <n v="0"/>
    <n v="1"/>
  </r>
  <r>
    <x v="33"/>
    <n v="1"/>
    <n v="8"/>
    <x v="16"/>
    <x v="18"/>
    <x v="19"/>
    <x v="17"/>
    <s v="DERECHA"/>
    <s v="IZQUIERDA"/>
    <s v="IZQUIERDA"/>
    <s v="DERECHA"/>
    <n v="0"/>
    <n v="1"/>
  </r>
  <r>
    <x v="33"/>
    <n v="1"/>
    <n v="9"/>
    <x v="16"/>
    <x v="18"/>
    <x v="19"/>
    <x v="17"/>
    <s v="DERECHA"/>
    <s v="IZQUIERDA"/>
    <s v="IZQUIERDA"/>
    <s v="DERECHA"/>
    <n v="1"/>
    <n v="0"/>
  </r>
  <r>
    <x v="33"/>
    <n v="1"/>
    <n v="10"/>
    <x v="16"/>
    <x v="18"/>
    <x v="19"/>
    <x v="17"/>
    <s v="DERECHA"/>
    <s v="IZQUIERDA"/>
    <s v="IZQUIERDA"/>
    <s v="DERECHA"/>
    <n v="0"/>
    <n v="1"/>
  </r>
  <r>
    <x v="33"/>
    <n v="1"/>
    <n v="11"/>
    <x v="16"/>
    <x v="18"/>
    <x v="19"/>
    <x v="17"/>
    <s v="DERECHA"/>
    <s v="IZQUIERDA"/>
    <s v="IZQUIERDA"/>
    <s v="DERECHA"/>
    <n v="1"/>
    <n v="0"/>
  </r>
  <r>
    <x v="33"/>
    <n v="1"/>
    <n v="12"/>
    <x v="16"/>
    <x v="18"/>
    <x v="19"/>
    <x v="17"/>
    <s v="DERECHA"/>
    <s v="IZQUIERDA"/>
    <s v="IZQUIERDA"/>
    <s v="DERECHA"/>
    <n v="1"/>
    <n v="0"/>
  </r>
  <r>
    <x v="34"/>
    <n v="1"/>
    <n v="1"/>
    <x v="16"/>
    <x v="18"/>
    <x v="19"/>
    <x v="17"/>
    <s v="DERECHA"/>
    <s v="IZQUIERDA"/>
    <s v="IZQUIERDA"/>
    <s v="DERECHA"/>
    <n v="0"/>
    <n v="1"/>
  </r>
  <r>
    <x v="34"/>
    <n v="1"/>
    <n v="2"/>
    <x v="16"/>
    <x v="18"/>
    <x v="19"/>
    <x v="17"/>
    <s v="DERECHA"/>
    <s v="IZQUIERDA"/>
    <s v="IZQUIERDA"/>
    <s v="DERECHA"/>
    <n v="1"/>
    <n v="0"/>
  </r>
  <r>
    <x v="34"/>
    <n v="1"/>
    <n v="3"/>
    <x v="16"/>
    <x v="18"/>
    <x v="19"/>
    <x v="17"/>
    <s v="DERECHA"/>
    <s v="IZQUIERDA"/>
    <s v="IZQUIERDA"/>
    <s v="DERECHA"/>
    <n v="1"/>
    <n v="0"/>
  </r>
  <r>
    <x v="34"/>
    <n v="1"/>
    <n v="4"/>
    <x v="16"/>
    <x v="18"/>
    <x v="19"/>
    <x v="17"/>
    <s v="DERECHA"/>
    <s v="IZQUIERDA"/>
    <s v="IZQUIERDA"/>
    <s v="DERECHA"/>
    <n v="1"/>
    <n v="0"/>
  </r>
  <r>
    <x v="34"/>
    <n v="1"/>
    <n v="5"/>
    <x v="16"/>
    <x v="18"/>
    <x v="19"/>
    <x v="17"/>
    <s v="DERECHA"/>
    <s v="IZQUIERDA"/>
    <s v="IZQUIERDA"/>
    <s v="DERECHA"/>
    <n v="0"/>
    <n v="1"/>
  </r>
  <r>
    <x v="34"/>
    <n v="1"/>
    <n v="6"/>
    <x v="16"/>
    <x v="18"/>
    <x v="19"/>
    <x v="17"/>
    <s v="DERECHA"/>
    <s v="IZQUIERDA"/>
    <s v="IZQUIERDA"/>
    <s v="DERECHA"/>
    <n v="0"/>
    <n v="1"/>
  </r>
  <r>
    <x v="34"/>
    <n v="1"/>
    <n v="7"/>
    <x v="16"/>
    <x v="18"/>
    <x v="19"/>
    <x v="17"/>
    <s v="DERECHA"/>
    <s v="IZQUIERDA"/>
    <s v="IZQUIERDA"/>
    <s v="DERECHA"/>
    <n v="1"/>
    <n v="0"/>
  </r>
  <r>
    <x v="34"/>
    <n v="1"/>
    <n v="8"/>
    <x v="16"/>
    <x v="18"/>
    <x v="19"/>
    <x v="17"/>
    <s v="DERECHA"/>
    <s v="IZQUIERDA"/>
    <s v="IZQUIERDA"/>
    <s v="DERECHA"/>
    <n v="0"/>
    <n v="1"/>
  </r>
  <r>
    <x v="34"/>
    <n v="1"/>
    <n v="9"/>
    <x v="16"/>
    <x v="18"/>
    <x v="19"/>
    <x v="17"/>
    <s v="DERECHA"/>
    <s v="IZQUIERDA"/>
    <s v="IZQUIERDA"/>
    <s v="DERECHA"/>
    <n v="1"/>
    <n v="0"/>
  </r>
  <r>
    <x v="34"/>
    <n v="1"/>
    <n v="10"/>
    <x v="16"/>
    <x v="18"/>
    <x v="19"/>
    <x v="17"/>
    <s v="DERECHA"/>
    <s v="IZQUIERDA"/>
    <s v="IZQUIERDA"/>
    <s v="DERECHA"/>
    <n v="1"/>
    <n v="0"/>
  </r>
  <r>
    <x v="34"/>
    <n v="1"/>
    <n v="11"/>
    <x v="16"/>
    <x v="18"/>
    <x v="19"/>
    <x v="17"/>
    <s v="DERECHA"/>
    <s v="IZQUIERDA"/>
    <s v="IZQUIERDA"/>
    <s v="DERECHA"/>
    <n v="0"/>
    <n v="1"/>
  </r>
  <r>
    <x v="34"/>
    <n v="1"/>
    <n v="12"/>
    <x v="16"/>
    <x v="18"/>
    <x v="19"/>
    <x v="17"/>
    <s v="DERECHA"/>
    <s v="IZQUIERDA"/>
    <s v="IZQUIERDA"/>
    <s v="DERECHA"/>
    <n v="0"/>
    <n v="1"/>
  </r>
  <r>
    <x v="34"/>
    <n v="1"/>
    <n v="13"/>
    <x v="16"/>
    <x v="18"/>
    <x v="19"/>
    <x v="17"/>
    <s v="DERECHA"/>
    <s v="IZQUIERDA"/>
    <s v="IZQUIERDA"/>
    <s v="DERECHA"/>
    <n v="1"/>
    <n v="0"/>
  </r>
  <r>
    <x v="35"/>
    <n v="1"/>
    <n v="1"/>
    <x v="16"/>
    <x v="18"/>
    <x v="19"/>
    <x v="17"/>
    <s v="IZQUIERDA"/>
    <s v="DERECHA"/>
    <s v="IZQUIERDA"/>
    <s v="DERECHA"/>
    <n v="0"/>
    <n v="1"/>
  </r>
  <r>
    <x v="35"/>
    <n v="1"/>
    <n v="2"/>
    <x v="16"/>
    <x v="18"/>
    <x v="19"/>
    <x v="17"/>
    <s v="IZQUIERDA"/>
    <s v="DERECHA"/>
    <s v="IZQUIERDA"/>
    <s v="DERECHA"/>
    <n v="1"/>
    <n v="0"/>
  </r>
  <r>
    <x v="35"/>
    <n v="1"/>
    <n v="3"/>
    <x v="16"/>
    <x v="18"/>
    <x v="19"/>
    <x v="17"/>
    <s v="IZQUIERDA"/>
    <s v="DERECHA"/>
    <s v="IZQUIERDA"/>
    <s v="DERECHA"/>
    <n v="0"/>
    <n v="1"/>
  </r>
  <r>
    <x v="35"/>
    <n v="1"/>
    <n v="4"/>
    <x v="16"/>
    <x v="18"/>
    <x v="19"/>
    <x v="17"/>
    <s v="IZQUIERDA"/>
    <s v="DERECHA"/>
    <s v="IZQUIERDA"/>
    <s v="DERECHA"/>
    <n v="0"/>
    <n v="1"/>
  </r>
  <r>
    <x v="35"/>
    <n v="1"/>
    <n v="5"/>
    <x v="16"/>
    <x v="18"/>
    <x v="19"/>
    <x v="17"/>
    <s v="IZQUIERDA"/>
    <s v="DERECHA"/>
    <s v="IZQUIERDA"/>
    <s v="DERECHA"/>
    <n v="0"/>
    <n v="1"/>
  </r>
  <r>
    <x v="35"/>
    <n v="1"/>
    <n v="6"/>
    <x v="16"/>
    <x v="18"/>
    <x v="19"/>
    <x v="17"/>
    <s v="IZQUIERDA"/>
    <s v="DERECHA"/>
    <s v="IZQUIERDA"/>
    <s v="DERECHA"/>
    <n v="0"/>
    <n v="1"/>
  </r>
  <r>
    <x v="35"/>
    <n v="1"/>
    <n v="7"/>
    <x v="16"/>
    <x v="18"/>
    <x v="19"/>
    <x v="17"/>
    <s v="IZQUIERDA"/>
    <s v="DERECHA"/>
    <s v="IZQUIERDA"/>
    <s v="DERECHA"/>
    <n v="0"/>
    <n v="1"/>
  </r>
  <r>
    <x v="35"/>
    <n v="1"/>
    <n v="8"/>
    <x v="16"/>
    <x v="18"/>
    <x v="19"/>
    <x v="17"/>
    <s v="IZQUIERDA"/>
    <s v="DERECHA"/>
    <s v="IZQUIERDA"/>
    <s v="DERECHA"/>
    <n v="0"/>
    <n v="1"/>
  </r>
  <r>
    <x v="36"/>
    <n v="1"/>
    <n v="1"/>
    <x v="16"/>
    <x v="18"/>
    <x v="19"/>
    <x v="17"/>
    <s v="IZQUIERDA"/>
    <s v="DERECHA"/>
    <s v="DERECHA"/>
    <s v="IZQUIERDA"/>
    <n v="0"/>
    <n v="1"/>
  </r>
  <r>
    <x v="36"/>
    <n v="1"/>
    <n v="2"/>
    <x v="16"/>
    <x v="18"/>
    <x v="19"/>
    <x v="17"/>
    <s v="IZQUIERDA"/>
    <s v="DERECHA"/>
    <s v="DERECHA"/>
    <s v="IZQUIERDA"/>
    <n v="0"/>
    <n v="1"/>
  </r>
  <r>
    <x v="36"/>
    <n v="1"/>
    <n v="3"/>
    <x v="16"/>
    <x v="18"/>
    <x v="19"/>
    <x v="17"/>
    <s v="IZQUIERDA"/>
    <s v="DERECHA"/>
    <s v="DERECHA"/>
    <s v="IZQUIERDA"/>
    <n v="0"/>
    <n v="1"/>
  </r>
  <r>
    <x v="36"/>
    <n v="1"/>
    <n v="4"/>
    <x v="16"/>
    <x v="18"/>
    <x v="19"/>
    <x v="17"/>
    <s v="IZQUIERDA"/>
    <s v="DERECHA"/>
    <s v="DERECHA"/>
    <s v="IZQUIERDA"/>
    <n v="1"/>
    <n v="0"/>
  </r>
  <r>
    <x v="36"/>
    <n v="1"/>
    <n v="5"/>
    <x v="16"/>
    <x v="18"/>
    <x v="19"/>
    <x v="17"/>
    <s v="IZQUIERDA"/>
    <s v="DERECHA"/>
    <s v="DERECHA"/>
    <s v="IZQUIERDA"/>
    <n v="1"/>
    <n v="0"/>
  </r>
  <r>
    <x v="36"/>
    <n v="1"/>
    <n v="6"/>
    <x v="16"/>
    <x v="18"/>
    <x v="19"/>
    <x v="17"/>
    <s v="IZQUIERDA"/>
    <s v="DERECHA"/>
    <s v="DERECHA"/>
    <s v="IZQUIERDA"/>
    <n v="0"/>
    <n v="1"/>
  </r>
  <r>
    <x v="36"/>
    <n v="1"/>
    <n v="7"/>
    <x v="16"/>
    <x v="18"/>
    <x v="19"/>
    <x v="17"/>
    <s v="IZQUIERDA"/>
    <s v="DERECHA"/>
    <s v="DERECHA"/>
    <s v="IZQUIERDA"/>
    <n v="1"/>
    <n v="0"/>
  </r>
  <r>
    <x v="36"/>
    <n v="1"/>
    <n v="8"/>
    <x v="16"/>
    <x v="18"/>
    <x v="19"/>
    <x v="17"/>
    <s v="IZQUIERDA"/>
    <s v="DERECHA"/>
    <s v="DERECHA"/>
    <s v="IZQUIERDA"/>
    <n v="1"/>
    <n v="0"/>
  </r>
  <r>
    <x v="36"/>
    <n v="1"/>
    <n v="9"/>
    <x v="16"/>
    <x v="18"/>
    <x v="19"/>
    <x v="17"/>
    <s v="IZQUIERDA"/>
    <s v="DERECHA"/>
    <s v="DERECHA"/>
    <s v="IZQUIERDA"/>
    <n v="0"/>
    <n v="1"/>
  </r>
  <r>
    <x v="36"/>
    <n v="1"/>
    <n v="10"/>
    <x v="16"/>
    <x v="18"/>
    <x v="19"/>
    <x v="17"/>
    <s v="IZQUIERDA"/>
    <s v="DERECHA"/>
    <s v="DERECHA"/>
    <s v="IZQUIERDA"/>
    <n v="0"/>
    <n v="1"/>
  </r>
  <r>
    <x v="36"/>
    <n v="1"/>
    <n v="11"/>
    <x v="16"/>
    <x v="18"/>
    <x v="19"/>
    <x v="17"/>
    <s v="IZQUIERDA"/>
    <s v="DERECHA"/>
    <s v="DERECHA"/>
    <s v="IZQUIERDA"/>
    <n v="0"/>
    <n v="1"/>
  </r>
  <r>
    <x v="37"/>
    <n v="1"/>
    <n v="1"/>
    <x v="16"/>
    <x v="18"/>
    <x v="19"/>
    <x v="17"/>
    <s v="DERECHA"/>
    <s v="IZQUIERDA"/>
    <s v="IZQUIERDA"/>
    <s v="DERECHA"/>
    <n v="1"/>
    <n v="0"/>
  </r>
  <r>
    <x v="37"/>
    <n v="1"/>
    <n v="2"/>
    <x v="16"/>
    <x v="18"/>
    <x v="19"/>
    <x v="17"/>
    <s v="DERECHA"/>
    <s v="IZQUIERDA"/>
    <s v="IZQUIERDA"/>
    <s v="DERECHA"/>
    <n v="0"/>
    <n v="1"/>
  </r>
  <r>
    <x v="37"/>
    <n v="1"/>
    <n v="3"/>
    <x v="16"/>
    <x v="18"/>
    <x v="19"/>
    <x v="17"/>
    <s v="DERECHA"/>
    <s v="IZQUIERDA"/>
    <s v="IZQUIERDA"/>
    <s v="DERECHA"/>
    <n v="0"/>
    <n v="1"/>
  </r>
  <r>
    <x v="37"/>
    <n v="1"/>
    <n v="4"/>
    <x v="16"/>
    <x v="18"/>
    <x v="19"/>
    <x v="17"/>
    <s v="DERECHA"/>
    <s v="IZQUIERDA"/>
    <s v="IZQUIERDA"/>
    <s v="DERECHA"/>
    <n v="1"/>
    <n v="0"/>
  </r>
  <r>
    <x v="37"/>
    <n v="1"/>
    <n v="5"/>
    <x v="16"/>
    <x v="18"/>
    <x v="19"/>
    <x v="17"/>
    <s v="DERECHA"/>
    <s v="IZQUIERDA"/>
    <s v="IZQUIERDA"/>
    <s v="DERECHA"/>
    <n v="0"/>
    <n v="1"/>
  </r>
  <r>
    <x v="37"/>
    <n v="1"/>
    <n v="6"/>
    <x v="16"/>
    <x v="18"/>
    <x v="19"/>
    <x v="17"/>
    <s v="DERECHA"/>
    <s v="IZQUIERDA"/>
    <s v="IZQUIERDA"/>
    <s v="DERECHA"/>
    <n v="1"/>
    <n v="0"/>
  </r>
  <r>
    <x v="37"/>
    <n v="1"/>
    <n v="7"/>
    <x v="16"/>
    <x v="18"/>
    <x v="19"/>
    <x v="17"/>
    <s v="DERECHA"/>
    <s v="IZQUIERDA"/>
    <s v="IZQUIERDA"/>
    <s v="DERECHA"/>
    <n v="1"/>
    <n v="0"/>
  </r>
  <r>
    <x v="37"/>
    <n v="1"/>
    <n v="8"/>
    <x v="16"/>
    <x v="18"/>
    <x v="19"/>
    <x v="17"/>
    <s v="DERECHA"/>
    <s v="IZQUIERDA"/>
    <s v="IZQUIERDA"/>
    <s v="DERECHA"/>
    <n v="0"/>
    <n v="1"/>
  </r>
  <r>
    <x v="37"/>
    <n v="1"/>
    <n v="9"/>
    <x v="16"/>
    <x v="18"/>
    <x v="19"/>
    <x v="17"/>
    <s v="DERECHA"/>
    <s v="IZQUIERDA"/>
    <s v="IZQUIERDA"/>
    <s v="DERECHA"/>
    <n v="1"/>
    <n v="0"/>
  </r>
  <r>
    <x v="37"/>
    <n v="1"/>
    <n v="10"/>
    <x v="16"/>
    <x v="18"/>
    <x v="19"/>
    <x v="17"/>
    <s v="DERECHA"/>
    <s v="IZQUIERDA"/>
    <s v="IZQUIERDA"/>
    <s v="DERECHA"/>
    <n v="1"/>
    <n v="0"/>
  </r>
  <r>
    <x v="37"/>
    <n v="1"/>
    <n v="11"/>
    <x v="16"/>
    <x v="18"/>
    <x v="19"/>
    <x v="17"/>
    <s v="DERECHA"/>
    <s v="IZQUIERDA"/>
    <s v="IZQUIERDA"/>
    <s v="DERECHA"/>
    <n v="0"/>
    <n v="1"/>
  </r>
  <r>
    <x v="37"/>
    <n v="1"/>
    <n v="12"/>
    <x v="16"/>
    <x v="18"/>
    <x v="19"/>
    <x v="17"/>
    <s v="DERECHA"/>
    <s v="IZQUIERDA"/>
    <s v="IZQUIERDA"/>
    <s v="DERECHA"/>
    <n v="0"/>
    <n v="1"/>
  </r>
  <r>
    <x v="38"/>
    <n v="1"/>
    <n v="1"/>
    <x v="16"/>
    <x v="18"/>
    <x v="19"/>
    <x v="17"/>
    <s v="DERECHA"/>
    <s v="IZQUIERDA"/>
    <s v="DERECHA"/>
    <s v="IZQUIERDA"/>
    <n v="0"/>
    <n v="1"/>
  </r>
  <r>
    <x v="38"/>
    <n v="1"/>
    <n v="2"/>
    <x v="16"/>
    <x v="18"/>
    <x v="19"/>
    <x v="17"/>
    <s v="DERECHA"/>
    <s v="IZQUIERDA"/>
    <s v="DERECHA"/>
    <s v="IZQUIERDA"/>
    <n v="1"/>
    <n v="0"/>
  </r>
  <r>
    <x v="38"/>
    <n v="1"/>
    <n v="3"/>
    <x v="16"/>
    <x v="18"/>
    <x v="19"/>
    <x v="17"/>
    <s v="DERECHA"/>
    <s v="IZQUIERDA"/>
    <s v="DERECHA"/>
    <s v="IZQUIERDA"/>
    <n v="0"/>
    <n v="1"/>
  </r>
  <r>
    <x v="38"/>
    <n v="1"/>
    <n v="4"/>
    <x v="16"/>
    <x v="18"/>
    <x v="19"/>
    <x v="17"/>
    <s v="DERECHA"/>
    <s v="IZQUIERDA"/>
    <s v="DERECHA"/>
    <s v="IZQUIERDA"/>
    <n v="1"/>
    <n v="0"/>
  </r>
  <r>
    <x v="38"/>
    <n v="1"/>
    <n v="5"/>
    <x v="16"/>
    <x v="18"/>
    <x v="19"/>
    <x v="17"/>
    <s v="DERECHA"/>
    <s v="IZQUIERDA"/>
    <s v="DERECHA"/>
    <s v="IZQUIERDA"/>
    <n v="1"/>
    <n v="0"/>
  </r>
  <r>
    <x v="38"/>
    <n v="1"/>
    <n v="6"/>
    <x v="16"/>
    <x v="18"/>
    <x v="19"/>
    <x v="17"/>
    <s v="DERECHA"/>
    <s v="IZQUIERDA"/>
    <s v="DERECHA"/>
    <s v="IZQUIERDA"/>
    <n v="0"/>
    <n v="1"/>
  </r>
  <r>
    <x v="38"/>
    <n v="1"/>
    <n v="7"/>
    <x v="16"/>
    <x v="18"/>
    <x v="19"/>
    <x v="17"/>
    <s v="DERECHA"/>
    <s v="IZQUIERDA"/>
    <s v="DERECHA"/>
    <s v="IZQUIERDA"/>
    <n v="1"/>
    <n v="0"/>
  </r>
  <r>
    <x v="38"/>
    <n v="1"/>
    <n v="8"/>
    <x v="16"/>
    <x v="18"/>
    <x v="19"/>
    <x v="17"/>
    <s v="DERECHA"/>
    <s v="IZQUIERDA"/>
    <s v="DERECHA"/>
    <s v="IZQUIERDA"/>
    <n v="1"/>
    <n v="0"/>
  </r>
  <r>
    <x v="38"/>
    <n v="1"/>
    <n v="9"/>
    <x v="16"/>
    <x v="18"/>
    <x v="19"/>
    <x v="17"/>
    <s v="DERECHA"/>
    <s v="IZQUIERDA"/>
    <s v="DERECHA"/>
    <s v="IZQUIERDA"/>
    <n v="1"/>
    <n v="0"/>
  </r>
  <r>
    <x v="38"/>
    <n v="1"/>
    <n v="10"/>
    <x v="16"/>
    <x v="18"/>
    <x v="19"/>
    <x v="17"/>
    <s v="DERECHA"/>
    <s v="IZQUIERDA"/>
    <s v="DERECHA"/>
    <s v="IZQUIERDA"/>
    <n v="0"/>
    <n v="1"/>
  </r>
  <r>
    <x v="38"/>
    <n v="1"/>
    <n v="11"/>
    <x v="16"/>
    <x v="18"/>
    <x v="19"/>
    <x v="17"/>
    <s v="DERECHA"/>
    <s v="IZQUIERDA"/>
    <s v="DERECHA"/>
    <s v="IZQUIERDA"/>
    <n v="1"/>
    <n v="0"/>
  </r>
  <r>
    <x v="39"/>
    <n v="1"/>
    <n v="1"/>
    <x v="16"/>
    <x v="18"/>
    <x v="19"/>
    <x v="17"/>
    <s v="DERECHA"/>
    <s v="IZQUIERDA"/>
    <s v="DERECHA"/>
    <s v="IZQUIERDA"/>
    <n v="0"/>
    <n v="1"/>
  </r>
  <r>
    <x v="39"/>
    <n v="1"/>
    <n v="2"/>
    <x v="16"/>
    <x v="18"/>
    <x v="19"/>
    <x v="17"/>
    <s v="DERECHA"/>
    <s v="IZQUIERDA"/>
    <s v="DERECHA"/>
    <s v="IZQUIERDA"/>
    <n v="1"/>
    <n v="0"/>
  </r>
  <r>
    <x v="39"/>
    <n v="1"/>
    <n v="3"/>
    <x v="16"/>
    <x v="18"/>
    <x v="19"/>
    <x v="17"/>
    <s v="DERECHA"/>
    <s v="IZQUIERDA"/>
    <s v="DERECHA"/>
    <s v="IZQUIERDA"/>
    <n v="0"/>
    <n v="1"/>
  </r>
  <r>
    <x v="39"/>
    <n v="1"/>
    <n v="4"/>
    <x v="16"/>
    <x v="18"/>
    <x v="19"/>
    <x v="17"/>
    <s v="DERECHA"/>
    <s v="IZQUIERDA"/>
    <s v="DERECHA"/>
    <s v="IZQUIERDA"/>
    <n v="0"/>
    <n v="1"/>
  </r>
  <r>
    <x v="39"/>
    <n v="1"/>
    <n v="5"/>
    <x v="16"/>
    <x v="18"/>
    <x v="19"/>
    <x v="17"/>
    <s v="DERECHA"/>
    <s v="IZQUIERDA"/>
    <s v="DERECHA"/>
    <s v="IZQUIERDA"/>
    <n v="1"/>
    <n v="0"/>
  </r>
  <r>
    <x v="39"/>
    <n v="1"/>
    <n v="6"/>
    <x v="16"/>
    <x v="18"/>
    <x v="19"/>
    <x v="17"/>
    <s v="DERECHA"/>
    <s v="IZQUIERDA"/>
    <s v="DERECHA"/>
    <s v="IZQUIERDA"/>
    <n v="0"/>
    <n v="1"/>
  </r>
  <r>
    <x v="39"/>
    <n v="1"/>
    <n v="7"/>
    <x v="16"/>
    <x v="18"/>
    <x v="19"/>
    <x v="17"/>
    <s v="DERECHA"/>
    <s v="IZQUIERDA"/>
    <s v="DERECHA"/>
    <s v="IZQUIERDA"/>
    <n v="1"/>
    <n v="0"/>
  </r>
  <r>
    <x v="39"/>
    <n v="1"/>
    <n v="8"/>
    <x v="16"/>
    <x v="18"/>
    <x v="19"/>
    <x v="17"/>
    <s v="DERECHA"/>
    <s v="IZQUIERDA"/>
    <s v="DERECHA"/>
    <s v="IZQUIERDA"/>
    <n v="0"/>
    <n v="1"/>
  </r>
  <r>
    <x v="39"/>
    <n v="1"/>
    <n v="9"/>
    <x v="16"/>
    <x v="18"/>
    <x v="19"/>
    <x v="17"/>
    <s v="DERECHA"/>
    <s v="IZQUIERDA"/>
    <s v="DERECHA"/>
    <s v="IZQUIERDA"/>
    <n v="0"/>
    <n v="1"/>
  </r>
  <r>
    <x v="39"/>
    <n v="1"/>
    <n v="10"/>
    <x v="16"/>
    <x v="18"/>
    <x v="19"/>
    <x v="17"/>
    <s v="DERECHA"/>
    <s v="IZQUIERDA"/>
    <s v="DERECHA"/>
    <s v="IZQUIERDA"/>
    <n v="1"/>
    <n v="0"/>
  </r>
  <r>
    <x v="39"/>
    <n v="1"/>
    <n v="11"/>
    <x v="16"/>
    <x v="18"/>
    <x v="19"/>
    <x v="17"/>
    <s v="DERECHA"/>
    <s v="IZQUIERDA"/>
    <s v="DERECHA"/>
    <s v="IZQUIERDA"/>
    <n v="1"/>
    <n v="0"/>
  </r>
  <r>
    <x v="39"/>
    <n v="1"/>
    <n v="12"/>
    <x v="16"/>
    <x v="18"/>
    <x v="19"/>
    <x v="17"/>
    <s v="DERECHA"/>
    <s v="IZQUIERDA"/>
    <s v="DERECHA"/>
    <s v="IZQUIERDA"/>
    <n v="0"/>
    <n v="1"/>
  </r>
  <r>
    <x v="40"/>
    <n v="1"/>
    <n v="1"/>
    <x v="16"/>
    <x v="18"/>
    <x v="19"/>
    <x v="17"/>
    <s v="DERECHA"/>
    <s v="IZQUIERDA"/>
    <s v="DERECHA"/>
    <s v="IZQUIERDA"/>
    <n v="1"/>
    <n v="0"/>
  </r>
  <r>
    <x v="40"/>
    <n v="1"/>
    <n v="2"/>
    <x v="16"/>
    <x v="18"/>
    <x v="19"/>
    <x v="17"/>
    <s v="DERECHA"/>
    <s v="IZQUIERDA"/>
    <s v="DERECHA"/>
    <s v="IZQUIERDA"/>
    <n v="1"/>
    <n v="0"/>
  </r>
  <r>
    <x v="40"/>
    <n v="1"/>
    <n v="3"/>
    <x v="16"/>
    <x v="18"/>
    <x v="19"/>
    <x v="17"/>
    <s v="DERECHA"/>
    <s v="IZQUIERDA"/>
    <s v="DERECHA"/>
    <s v="IZQUIERDA"/>
    <n v="0"/>
    <n v="1"/>
  </r>
  <r>
    <x v="40"/>
    <n v="1"/>
    <n v="4"/>
    <x v="16"/>
    <x v="18"/>
    <x v="19"/>
    <x v="17"/>
    <s v="DERECHA"/>
    <s v="IZQUIERDA"/>
    <s v="DERECHA"/>
    <s v="IZQUIERDA"/>
    <n v="0"/>
    <n v="1"/>
  </r>
  <r>
    <x v="40"/>
    <n v="1"/>
    <n v="5"/>
    <x v="16"/>
    <x v="18"/>
    <x v="19"/>
    <x v="17"/>
    <s v="DERECHA"/>
    <s v="IZQUIERDA"/>
    <s v="DERECHA"/>
    <s v="IZQUIERDA"/>
    <n v="0"/>
    <n v="1"/>
  </r>
  <r>
    <x v="40"/>
    <n v="1"/>
    <n v="6"/>
    <x v="16"/>
    <x v="18"/>
    <x v="19"/>
    <x v="17"/>
    <s v="DERECHA"/>
    <s v="IZQUIERDA"/>
    <s v="DERECHA"/>
    <s v="IZQUIERDA"/>
    <n v="0"/>
    <n v="1"/>
  </r>
  <r>
    <x v="40"/>
    <n v="1"/>
    <n v="7"/>
    <x v="16"/>
    <x v="18"/>
    <x v="19"/>
    <x v="17"/>
    <s v="DERECHA"/>
    <s v="IZQUIERDA"/>
    <s v="DERECHA"/>
    <s v="IZQUIERDA"/>
    <n v="0"/>
    <n v="1"/>
  </r>
  <r>
    <x v="40"/>
    <n v="1"/>
    <n v="8"/>
    <x v="16"/>
    <x v="18"/>
    <x v="19"/>
    <x v="17"/>
    <s v="DERECHA"/>
    <s v="IZQUIERDA"/>
    <s v="DERECHA"/>
    <s v="IZQUIERDA"/>
    <n v="0"/>
    <n v="1"/>
  </r>
  <r>
    <x v="40"/>
    <n v="1"/>
    <n v="9"/>
    <x v="16"/>
    <x v="18"/>
    <x v="19"/>
    <x v="17"/>
    <s v="DERECHA"/>
    <s v="IZQUIERDA"/>
    <s v="DERECHA"/>
    <s v="IZQUIERDA"/>
    <n v="0"/>
    <n v="1"/>
  </r>
  <r>
    <x v="41"/>
    <n v="1"/>
    <n v="1"/>
    <x v="16"/>
    <x v="18"/>
    <x v="19"/>
    <x v="17"/>
    <s v="DERECHA"/>
    <s v="IZQUIERDA"/>
    <s v="IZQUIERDA"/>
    <s v="DERECHA"/>
    <n v="1"/>
    <n v="0"/>
  </r>
  <r>
    <x v="41"/>
    <n v="1"/>
    <n v="2"/>
    <x v="16"/>
    <x v="18"/>
    <x v="19"/>
    <x v="17"/>
    <s v="DERECHA"/>
    <s v="IZQUIERDA"/>
    <s v="IZQUIERDA"/>
    <s v="DERECHA"/>
    <n v="0"/>
    <n v="1"/>
  </r>
  <r>
    <x v="41"/>
    <n v="1"/>
    <n v="3"/>
    <x v="16"/>
    <x v="18"/>
    <x v="19"/>
    <x v="17"/>
    <s v="DERECHA"/>
    <s v="IZQUIERDA"/>
    <s v="IZQUIERDA"/>
    <s v="DERECHA"/>
    <n v="1"/>
    <n v="0"/>
  </r>
  <r>
    <x v="41"/>
    <n v="1"/>
    <n v="4"/>
    <x v="16"/>
    <x v="18"/>
    <x v="19"/>
    <x v="17"/>
    <s v="DERECHA"/>
    <s v="IZQUIERDA"/>
    <s v="IZQUIERDA"/>
    <s v="DERECHA"/>
    <n v="1"/>
    <n v="0"/>
  </r>
  <r>
    <x v="41"/>
    <n v="1"/>
    <n v="5"/>
    <x v="16"/>
    <x v="18"/>
    <x v="19"/>
    <x v="17"/>
    <s v="DERECHA"/>
    <s v="IZQUIERDA"/>
    <s v="IZQUIERDA"/>
    <s v="DERECHA"/>
    <n v="1"/>
    <n v="0"/>
  </r>
  <r>
    <x v="41"/>
    <n v="1"/>
    <n v="6"/>
    <x v="16"/>
    <x v="18"/>
    <x v="19"/>
    <x v="17"/>
    <s v="DERECHA"/>
    <s v="IZQUIERDA"/>
    <s v="IZQUIERDA"/>
    <s v="DERECHA"/>
    <n v="1"/>
    <n v="0"/>
  </r>
  <r>
    <x v="41"/>
    <n v="1"/>
    <n v="7"/>
    <x v="16"/>
    <x v="18"/>
    <x v="19"/>
    <x v="17"/>
    <s v="DERECHA"/>
    <s v="IZQUIERDA"/>
    <s v="IZQUIERDA"/>
    <s v="DERECHA"/>
    <n v="1"/>
    <n v="0"/>
  </r>
  <r>
    <x v="41"/>
    <n v="1"/>
    <n v="8"/>
    <x v="16"/>
    <x v="18"/>
    <x v="19"/>
    <x v="17"/>
    <s v="DERECHA"/>
    <s v="IZQUIERDA"/>
    <s v="IZQUIERDA"/>
    <s v="DERECHA"/>
    <n v="1"/>
    <n v="0"/>
  </r>
  <r>
    <x v="42"/>
    <n v="1"/>
    <n v="1"/>
    <x v="16"/>
    <x v="18"/>
    <x v="19"/>
    <x v="17"/>
    <s v="DERECHA"/>
    <s v="IZQUIERDA"/>
    <s v="DERECHA"/>
    <s v="IZQUIERDA"/>
    <n v="0"/>
    <n v="1"/>
  </r>
  <r>
    <x v="42"/>
    <n v="1"/>
    <n v="2"/>
    <x v="16"/>
    <x v="18"/>
    <x v="19"/>
    <x v="17"/>
    <s v="DERECHA"/>
    <s v="IZQUIERDA"/>
    <s v="DERECHA"/>
    <s v="IZQUIERDA"/>
    <n v="0"/>
    <n v="1"/>
  </r>
  <r>
    <x v="42"/>
    <n v="1"/>
    <n v="3"/>
    <x v="16"/>
    <x v="18"/>
    <x v="19"/>
    <x v="17"/>
    <s v="DERECHA"/>
    <s v="IZQUIERDA"/>
    <s v="DERECHA"/>
    <s v="IZQUIERDA"/>
    <n v="1"/>
    <n v="0"/>
  </r>
  <r>
    <x v="42"/>
    <n v="1"/>
    <n v="4"/>
    <x v="16"/>
    <x v="18"/>
    <x v="19"/>
    <x v="17"/>
    <s v="DERECHA"/>
    <s v="IZQUIERDA"/>
    <s v="DERECHA"/>
    <s v="IZQUIERDA"/>
    <n v="0"/>
    <n v="1"/>
  </r>
  <r>
    <x v="42"/>
    <n v="1"/>
    <n v="5"/>
    <x v="16"/>
    <x v="18"/>
    <x v="19"/>
    <x v="17"/>
    <s v="DERECHA"/>
    <s v="IZQUIERDA"/>
    <s v="DERECHA"/>
    <s v="IZQUIERDA"/>
    <n v="1"/>
    <n v="0"/>
  </r>
  <r>
    <x v="42"/>
    <n v="1"/>
    <n v="6"/>
    <x v="16"/>
    <x v="18"/>
    <x v="19"/>
    <x v="17"/>
    <s v="DERECHA"/>
    <s v="IZQUIERDA"/>
    <s v="DERECHA"/>
    <s v="IZQUIERDA"/>
    <n v="1"/>
    <n v="0"/>
  </r>
  <r>
    <x v="42"/>
    <n v="1"/>
    <n v="7"/>
    <x v="16"/>
    <x v="18"/>
    <x v="19"/>
    <x v="17"/>
    <s v="DERECHA"/>
    <s v="IZQUIERDA"/>
    <s v="DERECHA"/>
    <s v="IZQUIERDA"/>
    <n v="1"/>
    <n v="0"/>
  </r>
  <r>
    <x v="42"/>
    <n v="1"/>
    <n v="8"/>
    <x v="16"/>
    <x v="18"/>
    <x v="19"/>
    <x v="17"/>
    <s v="DERECHA"/>
    <s v="IZQUIERDA"/>
    <s v="DERECHA"/>
    <s v="IZQUIERDA"/>
    <n v="1"/>
    <n v="0"/>
  </r>
  <r>
    <x v="42"/>
    <n v="1"/>
    <n v="9"/>
    <x v="16"/>
    <x v="18"/>
    <x v="19"/>
    <x v="17"/>
    <s v="DERECHA"/>
    <s v="IZQUIERDA"/>
    <s v="DERECHA"/>
    <s v="IZQUIERDA"/>
    <n v="0"/>
    <n v="1"/>
  </r>
  <r>
    <x v="42"/>
    <n v="1"/>
    <n v="10"/>
    <x v="16"/>
    <x v="18"/>
    <x v="19"/>
    <x v="17"/>
    <s v="DERECHA"/>
    <s v="IZQUIERDA"/>
    <s v="DERECHA"/>
    <s v="IZQUIERDA"/>
    <n v="0"/>
    <n v="1"/>
  </r>
  <r>
    <x v="42"/>
    <n v="1"/>
    <n v="11"/>
    <x v="16"/>
    <x v="18"/>
    <x v="19"/>
    <x v="17"/>
    <s v="DERECHA"/>
    <s v="IZQUIERDA"/>
    <s v="DERECHA"/>
    <s v="IZQUIERDA"/>
    <n v="0"/>
    <n v="1"/>
  </r>
  <r>
    <x v="42"/>
    <n v="1"/>
    <n v="12"/>
    <x v="16"/>
    <x v="18"/>
    <x v="19"/>
    <x v="17"/>
    <s v="DERECHA"/>
    <s v="IZQUIERDA"/>
    <s v="DERECHA"/>
    <s v="IZQUIERDA"/>
    <n v="1"/>
    <n v="0"/>
  </r>
  <r>
    <x v="42"/>
    <s v="cia"/>
    <n v="13"/>
    <x v="16"/>
    <x v="18"/>
    <x v="19"/>
    <x v="17"/>
    <s v="DERECHA"/>
    <s v="IZQUIERDA"/>
    <s v="DERECHA"/>
    <s v="IZQUIERDA"/>
    <n v="0"/>
    <n v="1"/>
  </r>
  <r>
    <x v="43"/>
    <m/>
    <m/>
    <x v="18"/>
    <x v="20"/>
    <x v="21"/>
    <x v="1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D45B8-FFA5-4AC0-AD8A-2830E60E263C}" name="TablaDinámica11" cacheId="3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:I38" firstHeaderRow="1" firstDataRow="1" firstDataCol="1"/>
  <pivotFields count="4">
    <pivotField showAll="0"/>
    <pivotField axis="axisRow" showAll="0" sortType="descending">
      <items count="38">
        <item x="0"/>
        <item x="24"/>
        <item x="32"/>
        <item x="16"/>
        <item x="1"/>
        <item x="2"/>
        <item x="3"/>
        <item x="17"/>
        <item x="18"/>
        <item x="4"/>
        <item x="25"/>
        <item x="5"/>
        <item x="6"/>
        <item x="7"/>
        <item x="19"/>
        <item x="26"/>
        <item x="8"/>
        <item x="27"/>
        <item x="9"/>
        <item x="20"/>
        <item x="10"/>
        <item x="21"/>
        <item x="22"/>
        <item x="11"/>
        <item x="12"/>
        <item x="34"/>
        <item x="28"/>
        <item x="13"/>
        <item x="33"/>
        <item x="14"/>
        <item x="23"/>
        <item x="35"/>
        <item x="29"/>
        <item x="30"/>
        <item x="15"/>
        <item x="31"/>
        <item h="1"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37">
    <i>
      <x v="23"/>
    </i>
    <i>
      <x v="27"/>
    </i>
    <i>
      <x v="14"/>
    </i>
    <i>
      <x v="32"/>
    </i>
    <i>
      <x v="26"/>
    </i>
    <i>
      <x v="11"/>
    </i>
    <i>
      <x v="33"/>
    </i>
    <i>
      <x v="18"/>
    </i>
    <i>
      <x v="17"/>
    </i>
    <i>
      <x v="7"/>
    </i>
    <i>
      <x v="15"/>
    </i>
    <i>
      <x v="21"/>
    </i>
    <i>
      <x v="5"/>
    </i>
    <i>
      <x v="3"/>
    </i>
    <i>
      <x v="19"/>
    </i>
    <i>
      <x v="2"/>
    </i>
    <i>
      <x v="25"/>
    </i>
    <i>
      <x v="9"/>
    </i>
    <i>
      <x v="35"/>
    </i>
    <i>
      <x v="24"/>
    </i>
    <i>
      <x/>
    </i>
    <i>
      <x v="34"/>
    </i>
    <i>
      <x v="16"/>
    </i>
    <i>
      <x v="22"/>
    </i>
    <i>
      <x v="1"/>
    </i>
    <i>
      <x v="20"/>
    </i>
    <i>
      <x v="10"/>
    </i>
    <i>
      <x v="8"/>
    </i>
    <i>
      <x v="12"/>
    </i>
    <i>
      <x v="31"/>
    </i>
    <i>
      <x v="13"/>
    </i>
    <i>
      <x v="28"/>
    </i>
    <i>
      <x v="30"/>
    </i>
    <i>
      <x v="29"/>
    </i>
    <i>
      <x v="6"/>
    </i>
    <i>
      <x v="4"/>
    </i>
    <i t="grand">
      <x/>
    </i>
  </rowItems>
  <colItems count="1">
    <i/>
  </colItems>
  <dataFields count="1">
    <dataField name="Suma de PUNT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48DD4-0C81-4C80-B0A1-D54B0ED8F1B0}" name="TablaDinámica4" cacheId="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Q5:T23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sd="0" x="8"/>
        <item x="2"/>
        <item x="14"/>
        <item x="1"/>
        <item x="7"/>
        <item x="4"/>
        <item x="6"/>
        <item x="11"/>
        <item x="5"/>
        <item x="10"/>
        <item x="13"/>
        <item x="0"/>
        <item x="9"/>
        <item x="1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2"/>
        <item m="1" x="3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6"/>
    <field x="10"/>
  </rowFields>
  <rowItems count="18">
    <i>
      <x/>
      <x/>
    </i>
    <i r="1">
      <x v="1"/>
      <x v="3"/>
    </i>
    <i r="1">
      <x v="2"/>
      <x v="2"/>
    </i>
    <i r="1">
      <x v="3"/>
      <x v="3"/>
    </i>
    <i r="1">
      <x v="4"/>
      <x v="2"/>
    </i>
    <i r="2">
      <x v="3"/>
    </i>
    <i r="1">
      <x v="5"/>
      <x v="2"/>
    </i>
    <i r="1">
      <x v="6"/>
      <x v="3"/>
    </i>
    <i r="1">
      <x v="7"/>
      <x v="3"/>
    </i>
    <i r="1">
      <x v="8"/>
      <x v="2"/>
    </i>
    <i r="1">
      <x v="9"/>
      <x v="3"/>
    </i>
    <i r="1">
      <x v="10"/>
      <x v="3"/>
    </i>
    <i r="1">
      <x v="11"/>
      <x v="2"/>
    </i>
    <i r="2">
      <x v="3"/>
    </i>
    <i r="1">
      <x v="12"/>
      <x v="2"/>
    </i>
    <i r="1">
      <x v="13"/>
      <x v="3"/>
    </i>
    <i r="1">
      <x v="14"/>
      <x v="3"/>
    </i>
    <i t="grand">
      <x/>
    </i>
  </rowItems>
  <colItems count="1">
    <i/>
  </colItems>
  <dataFields count="1">
    <dataField name="Suma de PUNTO_EQUIPO_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D3428-15EA-4B24-AE0E-DA6CD6ABF929}" name="TablaDinámica3" cacheId="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5:O23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7"/>
        <item x="0"/>
        <item x="2"/>
        <item x="11"/>
        <item x="4"/>
        <item x="1"/>
        <item x="12"/>
        <item x="5"/>
        <item x="9"/>
        <item x="13"/>
        <item x="8"/>
        <item x="6"/>
        <item x="3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5"/>
    <field x="9"/>
  </rowFields>
  <rowItems count="18">
    <i>
      <x/>
      <x/>
      <x v="1"/>
    </i>
    <i r="1">
      <x v="1"/>
      <x v="1"/>
    </i>
    <i r="2">
      <x v="2"/>
    </i>
    <i r="1">
      <x v="2"/>
      <x v="1"/>
    </i>
    <i r="1">
      <x v="3"/>
      <x v="1"/>
    </i>
    <i r="1">
      <x v="4"/>
      <x v="1"/>
    </i>
    <i r="1">
      <x v="5"/>
      <x v="1"/>
    </i>
    <i r="1">
      <x v="6"/>
      <x v="1"/>
    </i>
    <i r="1">
      <x v="7"/>
      <x v="2"/>
    </i>
    <i r="1">
      <x v="8"/>
      <x v="1"/>
    </i>
    <i r="1">
      <x v="9"/>
      <x v="1"/>
    </i>
    <i r="2">
      <x v="2"/>
    </i>
    <i r="1">
      <x v="10"/>
      <x v="2"/>
    </i>
    <i r="1">
      <x v="11"/>
      <x v="2"/>
    </i>
    <i r="1">
      <x v="12"/>
      <x v="1"/>
    </i>
    <i r="2">
      <x v="2"/>
    </i>
    <i r="1">
      <x v="13"/>
      <x v="1"/>
    </i>
    <i t="grand">
      <x/>
    </i>
  </rowItems>
  <colItems count="1">
    <i/>
  </colItems>
  <dataFields count="1">
    <dataField name="Suma de PUNTO_EQUIPO_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32A5E-02A4-4063-9C07-0771FD7A0E80}" name="TablaDinámica9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Q31:T50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7"/>
        <item x="1"/>
        <item x="6"/>
        <item x="13"/>
        <item x="3"/>
        <item x="16"/>
        <item x="15"/>
        <item x="8"/>
        <item x="2"/>
        <item x="4"/>
        <item x="12"/>
        <item x="11"/>
        <item x="9"/>
        <item x="14"/>
        <item x="5"/>
        <item x="1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6"/>
    <field x="10"/>
  </rowFields>
  <rowItems count="19">
    <i>
      <x/>
      <x/>
      <x/>
    </i>
    <i r="1">
      <x v="1"/>
      <x v="1"/>
    </i>
    <i r="1">
      <x v="2"/>
      <x v="1"/>
    </i>
    <i r="1">
      <x v="3"/>
      <x v="1"/>
    </i>
    <i r="1">
      <x v="4"/>
      <x/>
    </i>
    <i r="1">
      <x v="5"/>
      <x v="1"/>
    </i>
    <i r="1">
      <x v="6"/>
      <x v="1"/>
    </i>
    <i r="1">
      <x v="7"/>
      <x v="1"/>
    </i>
    <i r="1">
      <x v="8"/>
      <x/>
    </i>
    <i r="2">
      <x v="1"/>
    </i>
    <i r="1">
      <x v="9"/>
      <x v="1"/>
    </i>
    <i r="1">
      <x v="10"/>
      <x/>
    </i>
    <i r="1">
      <x v="11"/>
      <x/>
    </i>
    <i r="1">
      <x v="12"/>
      <x/>
    </i>
    <i r="1">
      <x v="13"/>
      <x/>
    </i>
    <i r="1">
      <x v="14"/>
      <x v="1"/>
    </i>
    <i r="1">
      <x v="15"/>
      <x v="1"/>
    </i>
    <i r="1">
      <x v="16"/>
      <x/>
    </i>
    <i t="grand">
      <x/>
    </i>
  </rowItems>
  <colItems count="1">
    <i/>
  </colItems>
  <dataFields count="1">
    <dataField name="Suma de PUNTO_EQUIPO_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9653A-B9CB-4587-9BF1-ABB217D8FAAB}" name="TablaDinámica1" cacheId="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D23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3"/>
        <item x="10"/>
        <item x="9"/>
        <item x="14"/>
        <item x="3"/>
        <item x="2"/>
        <item x="6"/>
        <item x="0"/>
        <item x="11"/>
        <item x="5"/>
        <item x="1"/>
        <item x="12"/>
        <item x="8"/>
        <item x="4"/>
        <item x="1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2"/>
        <item x="1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7"/>
  </rowFields>
  <rowItems count="18">
    <i>
      <x/>
      <x/>
      <x v="3"/>
    </i>
    <i r="1">
      <x v="1"/>
      <x v="3"/>
    </i>
    <i r="1">
      <x v="2"/>
      <x v="3"/>
    </i>
    <i r="1">
      <x v="3"/>
      <x v="1"/>
    </i>
    <i r="1">
      <x v="4"/>
      <x v="1"/>
    </i>
    <i r="2">
      <x v="3"/>
    </i>
    <i r="1">
      <x v="5"/>
      <x v="3"/>
    </i>
    <i r="1">
      <x v="6"/>
      <x v="1"/>
    </i>
    <i r="1">
      <x v="7"/>
      <x v="3"/>
    </i>
    <i r="1">
      <x v="8"/>
      <x v="1"/>
    </i>
    <i r="1">
      <x v="9"/>
      <x v="1"/>
    </i>
    <i r="1">
      <x v="10"/>
      <x v="3"/>
    </i>
    <i r="1">
      <x v="11"/>
      <x v="1"/>
    </i>
    <i r="1">
      <x v="12"/>
      <x v="3"/>
    </i>
    <i r="1">
      <x v="13"/>
      <x v="1"/>
    </i>
    <i r="1">
      <x v="14"/>
      <x v="3"/>
    </i>
    <i r="1">
      <x v="15"/>
      <x v="3"/>
    </i>
    <i t="grand">
      <x/>
    </i>
  </rowItems>
  <colItems count="1">
    <i/>
  </colItems>
  <dataFields count="1">
    <dataField name="Suma de PUNTO_EQUIPO_1" fld="11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64CE2-F695-467A-BCA8-C13E6E3AD0A6}" name="TablaDinámica2" cacheId="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5:I24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0"/>
        <item x="3"/>
        <item x="15"/>
        <item x="6"/>
        <item x="2"/>
        <item x="12"/>
        <item x="7"/>
        <item x="5"/>
        <item x="9"/>
        <item x="13"/>
        <item x="8"/>
        <item x="14"/>
        <item x="11"/>
        <item x="4"/>
        <item x="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4"/>
    <field x="8"/>
  </rowFields>
  <rowItems count="19">
    <i>
      <x/>
      <x/>
      <x v="2"/>
    </i>
    <i r="1">
      <x v="1"/>
      <x v="2"/>
    </i>
    <i r="1">
      <x v="2"/>
      <x v="2"/>
    </i>
    <i r="1">
      <x v="3"/>
      <x v="2"/>
    </i>
    <i r="2">
      <x v="3"/>
    </i>
    <i r="1">
      <x v="4"/>
      <x v="2"/>
    </i>
    <i r="2">
      <x v="3"/>
    </i>
    <i r="1">
      <x v="5"/>
      <x v="2"/>
    </i>
    <i r="1">
      <x v="6"/>
      <x v="2"/>
    </i>
    <i r="1">
      <x v="7"/>
      <x v="3"/>
    </i>
    <i r="1">
      <x v="8"/>
      <x v="3"/>
    </i>
    <i r="1">
      <x v="9"/>
      <x v="2"/>
    </i>
    <i r="1">
      <x v="10"/>
      <x v="2"/>
    </i>
    <i r="1">
      <x v="11"/>
      <x v="3"/>
    </i>
    <i r="1">
      <x v="12"/>
      <x v="2"/>
    </i>
    <i r="1">
      <x v="13"/>
      <x v="3"/>
    </i>
    <i r="1">
      <x v="14"/>
      <x v="2"/>
    </i>
    <i r="1">
      <x v="15"/>
      <x v="3"/>
    </i>
    <i t="grand">
      <x/>
    </i>
  </rowItems>
  <colItems count="1">
    <i/>
  </colItems>
  <dataFields count="1">
    <dataField name="Suma de PUNTO_EQUIPO_1" fld="11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3657E-A0CA-49B8-BDCF-F5F2642F4647}" name="TablaDinámica7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1:I52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"/>
        <item x="12"/>
        <item x="7"/>
        <item x="11"/>
        <item x="14"/>
        <item x="16"/>
        <item x="6"/>
        <item x="15"/>
        <item x="3"/>
        <item x="4"/>
        <item x="17"/>
        <item x="8"/>
        <item x="9"/>
        <item x="0"/>
        <item x="5"/>
        <item x="13"/>
        <item x="2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4"/>
    <field x="8"/>
  </rowFields>
  <rowItems count="21">
    <i>
      <x/>
      <x/>
      <x/>
    </i>
    <i r="1">
      <x v="1"/>
      <x/>
    </i>
    <i r="1">
      <x v="2"/>
      <x v="1"/>
    </i>
    <i r="1">
      <x v="3"/>
      <x/>
    </i>
    <i r="1">
      <x v="4"/>
      <x/>
    </i>
    <i r="1">
      <x v="5"/>
      <x v="1"/>
    </i>
    <i r="1">
      <x v="6"/>
      <x/>
    </i>
    <i r="2">
      <x v="1"/>
    </i>
    <i r="1">
      <x v="7"/>
      <x/>
    </i>
    <i r="1">
      <x v="8"/>
      <x/>
    </i>
    <i r="2">
      <x v="1"/>
    </i>
    <i r="1">
      <x v="9"/>
      <x/>
    </i>
    <i r="1">
      <x v="10"/>
      <x/>
    </i>
    <i r="1">
      <x v="11"/>
      <x/>
    </i>
    <i r="1">
      <x v="12"/>
      <x/>
    </i>
    <i r="1">
      <x v="13"/>
      <x/>
    </i>
    <i r="1">
      <x v="14"/>
      <x/>
    </i>
    <i r="1">
      <x v="15"/>
      <x/>
    </i>
    <i r="1">
      <x v="16"/>
      <x v="1"/>
    </i>
    <i r="1">
      <x v="17"/>
      <x v="1"/>
    </i>
    <i t="grand">
      <x/>
    </i>
  </rowItems>
  <colItems count="1">
    <i/>
  </colItems>
  <dataFields count="1">
    <dataField name="Suma de PUNTO_EQUIPO_1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70100-9917-43A8-95F7-1466D55AAA66}" name="TablaDinámica8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31:O50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0"/>
        <item x="16"/>
        <item x="12"/>
        <item x="1"/>
        <item x="9"/>
        <item x="15"/>
        <item x="13"/>
        <item x="14"/>
        <item x="17"/>
        <item x="4"/>
        <item x="7"/>
        <item x="8"/>
        <item x="2"/>
        <item x="0"/>
        <item x="6"/>
        <item x="3"/>
        <item x="5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5"/>
    <field x="9"/>
  </rowFields>
  <rowItems count="19">
    <i>
      <x/>
      <x/>
      <x v="1"/>
    </i>
    <i r="1">
      <x v="1"/>
      <x v="1"/>
    </i>
    <i r="1">
      <x v="2"/>
      <x/>
    </i>
    <i r="1">
      <x v="3"/>
      <x/>
    </i>
    <i r="1">
      <x v="4"/>
      <x v="1"/>
    </i>
    <i r="1">
      <x v="5"/>
      <x/>
    </i>
    <i r="1">
      <x v="6"/>
      <x/>
    </i>
    <i r="1">
      <x v="7"/>
      <x v="1"/>
    </i>
    <i r="1">
      <x v="8"/>
      <x/>
    </i>
    <i r="1">
      <x v="9"/>
      <x/>
    </i>
    <i r="1">
      <x v="10"/>
      <x v="1"/>
    </i>
    <i r="1">
      <x v="11"/>
      <x/>
    </i>
    <i r="1">
      <x v="12"/>
      <x/>
    </i>
    <i r="1">
      <x v="13"/>
      <x v="1"/>
    </i>
    <i r="1">
      <x v="14"/>
      <x/>
    </i>
    <i r="1">
      <x v="15"/>
      <x v="1"/>
    </i>
    <i r="1">
      <x v="16"/>
      <x v="1"/>
    </i>
    <i r="1">
      <x v="17"/>
      <x v="1"/>
    </i>
    <i t="grand">
      <x/>
    </i>
  </rowItems>
  <colItems count="1">
    <i/>
  </colItems>
  <dataFields count="1">
    <dataField name="Suma de PUNTO_EQUIPO_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038E5-FE92-4991-BDD5-5A96A5462CB1}" name="TablaDinámica6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1:D48" firstHeaderRow="1" firstDataRow="1" firstDataCol="3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0"/>
        <item x="9"/>
        <item x="8"/>
        <item x="11"/>
        <item x="5"/>
        <item x="0"/>
        <item x="15"/>
        <item x="6"/>
        <item x="13"/>
        <item x="2"/>
        <item x="1"/>
        <item x="4"/>
        <item x="7"/>
        <item x="3"/>
        <item x="12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7"/>
  </rowFields>
  <rowItems count="17">
    <i>
      <x/>
      <x/>
      <x v="1"/>
    </i>
    <i r="1">
      <x v="1"/>
      <x v="1"/>
    </i>
    <i r="1">
      <x v="2"/>
      <x v="1"/>
    </i>
    <i r="1">
      <x v="3"/>
      <x v="1"/>
    </i>
    <i r="1">
      <x v="4"/>
      <x/>
    </i>
    <i r="1">
      <x v="5"/>
      <x v="1"/>
    </i>
    <i r="1">
      <x v="6"/>
      <x/>
    </i>
    <i r="1">
      <x v="7"/>
      <x v="1"/>
    </i>
    <i r="1">
      <x v="8"/>
      <x v="1"/>
    </i>
    <i r="1">
      <x v="9"/>
      <x/>
    </i>
    <i r="1">
      <x v="10"/>
      <x/>
    </i>
    <i r="1">
      <x v="11"/>
      <x v="1"/>
    </i>
    <i r="1">
      <x v="12"/>
      <x v="1"/>
    </i>
    <i r="1">
      <x v="13"/>
      <x v="1"/>
    </i>
    <i r="1">
      <x v="14"/>
      <x/>
    </i>
    <i r="1">
      <x v="15"/>
      <x v="1"/>
    </i>
    <i t="grand">
      <x/>
    </i>
  </rowItems>
  <colItems count="1">
    <i/>
  </colItems>
  <dataFields count="1">
    <dataField name="Suma de PUNTO_EQUIPO_1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ED86A-2995-425B-95B0-81567C0F3594}" name="TablaDinámica3" cacheId="3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Z2:AB27" firstHeaderRow="1" firstDataRow="1" firstDataCol="2"/>
  <pivotFields count="13">
    <pivotField axis="axisRow" compact="0" outline="0" showAll="0" defaultSubtotal="0">
      <items count="44">
        <item x="41"/>
        <item x="0"/>
        <item x="24"/>
        <item x="3"/>
        <item x="34"/>
        <item x="1"/>
        <item x="40"/>
        <item x="2"/>
        <item x="25"/>
        <item x="4"/>
        <item x="31"/>
        <item x="5"/>
        <item x="36"/>
        <item x="8"/>
        <item x="42"/>
        <item x="9"/>
        <item x="37"/>
        <item x="7"/>
        <item x="38"/>
        <item x="6"/>
        <item x="32"/>
        <item x="10"/>
        <item x="28"/>
        <item x="11"/>
        <item x="30"/>
        <item x="12"/>
        <item x="23"/>
        <item x="13"/>
        <item x="26"/>
        <item x="16"/>
        <item x="35"/>
        <item x="14"/>
        <item x="33"/>
        <item x="15"/>
        <item x="29"/>
        <item x="17"/>
        <item x="27"/>
        <item x="19"/>
        <item x="22"/>
        <item x="18"/>
        <item x="39"/>
        <item x="20"/>
        <item x="21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9">
        <item x="10"/>
        <item x="9"/>
        <item x="8"/>
        <item x="11"/>
        <item x="17"/>
        <item x="5"/>
        <item x="0"/>
        <item x="15"/>
        <item x="6"/>
        <item x="13"/>
        <item x="2"/>
        <item x="1"/>
        <item x="4"/>
        <item x="7"/>
        <item x="3"/>
        <item x="12"/>
        <item x="14"/>
        <item h="1" x="16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1">
        <item x="1"/>
        <item x="12"/>
        <item x="7"/>
        <item x="11"/>
        <item x="14"/>
        <item x="16"/>
        <item x="6"/>
        <item x="15"/>
        <item x="3"/>
        <item x="4"/>
        <item x="17"/>
        <item x="19"/>
        <item x="8"/>
        <item x="9"/>
        <item x="0"/>
        <item x="5"/>
        <item x="13"/>
        <item x="2"/>
        <item x="10"/>
        <item h="1"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10"/>
        <item x="17"/>
        <item x="12"/>
        <item x="1"/>
        <item x="9"/>
        <item x="16"/>
        <item x="13"/>
        <item x="15"/>
        <item x="18"/>
        <item x="4"/>
        <item x="7"/>
        <item x="8"/>
        <item x="2"/>
        <item x="20"/>
        <item x="0"/>
        <item x="14"/>
        <item x="6"/>
        <item x="3"/>
        <item x="5"/>
        <item x="11"/>
        <item h="1" x="19"/>
        <item h="1" sd="0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0"/>
  </rowFields>
  <rowItems count="25">
    <i>
      <x/>
      <x v="23"/>
    </i>
    <i>
      <x v="1"/>
      <x v="41"/>
    </i>
    <i>
      <x v="2"/>
      <x v="27"/>
    </i>
    <i>
      <x v="3"/>
      <x v="5"/>
    </i>
    <i>
      <x v="4"/>
      <x v="21"/>
    </i>
    <i>
      <x v="5"/>
      <x v="39"/>
    </i>
    <i>
      <x v="6"/>
      <x v="31"/>
    </i>
    <i>
      <x v="7"/>
      <x v="29"/>
    </i>
    <i>
      <x v="8"/>
      <x v="42"/>
    </i>
    <i>
      <x v="9"/>
      <x v="11"/>
    </i>
    <i>
      <x v="10"/>
      <x v="13"/>
    </i>
    <i>
      <x v="11"/>
      <x v="15"/>
    </i>
    <i r="1">
      <x v="38"/>
    </i>
    <i>
      <x v="12"/>
      <x v="7"/>
    </i>
    <i r="1">
      <x v="9"/>
    </i>
    <i>
      <x v="13"/>
      <x v="36"/>
    </i>
    <i>
      <x v="14"/>
      <x v="1"/>
    </i>
    <i>
      <x v="15"/>
      <x v="33"/>
    </i>
    <i>
      <x v="16"/>
      <x v="17"/>
    </i>
    <i r="1">
      <x v="37"/>
    </i>
    <i>
      <x v="17"/>
      <x v="3"/>
    </i>
    <i>
      <x v="18"/>
      <x v="19"/>
    </i>
    <i>
      <x v="19"/>
      <x v="25"/>
    </i>
    <i r="1">
      <x v="35"/>
    </i>
    <i t="grand">
      <x/>
    </i>
  </rowItems>
  <colItems count="1">
    <i/>
  </colItems>
  <dataFields count="1">
    <dataField name="Suma de PUNTO_EQUIPO_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5FB28-A0A7-4598-9C6E-C29CAC3E7607}" name="TablaDinámica2" cacheId="3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V2:X27" firstHeaderRow="1" firstDataRow="1" firstDataCol="2"/>
  <pivotFields count="13">
    <pivotField axis="axisRow" compact="0" outline="0" showAll="0" defaultSubtotal="0">
      <items count="44">
        <item x="41"/>
        <item x="0"/>
        <item x="24"/>
        <item x="3"/>
        <item x="34"/>
        <item x="1"/>
        <item x="40"/>
        <item x="2"/>
        <item x="25"/>
        <item x="4"/>
        <item x="31"/>
        <item x="5"/>
        <item x="36"/>
        <item x="8"/>
        <item x="42"/>
        <item x="9"/>
        <item x="37"/>
        <item x="7"/>
        <item x="38"/>
        <item x="6"/>
        <item x="32"/>
        <item x="10"/>
        <item x="28"/>
        <item x="11"/>
        <item x="30"/>
        <item x="12"/>
        <item x="23"/>
        <item x="13"/>
        <item x="26"/>
        <item x="16"/>
        <item x="35"/>
        <item x="14"/>
        <item x="33"/>
        <item x="15"/>
        <item x="29"/>
        <item x="17"/>
        <item x="27"/>
        <item x="19"/>
        <item x="22"/>
        <item x="18"/>
        <item x="39"/>
        <item x="20"/>
        <item x="21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9">
        <item x="10"/>
        <item x="9"/>
        <item x="8"/>
        <item x="11"/>
        <item x="17"/>
        <item x="5"/>
        <item x="0"/>
        <item x="15"/>
        <item x="6"/>
        <item x="13"/>
        <item x="2"/>
        <item x="1"/>
        <item x="4"/>
        <item x="7"/>
        <item x="3"/>
        <item x="12"/>
        <item x="14"/>
        <item h="1" x="16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1"/>
        <item x="12"/>
        <item x="7"/>
        <item x="11"/>
        <item x="14"/>
        <item x="16"/>
        <item x="6"/>
        <item x="15"/>
        <item x="3"/>
        <item x="4"/>
        <item x="17"/>
        <item x="19"/>
        <item x="8"/>
        <item x="9"/>
        <item x="0"/>
        <item x="5"/>
        <item x="13"/>
        <item x="2"/>
        <item x="10"/>
        <item h="1" x="18"/>
        <item h="1"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25">
    <i>
      <x/>
      <x v="5"/>
    </i>
    <i>
      <x v="1"/>
      <x v="25"/>
    </i>
    <i>
      <x v="2"/>
      <x v="17"/>
    </i>
    <i r="1">
      <x v="27"/>
    </i>
    <i>
      <x v="3"/>
      <x v="23"/>
    </i>
    <i>
      <x v="4"/>
      <x v="29"/>
    </i>
    <i r="1">
      <x v="41"/>
    </i>
    <i>
      <x v="5"/>
      <x v="42"/>
    </i>
    <i>
      <x v="6"/>
      <x v="19"/>
    </i>
    <i r="1">
      <x v="39"/>
    </i>
    <i>
      <x v="7"/>
      <x v="35"/>
    </i>
    <i>
      <x v="8"/>
      <x v="3"/>
    </i>
    <i r="1">
      <x v="31"/>
    </i>
    <i>
      <x v="9"/>
      <x v="9"/>
    </i>
    <i>
      <x v="10"/>
      <x v="38"/>
    </i>
    <i>
      <x v="11"/>
      <x v="36"/>
    </i>
    <i>
      <x v="12"/>
      <x v="13"/>
    </i>
    <i>
      <x v="13"/>
      <x v="15"/>
    </i>
    <i>
      <x v="14"/>
      <x v="1"/>
    </i>
    <i>
      <x v="15"/>
      <x v="11"/>
    </i>
    <i>
      <x v="16"/>
      <x v="33"/>
    </i>
    <i r="1">
      <x v="37"/>
    </i>
    <i>
      <x v="17"/>
      <x v="7"/>
    </i>
    <i>
      <x v="18"/>
      <x v="21"/>
    </i>
    <i t="grand">
      <x/>
    </i>
  </rowItems>
  <colItems count="1">
    <i/>
  </colItems>
  <dataFields count="1">
    <dataField name="Suma de PUNTO_EQUIPO_1" fld="1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5849D-07E9-4A34-A613-CB74FA81B90B}" name="TablaDinámica1" cacheId="3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Q2:S27" firstHeaderRow="1" firstDataRow="1" firstDataCol="2"/>
  <pivotFields count="13">
    <pivotField axis="axisRow" compact="0" outline="0" showAll="0" sortType="ascending" defaultSubtotal="0">
      <items count="44">
        <item x="41"/>
        <item x="0"/>
        <item x="24"/>
        <item x="3"/>
        <item x="34"/>
        <item x="1"/>
        <item x="40"/>
        <item x="2"/>
        <item x="25"/>
        <item x="4"/>
        <item x="31"/>
        <item x="5"/>
        <item x="36"/>
        <item x="8"/>
        <item x="42"/>
        <item x="9"/>
        <item x="37"/>
        <item x="7"/>
        <item x="38"/>
        <item x="6"/>
        <item x="32"/>
        <item x="10"/>
        <item x="28"/>
        <item x="11"/>
        <item x="30"/>
        <item x="12"/>
        <item x="23"/>
        <item x="13"/>
        <item x="26"/>
        <item x="16"/>
        <item x="35"/>
        <item x="14"/>
        <item x="33"/>
        <item x="15"/>
        <item x="29"/>
        <item x="17"/>
        <item x="27"/>
        <item x="19"/>
        <item x="22"/>
        <item x="18"/>
        <item x="39"/>
        <item x="20"/>
        <item x="21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10"/>
        <item x="9"/>
        <item x="8"/>
        <item x="11"/>
        <item x="17"/>
        <item x="5"/>
        <item x="0"/>
        <item x="15"/>
        <item x="6"/>
        <item x="13"/>
        <item x="2"/>
        <item x="1"/>
        <item x="4"/>
        <item x="7"/>
        <item x="3"/>
        <item x="12"/>
        <item x="14"/>
        <item h="1" x="16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25">
    <i>
      <x/>
      <x v="29"/>
    </i>
    <i>
      <x v="1"/>
      <x v="31"/>
    </i>
    <i>
      <x v="2"/>
      <x v="25"/>
    </i>
    <i>
      <x v="3"/>
      <x v="35"/>
    </i>
    <i>
      <x v="4"/>
      <x v="36"/>
    </i>
    <i>
      <x v="5"/>
      <x v="17"/>
    </i>
    <i r="1">
      <x v="21"/>
    </i>
    <i>
      <x v="6"/>
      <x v="1"/>
    </i>
    <i r="1">
      <x v="5"/>
    </i>
    <i>
      <x v="7"/>
      <x v="42"/>
    </i>
    <i>
      <x v="8"/>
      <x v="13"/>
    </i>
    <i>
      <x v="9"/>
      <x v="37"/>
    </i>
    <i r="1">
      <x v="38"/>
    </i>
    <i>
      <x v="10"/>
      <x v="3"/>
    </i>
    <i r="1">
      <x v="27"/>
    </i>
    <i>
      <x v="11"/>
      <x v="7"/>
    </i>
    <i>
      <x v="12"/>
      <x v="19"/>
    </i>
    <i r="1">
      <x v="33"/>
    </i>
    <i>
      <x v="13"/>
      <x v="15"/>
    </i>
    <i>
      <x v="14"/>
      <x v="9"/>
    </i>
    <i r="1">
      <x v="11"/>
    </i>
    <i r="1">
      <x v="23"/>
    </i>
    <i>
      <x v="15"/>
      <x v="39"/>
    </i>
    <i>
      <x v="16"/>
      <x v="41"/>
    </i>
    <i t="grand">
      <x/>
    </i>
  </rowItems>
  <colItems count="1">
    <i/>
  </colItems>
  <dataFields count="1">
    <dataField name="Suma de PUNTO_EQUIPO_1" fld="1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7A92A-A631-44E7-A87F-09E97FA0464A}" name="TablaDinámica4" cacheId="3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D2:AF28" firstHeaderRow="1" firstDataRow="1" firstDataCol="2"/>
  <pivotFields count="13">
    <pivotField axis="axisRow" compact="0" outline="0" showAll="0" defaultSubtotal="0">
      <items count="44">
        <item x="41"/>
        <item x="0"/>
        <item x="24"/>
        <item x="3"/>
        <item x="34"/>
        <item x="1"/>
        <item x="40"/>
        <item x="2"/>
        <item x="25"/>
        <item x="4"/>
        <item x="31"/>
        <item x="5"/>
        <item x="36"/>
        <item x="8"/>
        <item x="42"/>
        <item x="9"/>
        <item x="37"/>
        <item x="7"/>
        <item x="38"/>
        <item x="6"/>
        <item x="32"/>
        <item x="10"/>
        <item x="28"/>
        <item x="11"/>
        <item x="30"/>
        <item x="12"/>
        <item x="23"/>
        <item x="13"/>
        <item x="26"/>
        <item x="16"/>
        <item x="35"/>
        <item x="14"/>
        <item x="33"/>
        <item x="15"/>
        <item x="29"/>
        <item x="17"/>
        <item x="27"/>
        <item x="19"/>
        <item x="22"/>
        <item x="18"/>
        <item x="39"/>
        <item x="20"/>
        <item x="21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9">
        <item x="10"/>
        <item x="9"/>
        <item x="8"/>
        <item x="11"/>
        <item x="17"/>
        <item x="5"/>
        <item x="0"/>
        <item x="15"/>
        <item x="6"/>
        <item x="13"/>
        <item x="2"/>
        <item x="1"/>
        <item x="4"/>
        <item x="7"/>
        <item x="3"/>
        <item x="12"/>
        <item x="14"/>
        <item h="1" x="16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1">
        <item x="1"/>
        <item x="12"/>
        <item x="7"/>
        <item x="11"/>
        <item x="14"/>
        <item x="16"/>
        <item x="6"/>
        <item x="15"/>
        <item x="3"/>
        <item x="4"/>
        <item x="17"/>
        <item x="19"/>
        <item x="8"/>
        <item x="9"/>
        <item x="0"/>
        <item x="5"/>
        <item x="13"/>
        <item x="2"/>
        <item x="10"/>
        <item h="1"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2">
        <item x="10"/>
        <item x="17"/>
        <item x="12"/>
        <item x="1"/>
        <item x="9"/>
        <item x="16"/>
        <item x="13"/>
        <item x="15"/>
        <item x="18"/>
        <item x="4"/>
        <item x="7"/>
        <item x="8"/>
        <item x="2"/>
        <item x="20"/>
        <item x="0"/>
        <item x="14"/>
        <item x="6"/>
        <item x="3"/>
        <item x="5"/>
        <item x="11"/>
        <item h="1" x="19"/>
        <item h="1" sd="0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7"/>
        <item x="1"/>
        <item x="6"/>
        <item x="13"/>
        <item x="3"/>
        <item x="18"/>
        <item x="16"/>
        <item x="15"/>
        <item x="8"/>
        <item x="2"/>
        <item x="4"/>
        <item x="12"/>
        <item x="11"/>
        <item x="9"/>
        <item x="14"/>
        <item x="5"/>
        <item x="10"/>
        <item x="0"/>
        <item h="1" x="17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0"/>
  </rowFields>
  <rowItems count="26">
    <i>
      <x/>
      <x v="13"/>
    </i>
    <i r="1">
      <x v="29"/>
    </i>
    <i>
      <x v="1"/>
      <x v="5"/>
    </i>
    <i r="1">
      <x v="39"/>
    </i>
    <i>
      <x v="2"/>
      <x v="17"/>
    </i>
    <i>
      <x v="3"/>
      <x v="37"/>
    </i>
    <i>
      <x v="4"/>
      <x v="3"/>
    </i>
    <i r="1">
      <x v="19"/>
    </i>
    <i>
      <x v="5"/>
      <x v="36"/>
    </i>
    <i>
      <x v="6"/>
      <x v="38"/>
    </i>
    <i>
      <x v="7"/>
      <x v="42"/>
    </i>
    <i>
      <x v="8"/>
      <x v="15"/>
    </i>
    <i>
      <x v="9"/>
      <x v="7"/>
    </i>
    <i r="1">
      <x v="25"/>
    </i>
    <i>
      <x v="10"/>
      <x v="9"/>
    </i>
    <i>
      <x v="11"/>
      <x v="35"/>
    </i>
    <i>
      <x v="12"/>
      <x v="33"/>
    </i>
    <i>
      <x v="13"/>
      <x v="21"/>
    </i>
    <i>
      <x v="14"/>
      <x v="41"/>
    </i>
    <i>
      <x v="15"/>
      <x v="11"/>
    </i>
    <i r="1">
      <x v="31"/>
    </i>
    <i>
      <x v="16"/>
      <x v="27"/>
    </i>
    <i>
      <x v="17"/>
      <x v="1"/>
    </i>
    <i r="1">
      <x v="23"/>
    </i>
    <i>
      <x v="19"/>
      <x v="43"/>
    </i>
    <i t="grand">
      <x/>
    </i>
  </rowItems>
  <colItems count="1">
    <i/>
  </colItems>
  <dataFields count="1">
    <dataField name="Suma de PUNTO_EQUIPO_2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6356FE-B5C3-4B5F-92E0-63BA11F291A5}" name="Tabla138" displayName="Tabla138" ref="A1:M472" totalsRowShown="0" headerRowDxfId="22" headerRowBorderDxfId="20" tableBorderDxfId="21">
  <tableColumns count="13">
    <tableColumn id="1" xr3:uid="{ED8CDEF9-F947-40DF-9FAA-16C141E792E0}" name="ID_PARTIDO"/>
    <tableColumn id="13" xr3:uid="{81266110-F7EF-4951-9245-93B42FE82B83}" name="CANCHA"/>
    <tableColumn id="2" xr3:uid="{7ED2DCD6-66CA-4D47-923B-6E351E6C18EE}" name="ID_PUNTO"/>
    <tableColumn id="3" xr3:uid="{209A67AA-DA80-4C07-A84A-6EB7A759F4ED}" name="ID_JUGADOR_1_EQUIPO_1" dataDxfId="19">
      <calculatedColumnFormula>VLOOKUP(Tabla138[[#This Row],[ID_PARTIDO]],Original!$AT$1:$AY$46,2,FALSE)</calculatedColumnFormula>
    </tableColumn>
    <tableColumn id="4" xr3:uid="{08926D68-1FE5-4DC0-86E8-E9DA5EF74A7C}" name="ID_JUGADOR_2_EQUIPO_1" dataDxfId="18">
      <calculatedColumnFormula>VLOOKUP(Tabla138[[#This Row],[ID_PARTIDO]],Original!$AT$1:$AY$46,3,FALSE)</calculatedColumnFormula>
    </tableColumn>
    <tableColumn id="5" xr3:uid="{3509C153-5DDA-4529-B2BB-325AF939879E}" name="ID_JUGADOR_1_EQUIPO_2" dataDxfId="17">
      <calculatedColumnFormula>VLOOKUP(Tabla138[[#This Row],[ID_PARTIDO]],Original!$AT$1:$AY$46,4,FALSE)</calculatedColumnFormula>
    </tableColumn>
    <tableColumn id="6" xr3:uid="{E0CF4832-F05E-4C65-955A-1EAD8ABEC065}" name="ID_JUGADOR_2_EQUIPO_2" dataDxfId="16">
      <calculatedColumnFormula>VLOOKUP(Tabla138[[#This Row],[ID_PARTIDO]],Original!$AT$1:$AY$46,5,FALSE)</calculatedColumnFormula>
    </tableColumn>
    <tableColumn id="7" xr3:uid="{9CFD8A0D-486D-4090-9125-AF7EB0791FF5}" name="POSICION_JUGADOR_1_EQUIPO_1"/>
    <tableColumn id="8" xr3:uid="{18FA2A59-7E61-4C9E-9ACB-AA37C326B563}" name="POSICION_JUGADOR_2_EQUIPO_1"/>
    <tableColumn id="9" xr3:uid="{04C1F73F-A15D-44BC-A449-E7FF6911775D}" name="POSICION_JUGADOR_1_EQUIPO_2"/>
    <tableColumn id="10" xr3:uid="{261CA656-1780-4A24-8573-90E71211DCED}" name="POSICION_JUGADOR_2_EQUIPO_2"/>
    <tableColumn id="11" xr3:uid="{DC05DC44-754D-471B-B381-AE4F7F905AD3}" name="PUNTO_EQUIPO_1"/>
    <tableColumn id="12" xr3:uid="{98EB6E84-C1C3-4CFA-A850-784B074478FC}" name="PUNTO_EQUIPO_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4CDC0-A061-7F4C-988A-949829E3DF10}" name="Tabla13" displayName="Tabla13" ref="A1:M249" totalsRowShown="0" headerRowDxfId="15" headerRowBorderDxfId="13" tableBorderDxfId="14">
  <tableColumns count="13">
    <tableColumn id="1" xr3:uid="{9731AC27-D985-F841-8878-3107BA477B4C}" name="ID_PARTIDO"/>
    <tableColumn id="13" xr3:uid="{F67F63F4-8E64-4410-AF6B-81DA16F5FE10}" name="CANCHA"/>
    <tableColumn id="2" xr3:uid="{E4C2C758-4E56-9A4F-808F-47E53E0BD80E}" name="ID_PUNTO"/>
    <tableColumn id="3" xr3:uid="{742AE86E-A892-2D4C-8279-F975BB4465EB}" name="ID_JUGADOR_1_EQUIPO_1" dataDxfId="12">
      <calculatedColumnFormula>VLOOKUP(Tabla13[[#This Row],[ID_PARTIDO]],Original!$AT$1:$AY$46,2,FALSE)</calculatedColumnFormula>
    </tableColumn>
    <tableColumn id="4" xr3:uid="{79EE2603-0746-BD46-82D2-9117879BEC4A}" name="ID_JUGADOR_2_EQUIPO_1" dataDxfId="11">
      <calculatedColumnFormula>VLOOKUP(Tabla13[[#This Row],[ID_PARTIDO]],Original!$AT$1:$AY$46,3,FALSE)</calculatedColumnFormula>
    </tableColumn>
    <tableColumn id="5" xr3:uid="{CC1FDABA-AAEF-7945-97F0-D0248D7C3A1F}" name="ID_JUGADOR_1_EQUIPO_2" dataDxfId="10">
      <calculatedColumnFormula>VLOOKUP(Tabla13[[#This Row],[ID_PARTIDO]],Original!$AT$1:$AY$46,4,FALSE)</calculatedColumnFormula>
    </tableColumn>
    <tableColumn id="6" xr3:uid="{206EB5C6-DF84-B74E-9863-F53C87EBD352}" name="ID_JUGADOR_2_EQUIPO_2" dataDxfId="9">
      <calculatedColumnFormula>VLOOKUP(Tabla13[[#This Row],[ID_PARTIDO]],Original!$AT$1:$AY$46,5,FALSE)</calculatedColumnFormula>
    </tableColumn>
    <tableColumn id="7" xr3:uid="{2558B1CC-8CF4-6F41-B11B-63A8C54EA1E2}" name="POSICION_JUGADOR_1_EQUIPO_1"/>
    <tableColumn id="8" xr3:uid="{E530CC93-81A2-534C-9A32-331BBE3E877F}" name="POSICION_JUGADOR_2_EQUIPO_1"/>
    <tableColumn id="9" xr3:uid="{6B3B0ECD-F60B-9544-95C1-49270DFB8522}" name="POSICION_JUGADOR_1_EQUIPO_2"/>
    <tableColumn id="10" xr3:uid="{B3CFA609-97F8-5E4A-B2A0-16A36EA255DF}" name="POSICION_JUGADOR_2_EQUIPO_2"/>
    <tableColumn id="11" xr3:uid="{42491F54-416A-6F48-8D62-2CD87ECA54B0}" name="PUNTO_EQUIPO_1"/>
    <tableColumn id="12" xr3:uid="{73FCF5B6-1BCC-D940-89F3-911A4CB9A0FD}" name="PUNTO_EQUIPO_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2C3A5-1C5A-9548-83CE-821A9244A386}" name="Tabla1" displayName="Tabla1" ref="A1:M224" totalsRowShown="0" headerRowDxfId="8" headerRowBorderDxfId="6" tableBorderDxfId="7">
  <sortState xmlns:xlrd2="http://schemas.microsoft.com/office/spreadsheetml/2017/richdata2" ref="A2:M224">
    <sortCondition descending="1" ref="E1:E224"/>
  </sortState>
  <tableColumns count="13">
    <tableColumn id="1" xr3:uid="{B6525440-585F-264B-A94F-D04831EB1803}" name="ID_PARTIDO"/>
    <tableColumn id="13" xr3:uid="{C423A7B7-E001-47D2-B91F-122768CC13B5}" name="CANCHA"/>
    <tableColumn id="2" xr3:uid="{2B0924DF-A6B9-8B46-8A67-BE2BBEEEC5F5}" name="ID_PUNTO"/>
    <tableColumn id="3" xr3:uid="{6E199608-1799-2E4F-ADE4-5766581294CE}" name="ID_JUGADOR_1_EQUIPO_1" dataDxfId="5">
      <calculatedColumnFormula>VLOOKUP(Tabla1[[#This Row],[ID_PARTIDO]],Original!$AT$1:$AY$46,2,FALSE)</calculatedColumnFormula>
    </tableColumn>
    <tableColumn id="4" xr3:uid="{032A644E-C2D3-FC42-AB67-9696B492DD6C}" name="ID_JUGADOR_2_EQUIPO_1" dataDxfId="4">
      <calculatedColumnFormula>VLOOKUP(Tabla1[[#This Row],[ID_PARTIDO]],Original!$AT$1:$AY$46,3,FALSE)</calculatedColumnFormula>
    </tableColumn>
    <tableColumn id="5" xr3:uid="{377AC68D-C356-CD49-B972-D6DC549C851A}" name="ID_JUGADOR_1_EQUIPO_2" dataDxfId="3">
      <calculatedColumnFormula>VLOOKUP(Tabla1[[#This Row],[ID_PARTIDO]],Original!$AT$1:$AY$46,4,FALSE)</calculatedColumnFormula>
    </tableColumn>
    <tableColumn id="6" xr3:uid="{53250ABB-4A53-3247-BD92-CBF63D9F24DD}" name="ID_JUGADOR_2_EQUIPO_2" dataDxfId="2">
      <calculatedColumnFormula>VLOOKUP(Tabla1[[#This Row],[ID_PARTIDO]],Original!$AT$1:$AY$46,5,FALSE)</calculatedColumnFormula>
    </tableColumn>
    <tableColumn id="7" xr3:uid="{98893C25-5F85-6F40-B638-9C87C4328DE8}" name="POSICION_JUGADOR_1_EQUIPO_1"/>
    <tableColumn id="8" xr3:uid="{1E051862-A4EA-764C-AF49-E9CDBC40EF6A}" name="POSICION_JUGADOR_2_EQUIPO_1"/>
    <tableColumn id="9" xr3:uid="{64BC9BAB-FA33-4B43-8AE5-6F3357471BC4}" name="POSICION_JUGADOR_1_EQUIPO_2"/>
    <tableColumn id="10" xr3:uid="{17DEC49E-CED3-7A41-A24B-750C1875FD21}" name="POSICION_JUGADOR_2_EQUIPO_2"/>
    <tableColumn id="11" xr3:uid="{B49F94D8-5BA9-7942-A311-549D9C3EB689}" name="PUNTO_EQUIPO_1"/>
    <tableColumn id="12" xr3:uid="{9D84EAF9-85E3-D749-B755-FEBA49DD0905}" name="PUNTO_EQUIPO_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3EB6DB-C081-C146-AFA0-B80DE23263E8}" name="Tabla3" displayName="Tabla3" ref="AT1:AY46" totalsRowShown="0" headerRowDxfId="1">
  <autoFilter ref="AT1:AY46" xr:uid="{493EB6DB-C081-C146-AFA0-B80DE23263E8}"/>
  <tableColumns count="6">
    <tableColumn id="1" xr3:uid="{6D061884-5E00-8142-9F83-7C882E3EB74C}" name="Partido" dataDxfId="0"/>
    <tableColumn id="2" xr3:uid="{F181A438-88B8-B247-B837-243E358674F9}" name="Equipo1_Jugador1"/>
    <tableColumn id="3" xr3:uid="{861F7C7C-882C-B94D-9635-99C27DCCC53C}" name="Equipo1_Jugador2"/>
    <tableColumn id="4" xr3:uid="{7718A992-F2A2-BD4B-9286-2221B71ED02C}" name="Equipo2_Jugador1"/>
    <tableColumn id="5" xr3:uid="{3D2D7B12-2254-A949-AF36-B5D09A8F2EA4}" name="Equipo2_Jugador2"/>
    <tableColumn id="6" xr3:uid="{41D0C4A7-ACE5-184E-95EE-D616D0AF2AA2}" name="Canch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75B8-2109-47B6-BAB6-DEBDE4D11277}">
  <dimension ref="A1:I142"/>
  <sheetViews>
    <sheetView showGridLines="0" zoomScale="70" zoomScaleNormal="70" workbookViewId="0">
      <selection activeCell="C38" sqref="C38"/>
    </sheetView>
  </sheetViews>
  <sheetFormatPr defaultColWidth="11.42578125" defaultRowHeight="14.45"/>
  <cols>
    <col min="1" max="1" width="10" bestFit="1" customWidth="1"/>
    <col min="2" max="2" width="39.28515625" bestFit="1" customWidth="1"/>
    <col min="3" max="3" width="12" bestFit="1" customWidth="1"/>
    <col min="4" max="4" width="10" bestFit="1" customWidth="1"/>
    <col min="7" max="7" width="3.85546875" bestFit="1" customWidth="1"/>
    <col min="8" max="8" width="35.85546875" bestFit="1" customWidth="1"/>
    <col min="9" max="9" width="16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H1" s="10" t="s">
        <v>4</v>
      </c>
      <c r="I1" t="s">
        <v>5</v>
      </c>
    </row>
    <row r="2" spans="1:9" ht="16.899999999999999">
      <c r="A2">
        <v>1</v>
      </c>
      <c r="B2" t="s">
        <v>6</v>
      </c>
      <c r="C2" t="s">
        <v>7</v>
      </c>
      <c r="D2">
        <v>7</v>
      </c>
      <c r="F2" s="12" t="str">
        <f>IF(G2=1,"🥇",IF(G2=2,"🥈",IF(G2=3,"🥉",IF(G2=4,"🏅",""))))</f>
        <v>🥇</v>
      </c>
      <c r="G2">
        <v>1</v>
      </c>
      <c r="H2" s="11" t="s">
        <v>8</v>
      </c>
      <c r="I2">
        <v>35</v>
      </c>
    </row>
    <row r="3" spans="1:9" ht="16.899999999999999">
      <c r="A3">
        <v>1</v>
      </c>
      <c r="B3" t="s">
        <v>9</v>
      </c>
      <c r="C3" t="s">
        <v>7</v>
      </c>
      <c r="D3">
        <v>2</v>
      </c>
      <c r="F3" s="12" t="str">
        <f t="shared" ref="F3:F37" si="0">IF(G3=1,"🥇",IF(G3=2,"🥈",IF(G3=3,"🥉",IF(G3=4,"🏅",""))))</f>
        <v>🥈</v>
      </c>
      <c r="G3">
        <v>2</v>
      </c>
      <c r="H3" s="11" t="s">
        <v>10</v>
      </c>
      <c r="I3">
        <v>34</v>
      </c>
    </row>
    <row r="4" spans="1:9" ht="16.899999999999999">
      <c r="A4">
        <v>1</v>
      </c>
      <c r="B4" t="s">
        <v>11</v>
      </c>
      <c r="C4" t="s">
        <v>7</v>
      </c>
      <c r="D4">
        <v>14</v>
      </c>
      <c r="F4" s="12" t="str">
        <f t="shared" si="0"/>
        <v>🥉</v>
      </c>
      <c r="G4">
        <v>3</v>
      </c>
      <c r="H4" s="11" t="s">
        <v>12</v>
      </c>
      <c r="I4">
        <v>34</v>
      </c>
    </row>
    <row r="5" spans="1:9" ht="16.899999999999999">
      <c r="A5">
        <v>1</v>
      </c>
      <c r="B5" t="s">
        <v>13</v>
      </c>
      <c r="C5" t="s">
        <v>14</v>
      </c>
      <c r="D5">
        <v>1</v>
      </c>
      <c r="F5" s="12" t="str">
        <f t="shared" si="0"/>
        <v>🏅</v>
      </c>
      <c r="G5">
        <v>4</v>
      </c>
      <c r="H5" s="11" t="s">
        <v>15</v>
      </c>
      <c r="I5">
        <v>33</v>
      </c>
    </row>
    <row r="6" spans="1:9" ht="16.899999999999999">
      <c r="A6">
        <v>1</v>
      </c>
      <c r="B6" t="s">
        <v>16</v>
      </c>
      <c r="C6" t="s">
        <v>14</v>
      </c>
      <c r="D6">
        <v>4</v>
      </c>
      <c r="F6" s="12" t="str">
        <f t="shared" si="0"/>
        <v/>
      </c>
      <c r="G6">
        <v>5</v>
      </c>
      <c r="H6" s="11" t="s">
        <v>17</v>
      </c>
      <c r="I6">
        <v>33</v>
      </c>
    </row>
    <row r="7" spans="1:9" ht="16.899999999999999">
      <c r="A7">
        <v>1</v>
      </c>
      <c r="B7" t="s">
        <v>16</v>
      </c>
      <c r="C7" t="s">
        <v>7</v>
      </c>
      <c r="D7">
        <v>9</v>
      </c>
      <c r="F7" s="12" t="str">
        <f t="shared" si="0"/>
        <v/>
      </c>
      <c r="G7">
        <v>6</v>
      </c>
      <c r="H7" s="11" t="s">
        <v>18</v>
      </c>
      <c r="I7">
        <v>32</v>
      </c>
    </row>
    <row r="8" spans="1:9" ht="16.899999999999999">
      <c r="A8">
        <v>1</v>
      </c>
      <c r="B8" t="s">
        <v>18</v>
      </c>
      <c r="C8" t="s">
        <v>7</v>
      </c>
      <c r="D8">
        <v>7</v>
      </c>
      <c r="F8" s="12" t="str">
        <f t="shared" si="0"/>
        <v/>
      </c>
      <c r="G8">
        <v>7</v>
      </c>
      <c r="H8" s="11" t="s">
        <v>19</v>
      </c>
      <c r="I8">
        <v>32</v>
      </c>
    </row>
    <row r="9" spans="1:9" ht="16.899999999999999">
      <c r="A9">
        <v>1</v>
      </c>
      <c r="B9" t="s">
        <v>20</v>
      </c>
      <c r="C9" t="s">
        <v>14</v>
      </c>
      <c r="D9">
        <v>4</v>
      </c>
      <c r="F9" s="12" t="str">
        <f t="shared" si="0"/>
        <v/>
      </c>
      <c r="G9">
        <v>8</v>
      </c>
      <c r="H9" s="11" t="s">
        <v>21</v>
      </c>
      <c r="I9">
        <v>31</v>
      </c>
    </row>
    <row r="10" spans="1:9" ht="16.899999999999999">
      <c r="A10">
        <v>1</v>
      </c>
      <c r="B10" t="s">
        <v>22</v>
      </c>
      <c r="C10" t="s">
        <v>7</v>
      </c>
      <c r="D10">
        <v>7</v>
      </c>
      <c r="F10" s="12" t="str">
        <f t="shared" si="0"/>
        <v/>
      </c>
      <c r="G10">
        <v>9</v>
      </c>
      <c r="H10" s="11" t="s">
        <v>23</v>
      </c>
      <c r="I10">
        <v>31</v>
      </c>
    </row>
    <row r="11" spans="1:9" ht="16.899999999999999">
      <c r="A11">
        <v>1</v>
      </c>
      <c r="B11" t="s">
        <v>24</v>
      </c>
      <c r="C11" t="s">
        <v>14</v>
      </c>
      <c r="D11">
        <v>7</v>
      </c>
      <c r="F11" s="12" t="str">
        <f t="shared" si="0"/>
        <v/>
      </c>
      <c r="G11">
        <v>10</v>
      </c>
      <c r="H11" s="11" t="s">
        <v>25</v>
      </c>
      <c r="I11">
        <v>30</v>
      </c>
    </row>
    <row r="12" spans="1:9" ht="16.899999999999999">
      <c r="A12">
        <v>1</v>
      </c>
      <c r="B12" t="s">
        <v>21</v>
      </c>
      <c r="C12" t="s">
        <v>14</v>
      </c>
      <c r="D12">
        <v>7</v>
      </c>
      <c r="F12" s="12" t="str">
        <f t="shared" si="0"/>
        <v/>
      </c>
      <c r="G12">
        <v>11</v>
      </c>
      <c r="H12" s="11" t="s">
        <v>26</v>
      </c>
      <c r="I12">
        <v>30</v>
      </c>
    </row>
    <row r="13" spans="1:9" ht="16.899999999999999">
      <c r="A13">
        <v>1</v>
      </c>
      <c r="B13" t="s">
        <v>27</v>
      </c>
      <c r="C13" t="s">
        <v>7</v>
      </c>
      <c r="D13">
        <v>5</v>
      </c>
      <c r="F13" s="12" t="str">
        <f t="shared" si="0"/>
        <v/>
      </c>
      <c r="G13">
        <v>12</v>
      </c>
      <c r="H13" s="11" t="s">
        <v>28</v>
      </c>
      <c r="I13">
        <v>29</v>
      </c>
    </row>
    <row r="14" spans="1:9" ht="16.899999999999999">
      <c r="A14">
        <v>1</v>
      </c>
      <c r="B14" t="s">
        <v>8</v>
      </c>
      <c r="C14" t="s">
        <v>14</v>
      </c>
      <c r="D14">
        <v>7</v>
      </c>
      <c r="F14" s="12" t="str">
        <f t="shared" si="0"/>
        <v/>
      </c>
      <c r="G14">
        <v>13</v>
      </c>
      <c r="H14" s="11" t="s">
        <v>11</v>
      </c>
      <c r="I14">
        <v>29</v>
      </c>
    </row>
    <row r="15" spans="1:9" ht="16.899999999999999">
      <c r="A15">
        <v>1</v>
      </c>
      <c r="B15" t="s">
        <v>29</v>
      </c>
      <c r="C15" t="s">
        <v>7</v>
      </c>
      <c r="D15">
        <v>6</v>
      </c>
      <c r="F15" s="12" t="str">
        <f t="shared" si="0"/>
        <v/>
      </c>
      <c r="G15">
        <v>14</v>
      </c>
      <c r="H15" s="11" t="s">
        <v>30</v>
      </c>
      <c r="I15">
        <v>29</v>
      </c>
    </row>
    <row r="16" spans="1:9" ht="16.899999999999999">
      <c r="A16">
        <v>1</v>
      </c>
      <c r="B16" t="s">
        <v>10</v>
      </c>
      <c r="C16" t="s">
        <v>14</v>
      </c>
      <c r="D16">
        <v>6</v>
      </c>
      <c r="F16" s="12" t="str">
        <f t="shared" si="0"/>
        <v/>
      </c>
      <c r="G16">
        <v>15</v>
      </c>
      <c r="H16" s="11" t="s">
        <v>31</v>
      </c>
      <c r="I16">
        <v>29</v>
      </c>
    </row>
    <row r="17" spans="1:9" ht="16.899999999999999">
      <c r="A17">
        <v>1</v>
      </c>
      <c r="B17" t="s">
        <v>32</v>
      </c>
      <c r="C17" t="s">
        <v>7</v>
      </c>
      <c r="D17">
        <v>1</v>
      </c>
      <c r="F17" s="12" t="str">
        <f t="shared" si="0"/>
        <v/>
      </c>
      <c r="G17">
        <v>16</v>
      </c>
      <c r="H17" s="11" t="s">
        <v>33</v>
      </c>
      <c r="I17">
        <v>28</v>
      </c>
    </row>
    <row r="18" spans="1:9" ht="16.899999999999999">
      <c r="A18">
        <v>1</v>
      </c>
      <c r="B18" t="s">
        <v>34</v>
      </c>
      <c r="C18" t="s">
        <v>7</v>
      </c>
      <c r="D18">
        <v>11</v>
      </c>
      <c r="F18" s="12" t="str">
        <f t="shared" si="0"/>
        <v/>
      </c>
      <c r="G18">
        <v>17</v>
      </c>
      <c r="H18" s="11" t="s">
        <v>35</v>
      </c>
      <c r="I18">
        <v>28</v>
      </c>
    </row>
    <row r="19" spans="1:9" ht="16.899999999999999">
      <c r="A19">
        <v>1</v>
      </c>
      <c r="B19" t="s">
        <v>30</v>
      </c>
      <c r="C19" t="s">
        <v>14</v>
      </c>
      <c r="D19">
        <v>13</v>
      </c>
      <c r="F19" s="12" t="str">
        <f t="shared" si="0"/>
        <v/>
      </c>
      <c r="G19">
        <v>18</v>
      </c>
      <c r="H19" s="11" t="s">
        <v>16</v>
      </c>
      <c r="I19">
        <v>27</v>
      </c>
    </row>
    <row r="20" spans="1:9" ht="16.899999999999999">
      <c r="A20">
        <v>1</v>
      </c>
      <c r="B20" t="s">
        <v>9</v>
      </c>
      <c r="C20" t="s">
        <v>14</v>
      </c>
      <c r="D20">
        <v>2</v>
      </c>
      <c r="F20" s="12" t="str">
        <f t="shared" si="0"/>
        <v/>
      </c>
      <c r="G20">
        <v>19</v>
      </c>
      <c r="H20" s="11" t="s">
        <v>36</v>
      </c>
      <c r="I20">
        <v>26</v>
      </c>
    </row>
    <row r="21" spans="1:9" ht="16.899999999999999">
      <c r="A21">
        <v>1</v>
      </c>
      <c r="B21" t="s">
        <v>13</v>
      </c>
      <c r="C21" t="s">
        <v>13</v>
      </c>
      <c r="D21">
        <v>5</v>
      </c>
      <c r="F21" s="12" t="str">
        <f t="shared" si="0"/>
        <v/>
      </c>
      <c r="G21">
        <v>20</v>
      </c>
      <c r="H21" s="11" t="s">
        <v>29</v>
      </c>
      <c r="I21">
        <v>26</v>
      </c>
    </row>
    <row r="22" spans="1:9" ht="16.899999999999999">
      <c r="A22">
        <v>1</v>
      </c>
      <c r="B22" t="s">
        <v>25</v>
      </c>
      <c r="C22" t="s">
        <v>14</v>
      </c>
      <c r="D22">
        <v>13</v>
      </c>
      <c r="F22" s="12" t="str">
        <f t="shared" si="0"/>
        <v/>
      </c>
      <c r="G22">
        <v>21</v>
      </c>
      <c r="H22" s="11" t="s">
        <v>6</v>
      </c>
      <c r="I22">
        <v>25</v>
      </c>
    </row>
    <row r="23" spans="1:9" ht="16.899999999999999">
      <c r="A23">
        <v>1</v>
      </c>
      <c r="B23" t="s">
        <v>25</v>
      </c>
      <c r="C23" t="s">
        <v>7</v>
      </c>
      <c r="D23">
        <v>4</v>
      </c>
      <c r="F23" s="12" t="str">
        <f t="shared" si="0"/>
        <v/>
      </c>
      <c r="G23">
        <v>22</v>
      </c>
      <c r="H23" s="11" t="s">
        <v>34</v>
      </c>
      <c r="I23">
        <v>25</v>
      </c>
    </row>
    <row r="24" spans="1:9" ht="16.899999999999999">
      <c r="A24">
        <v>1</v>
      </c>
      <c r="B24" t="s">
        <v>37</v>
      </c>
      <c r="C24" t="s">
        <v>14</v>
      </c>
      <c r="D24">
        <v>7</v>
      </c>
      <c r="F24" s="12" t="str">
        <f t="shared" si="0"/>
        <v/>
      </c>
      <c r="G24">
        <v>23</v>
      </c>
      <c r="H24" s="11" t="s">
        <v>24</v>
      </c>
      <c r="I24">
        <v>25</v>
      </c>
    </row>
    <row r="25" spans="1:9" ht="16.899999999999999">
      <c r="A25">
        <v>1</v>
      </c>
      <c r="B25" t="s">
        <v>37</v>
      </c>
      <c r="C25" t="s">
        <v>7</v>
      </c>
      <c r="D25">
        <v>1</v>
      </c>
      <c r="F25" s="12" t="str">
        <f t="shared" si="0"/>
        <v/>
      </c>
      <c r="G25">
        <v>24</v>
      </c>
      <c r="H25" s="11" t="s">
        <v>38</v>
      </c>
      <c r="I25">
        <v>25</v>
      </c>
    </row>
    <row r="26" spans="1:9" ht="16.899999999999999">
      <c r="A26">
        <v>1</v>
      </c>
      <c r="B26" t="s">
        <v>16</v>
      </c>
      <c r="C26" t="s">
        <v>14</v>
      </c>
      <c r="D26">
        <v>7</v>
      </c>
      <c r="F26" s="12" t="str">
        <f t="shared" si="0"/>
        <v/>
      </c>
      <c r="G26">
        <v>25</v>
      </c>
      <c r="H26" s="11" t="s">
        <v>39</v>
      </c>
      <c r="I26">
        <v>24</v>
      </c>
    </row>
    <row r="27" spans="1:9" ht="16.899999999999999">
      <c r="A27">
        <v>1</v>
      </c>
      <c r="B27" t="s">
        <v>22</v>
      </c>
      <c r="C27" t="s">
        <v>14</v>
      </c>
      <c r="D27">
        <v>2</v>
      </c>
      <c r="F27" s="12" t="str">
        <f t="shared" si="0"/>
        <v/>
      </c>
      <c r="G27">
        <v>26</v>
      </c>
      <c r="H27" s="11" t="s">
        <v>27</v>
      </c>
      <c r="I27">
        <v>24</v>
      </c>
    </row>
    <row r="28" spans="1:9" ht="16.899999999999999">
      <c r="A28">
        <v>1</v>
      </c>
      <c r="B28" t="s">
        <v>12</v>
      </c>
      <c r="C28" t="s">
        <v>7</v>
      </c>
      <c r="D28">
        <v>7</v>
      </c>
      <c r="F28" s="12" t="str">
        <f t="shared" si="0"/>
        <v/>
      </c>
      <c r="G28">
        <v>27</v>
      </c>
      <c r="H28" s="11" t="s">
        <v>40</v>
      </c>
      <c r="I28">
        <v>24</v>
      </c>
    </row>
    <row r="29" spans="1:9" ht="16.899999999999999">
      <c r="A29">
        <v>1</v>
      </c>
      <c r="B29" t="s">
        <v>31</v>
      </c>
      <c r="C29" t="s">
        <v>7</v>
      </c>
      <c r="D29">
        <v>7</v>
      </c>
      <c r="F29" s="12" t="str">
        <f t="shared" si="0"/>
        <v/>
      </c>
      <c r="G29">
        <v>28</v>
      </c>
      <c r="H29" s="11" t="s">
        <v>37</v>
      </c>
      <c r="I29">
        <v>23</v>
      </c>
    </row>
    <row r="30" spans="1:9" ht="16.899999999999999">
      <c r="A30">
        <v>1</v>
      </c>
      <c r="B30" t="s">
        <v>27</v>
      </c>
      <c r="C30" t="s">
        <v>14</v>
      </c>
      <c r="D30">
        <v>1</v>
      </c>
      <c r="F30" s="12" t="str">
        <f t="shared" si="0"/>
        <v/>
      </c>
      <c r="G30">
        <v>29</v>
      </c>
      <c r="H30" s="11" t="s">
        <v>20</v>
      </c>
      <c r="I30">
        <v>23</v>
      </c>
    </row>
    <row r="31" spans="1:9" ht="16.899999999999999">
      <c r="A31">
        <v>1</v>
      </c>
      <c r="B31" t="s">
        <v>28</v>
      </c>
      <c r="C31" t="s">
        <v>14</v>
      </c>
      <c r="D31">
        <v>7</v>
      </c>
      <c r="F31" s="12" t="str">
        <f t="shared" si="0"/>
        <v/>
      </c>
      <c r="G31">
        <v>30</v>
      </c>
      <c r="H31" s="11" t="s">
        <v>41</v>
      </c>
      <c r="I31">
        <v>20</v>
      </c>
    </row>
    <row r="32" spans="1:9" ht="16.899999999999999">
      <c r="A32">
        <v>1</v>
      </c>
      <c r="B32" t="s">
        <v>38</v>
      </c>
      <c r="C32" t="s">
        <v>7</v>
      </c>
      <c r="D32">
        <v>4</v>
      </c>
      <c r="F32" s="12" t="str">
        <f t="shared" si="0"/>
        <v/>
      </c>
      <c r="G32">
        <v>31</v>
      </c>
      <c r="H32" s="11" t="s">
        <v>22</v>
      </c>
      <c r="I32">
        <v>20</v>
      </c>
    </row>
    <row r="33" spans="1:9" ht="16.899999999999999">
      <c r="A33">
        <v>1</v>
      </c>
      <c r="B33" t="s">
        <v>8</v>
      </c>
      <c r="C33" t="s">
        <v>14</v>
      </c>
      <c r="D33">
        <v>7</v>
      </c>
      <c r="F33" s="12" t="str">
        <f t="shared" si="0"/>
        <v/>
      </c>
      <c r="G33">
        <v>32</v>
      </c>
      <c r="H33" s="11" t="s">
        <v>42</v>
      </c>
      <c r="I33">
        <v>18</v>
      </c>
    </row>
    <row r="34" spans="1:9" ht="16.899999999999999">
      <c r="A34">
        <v>1</v>
      </c>
      <c r="B34" t="s">
        <v>32</v>
      </c>
      <c r="C34" t="s">
        <v>7</v>
      </c>
      <c r="D34">
        <v>6</v>
      </c>
      <c r="F34" s="12" t="str">
        <f t="shared" si="0"/>
        <v/>
      </c>
      <c r="G34">
        <v>33</v>
      </c>
      <c r="H34" s="11" t="s">
        <v>43</v>
      </c>
      <c r="I34">
        <v>16</v>
      </c>
    </row>
    <row r="35" spans="1:9" ht="16.899999999999999">
      <c r="A35">
        <v>1</v>
      </c>
      <c r="B35" t="s">
        <v>43</v>
      </c>
      <c r="C35" t="s">
        <v>14</v>
      </c>
      <c r="D35">
        <v>5</v>
      </c>
      <c r="F35" s="12" t="str">
        <f t="shared" si="0"/>
        <v/>
      </c>
      <c r="G35">
        <v>34</v>
      </c>
      <c r="H35" s="11" t="s">
        <v>32</v>
      </c>
      <c r="I35">
        <v>15</v>
      </c>
    </row>
    <row r="36" spans="1:9" ht="16.899999999999999">
      <c r="A36">
        <v>1</v>
      </c>
      <c r="B36" t="s">
        <v>34</v>
      </c>
      <c r="C36" t="s">
        <v>7</v>
      </c>
      <c r="D36">
        <v>7</v>
      </c>
      <c r="F36" s="12" t="str">
        <f t="shared" si="0"/>
        <v/>
      </c>
      <c r="G36">
        <v>35</v>
      </c>
      <c r="H36" s="11" t="s">
        <v>13</v>
      </c>
      <c r="I36">
        <v>13</v>
      </c>
    </row>
    <row r="37" spans="1:9" ht="16.899999999999999">
      <c r="A37">
        <v>1</v>
      </c>
      <c r="B37" t="s">
        <v>6</v>
      </c>
      <c r="C37" t="s">
        <v>14</v>
      </c>
      <c r="D37">
        <v>6</v>
      </c>
      <c r="F37" s="12" t="str">
        <f t="shared" si="0"/>
        <v/>
      </c>
      <c r="G37">
        <v>36</v>
      </c>
      <c r="H37" s="11" t="s">
        <v>9</v>
      </c>
      <c r="I37">
        <v>12</v>
      </c>
    </row>
    <row r="38" spans="1:9">
      <c r="A38">
        <v>1</v>
      </c>
      <c r="B38" t="s">
        <v>39</v>
      </c>
      <c r="C38" t="s">
        <v>14</v>
      </c>
      <c r="D38">
        <v>1</v>
      </c>
      <c r="H38" s="11" t="s">
        <v>44</v>
      </c>
      <c r="I38">
        <v>938</v>
      </c>
    </row>
    <row r="39" spans="1:9">
      <c r="A39">
        <v>1</v>
      </c>
      <c r="B39" t="s">
        <v>39</v>
      </c>
      <c r="C39" t="s">
        <v>7</v>
      </c>
      <c r="D39">
        <v>17</v>
      </c>
    </row>
    <row r="40" spans="1:9">
      <c r="A40">
        <v>1</v>
      </c>
      <c r="B40" t="s">
        <v>9</v>
      </c>
      <c r="C40" t="s">
        <v>14</v>
      </c>
      <c r="D40">
        <v>6</v>
      </c>
    </row>
    <row r="41" spans="1:9">
      <c r="A41">
        <v>1</v>
      </c>
      <c r="B41" t="s">
        <v>13</v>
      </c>
      <c r="C41" t="s">
        <v>14</v>
      </c>
      <c r="D41">
        <v>5</v>
      </c>
    </row>
    <row r="42" spans="1:9">
      <c r="A42">
        <v>1</v>
      </c>
      <c r="B42" t="s">
        <v>37</v>
      </c>
      <c r="C42" t="s">
        <v>14</v>
      </c>
      <c r="D42">
        <v>6</v>
      </c>
    </row>
    <row r="43" spans="1:9">
      <c r="A43">
        <v>1</v>
      </c>
      <c r="B43" t="s">
        <v>40</v>
      </c>
      <c r="C43" t="s">
        <v>14</v>
      </c>
      <c r="D43">
        <v>7</v>
      </c>
    </row>
    <row r="44" spans="1:9">
      <c r="A44">
        <v>1</v>
      </c>
      <c r="B44" t="s">
        <v>12</v>
      </c>
      <c r="C44" t="s">
        <v>14</v>
      </c>
      <c r="D44">
        <v>7</v>
      </c>
    </row>
    <row r="45" spans="1:9">
      <c r="A45">
        <v>1</v>
      </c>
      <c r="B45" t="s">
        <v>26</v>
      </c>
      <c r="C45" t="s">
        <v>7</v>
      </c>
      <c r="D45">
        <v>7</v>
      </c>
    </row>
    <row r="46" spans="1:9">
      <c r="A46">
        <v>1</v>
      </c>
      <c r="B46" t="s">
        <v>23</v>
      </c>
      <c r="C46" t="s">
        <v>14</v>
      </c>
      <c r="D46">
        <v>5</v>
      </c>
    </row>
    <row r="47" spans="1:9">
      <c r="A47">
        <v>1</v>
      </c>
      <c r="B47" t="s">
        <v>8</v>
      </c>
      <c r="C47" t="s">
        <v>14</v>
      </c>
      <c r="D47">
        <v>7</v>
      </c>
    </row>
    <row r="48" spans="1:9">
      <c r="A48">
        <v>1</v>
      </c>
      <c r="B48" t="s">
        <v>8</v>
      </c>
      <c r="C48" t="s">
        <v>7</v>
      </c>
      <c r="D48">
        <v>14</v>
      </c>
    </row>
    <row r="49" spans="1:4">
      <c r="A49">
        <v>1</v>
      </c>
      <c r="B49" t="s">
        <v>17</v>
      </c>
      <c r="C49" t="s">
        <v>7</v>
      </c>
      <c r="D49">
        <v>5</v>
      </c>
    </row>
    <row r="50" spans="1:4">
      <c r="A50">
        <v>1</v>
      </c>
      <c r="B50" t="s">
        <v>15</v>
      </c>
      <c r="C50" t="s">
        <v>7</v>
      </c>
      <c r="D50">
        <v>7</v>
      </c>
    </row>
    <row r="51" spans="1:4">
      <c r="A51">
        <v>1</v>
      </c>
      <c r="B51" t="s">
        <v>19</v>
      </c>
      <c r="C51" t="s">
        <v>14</v>
      </c>
      <c r="D51">
        <v>5</v>
      </c>
    </row>
    <row r="52" spans="1:4">
      <c r="A52">
        <v>1</v>
      </c>
      <c r="B52" t="s">
        <v>19</v>
      </c>
      <c r="C52" t="s">
        <v>7</v>
      </c>
      <c r="D52">
        <v>7</v>
      </c>
    </row>
    <row r="53" spans="1:4">
      <c r="A53">
        <v>1</v>
      </c>
      <c r="B53" t="s">
        <v>36</v>
      </c>
      <c r="C53" t="s">
        <v>14</v>
      </c>
      <c r="D53">
        <v>5</v>
      </c>
    </row>
    <row r="54" spans="1:4">
      <c r="A54">
        <v>1</v>
      </c>
      <c r="B54" t="s">
        <v>6</v>
      </c>
      <c r="C54" t="s">
        <v>14</v>
      </c>
      <c r="D54">
        <v>5</v>
      </c>
    </row>
    <row r="55" spans="1:4">
      <c r="A55">
        <v>1</v>
      </c>
      <c r="B55" t="s">
        <v>33</v>
      </c>
      <c r="C55" t="s">
        <v>7</v>
      </c>
      <c r="D55">
        <v>11</v>
      </c>
    </row>
    <row r="56" spans="1:4">
      <c r="A56">
        <v>1</v>
      </c>
      <c r="B56" t="s">
        <v>30</v>
      </c>
      <c r="C56" t="s">
        <v>14</v>
      </c>
      <c r="D56">
        <v>7</v>
      </c>
    </row>
    <row r="57" spans="1:4">
      <c r="A57">
        <v>1</v>
      </c>
      <c r="B57" t="s">
        <v>25</v>
      </c>
      <c r="C57" t="s">
        <v>7</v>
      </c>
      <c r="D57">
        <v>7</v>
      </c>
    </row>
    <row r="58" spans="1:4">
      <c r="A58">
        <v>1</v>
      </c>
      <c r="B58" t="s">
        <v>18</v>
      </c>
      <c r="C58" t="s">
        <v>14</v>
      </c>
      <c r="D58">
        <v>7</v>
      </c>
    </row>
    <row r="59" spans="1:4">
      <c r="A59">
        <v>1</v>
      </c>
      <c r="B59" t="s">
        <v>18</v>
      </c>
      <c r="C59" t="s">
        <v>7</v>
      </c>
      <c r="D59">
        <v>7</v>
      </c>
    </row>
    <row r="60" spans="1:4">
      <c r="A60">
        <v>1</v>
      </c>
      <c r="B60" t="s">
        <v>12</v>
      </c>
      <c r="C60" t="s">
        <v>14</v>
      </c>
      <c r="D60">
        <v>14</v>
      </c>
    </row>
    <row r="61" spans="1:4">
      <c r="A61">
        <v>1</v>
      </c>
      <c r="B61" t="s">
        <v>26</v>
      </c>
      <c r="C61" t="s">
        <v>7</v>
      </c>
      <c r="D61">
        <v>6</v>
      </c>
    </row>
    <row r="62" spans="1:4">
      <c r="A62">
        <v>1</v>
      </c>
      <c r="B62" t="s">
        <v>23</v>
      </c>
      <c r="C62" t="s">
        <v>7</v>
      </c>
      <c r="D62">
        <v>5</v>
      </c>
    </row>
    <row r="63" spans="1:4">
      <c r="A63">
        <v>1</v>
      </c>
      <c r="B63" t="s">
        <v>27</v>
      </c>
      <c r="C63" t="s">
        <v>14</v>
      </c>
      <c r="D63">
        <v>11</v>
      </c>
    </row>
    <row r="64" spans="1:4">
      <c r="A64">
        <v>1</v>
      </c>
      <c r="B64" t="s">
        <v>29</v>
      </c>
      <c r="C64" t="s">
        <v>7</v>
      </c>
      <c r="D64">
        <v>5</v>
      </c>
    </row>
    <row r="65" spans="1:4">
      <c r="A65">
        <v>1</v>
      </c>
      <c r="B65" t="s">
        <v>17</v>
      </c>
      <c r="C65" t="s">
        <v>7</v>
      </c>
      <c r="D65">
        <v>7</v>
      </c>
    </row>
    <row r="66" spans="1:4">
      <c r="A66">
        <v>1</v>
      </c>
      <c r="B66" t="s">
        <v>42</v>
      </c>
      <c r="C66" t="s">
        <v>14</v>
      </c>
      <c r="D66">
        <v>7</v>
      </c>
    </row>
    <row r="67" spans="1:4">
      <c r="A67">
        <v>1</v>
      </c>
      <c r="B67" t="s">
        <v>42</v>
      </c>
      <c r="C67" t="s">
        <v>7</v>
      </c>
      <c r="D67">
        <v>1</v>
      </c>
    </row>
    <row r="68" spans="1:4">
      <c r="A68">
        <v>1</v>
      </c>
      <c r="B68" t="s">
        <v>19</v>
      </c>
      <c r="C68" t="s">
        <v>14</v>
      </c>
      <c r="D68">
        <v>6</v>
      </c>
    </row>
    <row r="69" spans="1:4">
      <c r="A69">
        <v>1</v>
      </c>
      <c r="B69" t="s">
        <v>34</v>
      </c>
      <c r="C69" t="s">
        <v>7</v>
      </c>
      <c r="D69">
        <v>5</v>
      </c>
    </row>
    <row r="70" spans="1:4">
      <c r="A70">
        <v>1</v>
      </c>
      <c r="B70" t="s">
        <v>36</v>
      </c>
      <c r="C70" t="s">
        <v>7</v>
      </c>
      <c r="D70">
        <v>6</v>
      </c>
    </row>
    <row r="71" spans="1:4">
      <c r="A71">
        <v>2</v>
      </c>
      <c r="B71" t="s">
        <v>6</v>
      </c>
      <c r="C71" t="s">
        <v>14</v>
      </c>
      <c r="D71">
        <v>7</v>
      </c>
    </row>
    <row r="72" spans="1:4">
      <c r="A72">
        <v>2</v>
      </c>
      <c r="B72" t="s">
        <v>30</v>
      </c>
      <c r="C72" t="s">
        <v>14</v>
      </c>
      <c r="D72">
        <v>7</v>
      </c>
    </row>
    <row r="73" spans="1:4">
      <c r="A73">
        <v>2</v>
      </c>
      <c r="B73" t="s">
        <v>9</v>
      </c>
      <c r="C73" t="s">
        <v>14</v>
      </c>
      <c r="D73">
        <v>2</v>
      </c>
    </row>
    <row r="74" spans="1:4">
      <c r="A74">
        <v>2</v>
      </c>
      <c r="B74" t="s">
        <v>13</v>
      </c>
      <c r="C74" t="s">
        <v>14</v>
      </c>
      <c r="D74">
        <v>2</v>
      </c>
    </row>
    <row r="75" spans="1:4">
      <c r="A75">
        <v>2</v>
      </c>
      <c r="B75" t="s">
        <v>24</v>
      </c>
      <c r="C75" t="s">
        <v>7</v>
      </c>
      <c r="D75">
        <v>9</v>
      </c>
    </row>
    <row r="76" spans="1:4">
      <c r="A76">
        <v>2</v>
      </c>
      <c r="B76" t="s">
        <v>21</v>
      </c>
      <c r="C76" t="s">
        <v>14</v>
      </c>
      <c r="D76">
        <v>13</v>
      </c>
    </row>
    <row r="77" spans="1:4">
      <c r="A77">
        <v>2</v>
      </c>
      <c r="B77" t="s">
        <v>31</v>
      </c>
      <c r="C77" t="s">
        <v>7</v>
      </c>
      <c r="D77">
        <v>2</v>
      </c>
    </row>
    <row r="78" spans="1:4">
      <c r="A78">
        <v>2</v>
      </c>
      <c r="B78" t="s">
        <v>27</v>
      </c>
      <c r="C78" t="s">
        <v>14</v>
      </c>
      <c r="D78">
        <v>7</v>
      </c>
    </row>
    <row r="79" spans="1:4">
      <c r="A79">
        <v>2</v>
      </c>
      <c r="B79" t="s">
        <v>38</v>
      </c>
      <c r="C79" t="s">
        <v>14</v>
      </c>
      <c r="D79">
        <v>10</v>
      </c>
    </row>
    <row r="80" spans="1:4">
      <c r="A80">
        <v>2</v>
      </c>
      <c r="B80" t="s">
        <v>35</v>
      </c>
      <c r="C80" t="s">
        <v>7</v>
      </c>
      <c r="D80">
        <v>14</v>
      </c>
    </row>
    <row r="81" spans="1:4">
      <c r="A81">
        <v>2</v>
      </c>
      <c r="B81" t="s">
        <v>17</v>
      </c>
      <c r="C81" t="s">
        <v>7</v>
      </c>
      <c r="D81">
        <v>7</v>
      </c>
    </row>
    <row r="82" spans="1:4">
      <c r="A82">
        <v>2</v>
      </c>
      <c r="B82" t="s">
        <v>42</v>
      </c>
      <c r="C82" t="s">
        <v>14</v>
      </c>
      <c r="D82">
        <v>8</v>
      </c>
    </row>
    <row r="83" spans="1:4">
      <c r="A83">
        <v>2</v>
      </c>
      <c r="B83" t="s">
        <v>32</v>
      </c>
      <c r="C83" t="s">
        <v>14</v>
      </c>
      <c r="D83">
        <v>7</v>
      </c>
    </row>
    <row r="84" spans="1:4">
      <c r="A84">
        <v>2</v>
      </c>
      <c r="B84" t="s">
        <v>43</v>
      </c>
      <c r="C84" t="s">
        <v>14</v>
      </c>
      <c r="D84">
        <v>11</v>
      </c>
    </row>
    <row r="85" spans="1:4">
      <c r="A85">
        <v>2</v>
      </c>
      <c r="B85" t="s">
        <v>41</v>
      </c>
      <c r="C85" t="s">
        <v>7</v>
      </c>
      <c r="D85">
        <v>4</v>
      </c>
    </row>
    <row r="86" spans="1:4">
      <c r="A86">
        <v>2</v>
      </c>
      <c r="B86" t="s">
        <v>15</v>
      </c>
      <c r="C86" t="s">
        <v>14</v>
      </c>
      <c r="D86">
        <v>7</v>
      </c>
    </row>
    <row r="87" spans="1:4">
      <c r="A87">
        <v>2</v>
      </c>
      <c r="B87" t="s">
        <v>39</v>
      </c>
      <c r="C87" t="s">
        <v>7</v>
      </c>
      <c r="D87">
        <v>6</v>
      </c>
    </row>
    <row r="88" spans="1:4">
      <c r="A88">
        <v>2</v>
      </c>
      <c r="B88" t="s">
        <v>37</v>
      </c>
      <c r="C88" t="s">
        <v>7</v>
      </c>
      <c r="D88">
        <v>2</v>
      </c>
    </row>
    <row r="89" spans="1:4">
      <c r="A89">
        <v>2</v>
      </c>
      <c r="B89" t="s">
        <v>40</v>
      </c>
      <c r="C89" t="s">
        <v>14</v>
      </c>
      <c r="D89">
        <v>10</v>
      </c>
    </row>
    <row r="90" spans="1:4">
      <c r="A90">
        <v>2</v>
      </c>
      <c r="B90" t="s">
        <v>18</v>
      </c>
      <c r="C90" t="s">
        <v>7</v>
      </c>
      <c r="D90">
        <v>4</v>
      </c>
    </row>
    <row r="91" spans="1:4">
      <c r="A91">
        <v>2</v>
      </c>
      <c r="B91" t="s">
        <v>20</v>
      </c>
      <c r="C91" t="s">
        <v>7</v>
      </c>
      <c r="D91">
        <v>14</v>
      </c>
    </row>
    <row r="92" spans="1:4">
      <c r="A92">
        <v>2</v>
      </c>
      <c r="B92" t="s">
        <v>22</v>
      </c>
      <c r="C92" t="s">
        <v>14</v>
      </c>
      <c r="D92">
        <v>2</v>
      </c>
    </row>
    <row r="93" spans="1:4">
      <c r="A93">
        <v>2</v>
      </c>
      <c r="B93" t="s">
        <v>26</v>
      </c>
      <c r="C93" t="s">
        <v>7</v>
      </c>
      <c r="D93">
        <v>5</v>
      </c>
    </row>
    <row r="94" spans="1:4">
      <c r="A94">
        <v>2</v>
      </c>
      <c r="B94" t="s">
        <v>26</v>
      </c>
      <c r="C94" t="s">
        <v>14</v>
      </c>
      <c r="D94">
        <v>4</v>
      </c>
    </row>
    <row r="95" spans="1:4">
      <c r="A95">
        <v>2</v>
      </c>
      <c r="B95" t="s">
        <v>24</v>
      </c>
      <c r="C95" t="s">
        <v>7</v>
      </c>
      <c r="D95">
        <v>2</v>
      </c>
    </row>
    <row r="96" spans="1:4">
      <c r="A96">
        <v>2</v>
      </c>
      <c r="B96" t="s">
        <v>23</v>
      </c>
      <c r="C96" t="s">
        <v>7</v>
      </c>
      <c r="D96">
        <v>7</v>
      </c>
    </row>
    <row r="97" spans="1:4">
      <c r="A97">
        <v>2</v>
      </c>
      <c r="B97" t="s">
        <v>23</v>
      </c>
      <c r="C97" t="s">
        <v>14</v>
      </c>
      <c r="D97">
        <v>7</v>
      </c>
    </row>
    <row r="98" spans="1:4">
      <c r="A98">
        <v>2</v>
      </c>
      <c r="B98" t="s">
        <v>31</v>
      </c>
      <c r="C98" t="s">
        <v>7</v>
      </c>
      <c r="D98">
        <v>6</v>
      </c>
    </row>
    <row r="99" spans="1:4">
      <c r="A99">
        <v>2</v>
      </c>
      <c r="B99" t="s">
        <v>28</v>
      </c>
      <c r="C99" t="s">
        <v>7</v>
      </c>
      <c r="D99">
        <v>6</v>
      </c>
    </row>
    <row r="100" spans="1:4">
      <c r="A100">
        <v>2</v>
      </c>
      <c r="B100" t="s">
        <v>35</v>
      </c>
      <c r="C100" t="s">
        <v>7</v>
      </c>
      <c r="D100">
        <v>7</v>
      </c>
    </row>
    <row r="101" spans="1:4">
      <c r="A101">
        <v>2</v>
      </c>
      <c r="B101" t="s">
        <v>17</v>
      </c>
      <c r="C101" t="s">
        <v>7</v>
      </c>
      <c r="D101">
        <v>7</v>
      </c>
    </row>
    <row r="102" spans="1:4">
      <c r="A102">
        <v>2</v>
      </c>
      <c r="B102" t="s">
        <v>10</v>
      </c>
      <c r="C102" t="s">
        <v>7</v>
      </c>
      <c r="D102">
        <v>7</v>
      </c>
    </row>
    <row r="103" spans="1:4">
      <c r="A103">
        <v>2</v>
      </c>
      <c r="B103" t="s">
        <v>32</v>
      </c>
      <c r="C103" t="s">
        <v>7</v>
      </c>
      <c r="D103">
        <v>1</v>
      </c>
    </row>
    <row r="104" spans="1:4">
      <c r="A104">
        <v>2</v>
      </c>
      <c r="B104" t="s">
        <v>41</v>
      </c>
      <c r="C104" t="s">
        <v>7</v>
      </c>
      <c r="D104">
        <v>7</v>
      </c>
    </row>
    <row r="105" spans="1:4">
      <c r="A105">
        <v>2</v>
      </c>
      <c r="B105" t="s">
        <v>15</v>
      </c>
      <c r="C105" t="s">
        <v>14</v>
      </c>
      <c r="D105">
        <v>7</v>
      </c>
    </row>
    <row r="106" spans="1:4">
      <c r="A106">
        <v>2</v>
      </c>
      <c r="B106" t="s">
        <v>36</v>
      </c>
      <c r="C106" t="s">
        <v>14</v>
      </c>
      <c r="D106">
        <v>6</v>
      </c>
    </row>
    <row r="107" spans="1:4">
      <c r="A107">
        <v>2</v>
      </c>
      <c r="B107" t="s">
        <v>33</v>
      </c>
      <c r="C107" t="s">
        <v>14</v>
      </c>
      <c r="D107">
        <v>7</v>
      </c>
    </row>
    <row r="108" spans="1:4">
      <c r="A108">
        <v>2</v>
      </c>
      <c r="B108" t="s">
        <v>30</v>
      </c>
      <c r="C108" t="s">
        <v>14</v>
      </c>
      <c r="D108">
        <v>2</v>
      </c>
    </row>
    <row r="109" spans="1:4">
      <c r="A109">
        <v>2</v>
      </c>
      <c r="B109" t="s">
        <v>11</v>
      </c>
      <c r="C109" t="s">
        <v>7</v>
      </c>
      <c r="D109">
        <v>2</v>
      </c>
    </row>
    <row r="110" spans="1:4">
      <c r="A110">
        <v>2</v>
      </c>
      <c r="B110" t="s">
        <v>25</v>
      </c>
      <c r="C110" t="s">
        <v>7</v>
      </c>
      <c r="D110">
        <v>6</v>
      </c>
    </row>
    <row r="111" spans="1:4">
      <c r="A111">
        <v>2</v>
      </c>
      <c r="B111" t="s">
        <v>37</v>
      </c>
      <c r="C111" t="s">
        <v>14</v>
      </c>
      <c r="D111">
        <v>7</v>
      </c>
    </row>
    <row r="112" spans="1:4">
      <c r="A112">
        <v>2</v>
      </c>
      <c r="B112" t="s">
        <v>40</v>
      </c>
      <c r="C112" t="s">
        <v>7</v>
      </c>
      <c r="D112">
        <v>7</v>
      </c>
    </row>
    <row r="113" spans="1:4">
      <c r="A113">
        <v>2</v>
      </c>
      <c r="B113" t="s">
        <v>20</v>
      </c>
      <c r="C113" t="s">
        <v>7</v>
      </c>
      <c r="D113">
        <v>5</v>
      </c>
    </row>
    <row r="114" spans="1:4">
      <c r="A114">
        <v>2</v>
      </c>
      <c r="B114" t="s">
        <v>12</v>
      </c>
      <c r="C114" t="s">
        <v>14</v>
      </c>
      <c r="D114">
        <v>6</v>
      </c>
    </row>
    <row r="115" spans="1:4">
      <c r="A115">
        <v>2</v>
      </c>
      <c r="B115" t="s">
        <v>24</v>
      </c>
      <c r="C115" t="s">
        <v>7</v>
      </c>
      <c r="D115">
        <v>7</v>
      </c>
    </row>
    <row r="116" spans="1:4">
      <c r="A116">
        <v>2</v>
      </c>
      <c r="B116" t="s">
        <v>23</v>
      </c>
      <c r="C116" t="s">
        <v>7</v>
      </c>
      <c r="D116">
        <v>7</v>
      </c>
    </row>
    <row r="117" spans="1:4">
      <c r="A117">
        <v>2</v>
      </c>
      <c r="B117" t="s">
        <v>21</v>
      </c>
      <c r="C117" t="s">
        <v>14</v>
      </c>
      <c r="D117">
        <v>4</v>
      </c>
    </row>
    <row r="118" spans="1:4">
      <c r="A118">
        <v>2</v>
      </c>
      <c r="B118" t="s">
        <v>31</v>
      </c>
      <c r="C118" t="s">
        <v>7</v>
      </c>
      <c r="D118">
        <v>14</v>
      </c>
    </row>
    <row r="119" spans="1:4">
      <c r="A119">
        <v>2</v>
      </c>
      <c r="B119" t="s">
        <v>28</v>
      </c>
      <c r="C119" t="s">
        <v>7</v>
      </c>
      <c r="D119">
        <v>10</v>
      </c>
    </row>
    <row r="120" spans="1:4">
      <c r="A120">
        <v>2</v>
      </c>
      <c r="B120" t="s">
        <v>29</v>
      </c>
      <c r="C120" t="s">
        <v>14</v>
      </c>
      <c r="D120">
        <v>9</v>
      </c>
    </row>
    <row r="121" spans="1:4">
      <c r="A121">
        <v>2</v>
      </c>
      <c r="B121" t="s">
        <v>10</v>
      </c>
      <c r="C121" t="s">
        <v>7</v>
      </c>
      <c r="D121">
        <v>14</v>
      </c>
    </row>
    <row r="122" spans="1:4">
      <c r="A122">
        <v>2</v>
      </c>
      <c r="B122" t="s">
        <v>42</v>
      </c>
      <c r="C122" t="s">
        <v>14</v>
      </c>
      <c r="D122">
        <v>2</v>
      </c>
    </row>
    <row r="123" spans="1:4">
      <c r="A123">
        <v>2</v>
      </c>
      <c r="B123" t="s">
        <v>41</v>
      </c>
      <c r="C123" t="s">
        <v>14</v>
      </c>
      <c r="D123">
        <v>7</v>
      </c>
    </row>
    <row r="124" spans="1:4">
      <c r="A124">
        <v>2</v>
      </c>
      <c r="B124" t="s">
        <v>19</v>
      </c>
      <c r="C124" t="s">
        <v>14</v>
      </c>
      <c r="D124">
        <v>14</v>
      </c>
    </row>
    <row r="125" spans="1:4">
      <c r="A125">
        <v>2</v>
      </c>
      <c r="B125" t="s">
        <v>33</v>
      </c>
      <c r="C125" t="s">
        <v>7</v>
      </c>
      <c r="D125">
        <v>10</v>
      </c>
    </row>
    <row r="126" spans="1:4">
      <c r="A126">
        <v>2</v>
      </c>
      <c r="B126" t="s">
        <v>11</v>
      </c>
      <c r="C126" t="s">
        <v>14</v>
      </c>
      <c r="D126">
        <v>13</v>
      </c>
    </row>
    <row r="127" spans="1:4">
      <c r="A127">
        <v>2</v>
      </c>
      <c r="B127" t="s">
        <v>16</v>
      </c>
      <c r="C127" t="s">
        <v>14</v>
      </c>
      <c r="D127">
        <v>7</v>
      </c>
    </row>
    <row r="128" spans="1:4">
      <c r="A128">
        <v>2</v>
      </c>
      <c r="B128" t="s">
        <v>18</v>
      </c>
      <c r="C128" t="s">
        <v>14</v>
      </c>
      <c r="D128">
        <v>7</v>
      </c>
    </row>
    <row r="129" spans="1:4">
      <c r="A129">
        <v>2</v>
      </c>
      <c r="B129" t="s">
        <v>22</v>
      </c>
      <c r="C129" t="s">
        <v>7</v>
      </c>
      <c r="D129">
        <v>9</v>
      </c>
    </row>
    <row r="130" spans="1:4">
      <c r="A130">
        <v>2</v>
      </c>
      <c r="B130" t="s">
        <v>26</v>
      </c>
      <c r="C130" t="s">
        <v>14</v>
      </c>
      <c r="D130">
        <v>8</v>
      </c>
    </row>
    <row r="131" spans="1:4">
      <c r="A131">
        <v>2</v>
      </c>
      <c r="B131" t="s">
        <v>21</v>
      </c>
      <c r="C131" t="s">
        <v>14</v>
      </c>
      <c r="D131">
        <v>7</v>
      </c>
    </row>
    <row r="132" spans="1:4">
      <c r="A132">
        <v>2</v>
      </c>
      <c r="B132" t="s">
        <v>28</v>
      </c>
      <c r="C132" t="s">
        <v>14</v>
      </c>
      <c r="D132">
        <v>6</v>
      </c>
    </row>
    <row r="133" spans="1:4">
      <c r="A133">
        <v>2</v>
      </c>
      <c r="B133" t="s">
        <v>38</v>
      </c>
      <c r="C133" t="s">
        <v>7</v>
      </c>
      <c r="D133">
        <v>7</v>
      </c>
    </row>
    <row r="134" spans="1:4">
      <c r="A134">
        <v>2</v>
      </c>
      <c r="B134" t="s">
        <v>38</v>
      </c>
      <c r="C134" t="s">
        <v>14</v>
      </c>
      <c r="D134">
        <v>4</v>
      </c>
    </row>
    <row r="135" spans="1:4">
      <c r="A135">
        <v>2</v>
      </c>
      <c r="B135" t="s">
        <v>29</v>
      </c>
      <c r="C135" t="s">
        <v>14</v>
      </c>
      <c r="D135">
        <v>6</v>
      </c>
    </row>
    <row r="136" spans="1:4">
      <c r="A136">
        <v>2</v>
      </c>
      <c r="B136" t="s">
        <v>35</v>
      </c>
      <c r="C136" t="s">
        <v>7</v>
      </c>
      <c r="D136">
        <v>7</v>
      </c>
    </row>
    <row r="137" spans="1:4">
      <c r="A137">
        <v>2</v>
      </c>
      <c r="B137" t="s">
        <v>17</v>
      </c>
      <c r="C137" t="s">
        <v>7</v>
      </c>
      <c r="D137">
        <v>7</v>
      </c>
    </row>
    <row r="138" spans="1:4">
      <c r="A138">
        <v>2</v>
      </c>
      <c r="B138" t="s">
        <v>10</v>
      </c>
      <c r="C138" t="s">
        <v>7</v>
      </c>
      <c r="D138">
        <v>7</v>
      </c>
    </row>
    <row r="139" spans="1:4">
      <c r="A139">
        <v>2</v>
      </c>
      <c r="B139" t="s">
        <v>41</v>
      </c>
      <c r="C139" t="s">
        <v>7</v>
      </c>
      <c r="D139">
        <v>2</v>
      </c>
    </row>
    <row r="140" spans="1:4">
      <c r="A140">
        <v>2</v>
      </c>
      <c r="B140" t="s">
        <v>15</v>
      </c>
      <c r="C140" t="s">
        <v>14</v>
      </c>
      <c r="D140">
        <v>12</v>
      </c>
    </row>
    <row r="141" spans="1:4">
      <c r="A141">
        <v>2</v>
      </c>
      <c r="B141" t="s">
        <v>34</v>
      </c>
      <c r="C141" t="s">
        <v>14</v>
      </c>
      <c r="D141">
        <v>2</v>
      </c>
    </row>
    <row r="142" spans="1:4">
      <c r="A142">
        <v>2</v>
      </c>
      <c r="B142" t="s">
        <v>36</v>
      </c>
      <c r="C142" t="s">
        <v>7</v>
      </c>
      <c r="D14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FE27-0F65-4580-A63F-F3AF09D791D5}">
  <dimension ref="A5:T52"/>
  <sheetViews>
    <sheetView zoomScale="149" workbookViewId="0">
      <selection activeCell="R43" sqref="R43"/>
    </sheetView>
  </sheetViews>
  <sheetFormatPr defaultColWidth="11.42578125" defaultRowHeight="14.45"/>
  <cols>
    <col min="1" max="1" width="33" bestFit="1" customWidth="1"/>
    <col min="2" max="3" width="34.140625" bestFit="1" customWidth="1"/>
    <col min="4" max="4" width="25.42578125" bestFit="1" customWidth="1"/>
    <col min="6" max="6" width="38.5703125" bestFit="1" customWidth="1"/>
    <col min="7" max="7" width="34.140625" bestFit="1" customWidth="1"/>
    <col min="8" max="8" width="35.28515625" bestFit="1" customWidth="1"/>
    <col min="9" max="9" width="25.85546875" bestFit="1" customWidth="1"/>
    <col min="10" max="10" width="12.5703125" bestFit="1" customWidth="1"/>
    <col min="12" max="12" width="35.85546875" bestFit="1" customWidth="1"/>
    <col min="13" max="14" width="34.140625" bestFit="1" customWidth="1"/>
    <col min="15" max="15" width="25.42578125" bestFit="1" customWidth="1"/>
    <col min="17" max="17" width="35.85546875" bestFit="1" customWidth="1"/>
    <col min="18" max="18" width="34.140625" bestFit="1" customWidth="1"/>
    <col min="19" max="19" width="34.140625" hidden="1" customWidth="1"/>
    <col min="20" max="20" width="25.85546875" bestFit="1" customWidth="1"/>
    <col min="21" max="21" width="12.5703125" bestFit="1" customWidth="1"/>
  </cols>
  <sheetData>
    <row r="5" spans="1:20">
      <c r="A5" s="10" t="s">
        <v>0</v>
      </c>
      <c r="B5" s="10" t="s">
        <v>45</v>
      </c>
      <c r="C5" s="10" t="s">
        <v>46</v>
      </c>
      <c r="D5" t="s">
        <v>47</v>
      </c>
      <c r="F5" s="10" t="s">
        <v>0</v>
      </c>
      <c r="G5" s="10" t="s">
        <v>48</v>
      </c>
      <c r="H5" s="10" t="s">
        <v>49</v>
      </c>
      <c r="I5" t="s">
        <v>47</v>
      </c>
      <c r="L5" s="10" t="s">
        <v>0</v>
      </c>
      <c r="M5" s="10" t="s">
        <v>50</v>
      </c>
      <c r="N5" s="10" t="s">
        <v>51</v>
      </c>
      <c r="O5" t="s">
        <v>52</v>
      </c>
      <c r="Q5" s="10" t="s">
        <v>0</v>
      </c>
      <c r="R5" s="10" t="s">
        <v>53</v>
      </c>
      <c r="S5" s="10" t="s">
        <v>54</v>
      </c>
      <c r="T5" t="s">
        <v>52</v>
      </c>
    </row>
    <row r="6" spans="1:20">
      <c r="A6">
        <v>1</v>
      </c>
      <c r="B6" t="s">
        <v>6</v>
      </c>
      <c r="C6" t="s">
        <v>7</v>
      </c>
      <c r="D6">
        <v>7</v>
      </c>
      <c r="F6">
        <v>1</v>
      </c>
      <c r="G6" t="s">
        <v>30</v>
      </c>
      <c r="H6" t="s">
        <v>14</v>
      </c>
      <c r="I6">
        <v>13</v>
      </c>
      <c r="L6">
        <v>1</v>
      </c>
      <c r="M6" t="s">
        <v>6</v>
      </c>
      <c r="N6" t="s">
        <v>14</v>
      </c>
      <c r="O6">
        <v>6</v>
      </c>
      <c r="Q6">
        <v>1</v>
      </c>
      <c r="R6" t="s">
        <v>6</v>
      </c>
      <c r="T6">
        <v>5</v>
      </c>
    </row>
    <row r="7" spans="1:20">
      <c r="A7">
        <v>1</v>
      </c>
      <c r="B7" t="s">
        <v>9</v>
      </c>
      <c r="C7" t="s">
        <v>7</v>
      </c>
      <c r="D7">
        <v>2</v>
      </c>
      <c r="F7">
        <v>1</v>
      </c>
      <c r="G7" t="s">
        <v>9</v>
      </c>
      <c r="H7" t="s">
        <v>14</v>
      </c>
      <c r="I7">
        <v>2</v>
      </c>
      <c r="L7">
        <v>1</v>
      </c>
      <c r="M7" t="s">
        <v>39</v>
      </c>
      <c r="N7" t="s">
        <v>14</v>
      </c>
      <c r="O7">
        <v>1</v>
      </c>
      <c r="Q7">
        <v>1</v>
      </c>
      <c r="R7" t="s">
        <v>33</v>
      </c>
      <c r="S7" t="s">
        <v>7</v>
      </c>
      <c r="T7">
        <v>11</v>
      </c>
    </row>
    <row r="8" spans="1:20">
      <c r="A8">
        <v>1</v>
      </c>
      <c r="B8" t="s">
        <v>11</v>
      </c>
      <c r="C8" t="s">
        <v>7</v>
      </c>
      <c r="D8">
        <v>14</v>
      </c>
      <c r="F8">
        <v>1</v>
      </c>
      <c r="G8" t="s">
        <v>13</v>
      </c>
      <c r="H8" t="s">
        <v>14</v>
      </c>
      <c r="I8">
        <v>5</v>
      </c>
      <c r="L8">
        <v>1</v>
      </c>
      <c r="M8" t="s">
        <v>39</v>
      </c>
      <c r="N8" t="s">
        <v>7</v>
      </c>
      <c r="O8">
        <v>17</v>
      </c>
      <c r="Q8">
        <v>1</v>
      </c>
      <c r="R8" t="s">
        <v>30</v>
      </c>
      <c r="S8" t="s">
        <v>14</v>
      </c>
      <c r="T8">
        <v>7</v>
      </c>
    </row>
    <row r="9" spans="1:20">
      <c r="A9">
        <v>1</v>
      </c>
      <c r="B9" t="s">
        <v>13</v>
      </c>
      <c r="C9" t="s">
        <v>14</v>
      </c>
      <c r="D9">
        <v>1</v>
      </c>
      <c r="F9">
        <v>1</v>
      </c>
      <c r="G9" t="s">
        <v>25</v>
      </c>
      <c r="H9" t="s">
        <v>14</v>
      </c>
      <c r="I9">
        <v>13</v>
      </c>
      <c r="L9">
        <v>1</v>
      </c>
      <c r="M9" t="s">
        <v>9</v>
      </c>
      <c r="N9" t="s">
        <v>14</v>
      </c>
      <c r="O9">
        <v>6</v>
      </c>
      <c r="Q9">
        <v>1</v>
      </c>
      <c r="R9" t="s">
        <v>25</v>
      </c>
      <c r="S9" t="s">
        <v>7</v>
      </c>
      <c r="T9">
        <v>7</v>
      </c>
    </row>
    <row r="10" spans="1:20">
      <c r="A10">
        <v>1</v>
      </c>
      <c r="B10" t="s">
        <v>16</v>
      </c>
      <c r="C10" t="s">
        <v>14</v>
      </c>
      <c r="D10">
        <v>4</v>
      </c>
      <c r="F10">
        <v>1</v>
      </c>
      <c r="G10" t="s">
        <v>25</v>
      </c>
      <c r="H10" t="s">
        <v>7</v>
      </c>
      <c r="I10">
        <v>4</v>
      </c>
      <c r="L10">
        <v>1</v>
      </c>
      <c r="M10" t="s">
        <v>13</v>
      </c>
      <c r="N10" t="s">
        <v>14</v>
      </c>
      <c r="O10">
        <v>5</v>
      </c>
      <c r="Q10">
        <v>1</v>
      </c>
      <c r="R10" t="s">
        <v>18</v>
      </c>
      <c r="S10" t="s">
        <v>14</v>
      </c>
      <c r="T10">
        <v>7</v>
      </c>
    </row>
    <row r="11" spans="1:20">
      <c r="A11">
        <v>1</v>
      </c>
      <c r="B11" t="s">
        <v>16</v>
      </c>
      <c r="C11" t="s">
        <v>7</v>
      </c>
      <c r="D11">
        <v>9</v>
      </c>
      <c r="F11">
        <v>1</v>
      </c>
      <c r="G11" t="s">
        <v>37</v>
      </c>
      <c r="H11" t="s">
        <v>14</v>
      </c>
      <c r="I11">
        <v>7</v>
      </c>
      <c r="L11">
        <v>1</v>
      </c>
      <c r="M11" t="s">
        <v>37</v>
      </c>
      <c r="N11" t="s">
        <v>14</v>
      </c>
      <c r="O11">
        <v>6</v>
      </c>
      <c r="Q11">
        <v>1</v>
      </c>
      <c r="R11" t="s">
        <v>18</v>
      </c>
      <c r="S11" t="s">
        <v>7</v>
      </c>
      <c r="T11">
        <v>7</v>
      </c>
    </row>
    <row r="12" spans="1:20">
      <c r="A12">
        <v>1</v>
      </c>
      <c r="B12" t="s">
        <v>18</v>
      </c>
      <c r="C12" t="s">
        <v>7</v>
      </c>
      <c r="D12">
        <v>7</v>
      </c>
      <c r="F12">
        <v>1</v>
      </c>
      <c r="G12" t="s">
        <v>37</v>
      </c>
      <c r="H12" t="s">
        <v>7</v>
      </c>
      <c r="I12">
        <v>1</v>
      </c>
      <c r="L12">
        <v>1</v>
      </c>
      <c r="M12" t="s">
        <v>40</v>
      </c>
      <c r="N12" t="s">
        <v>14</v>
      </c>
      <c r="O12">
        <v>7</v>
      </c>
      <c r="Q12">
        <v>1</v>
      </c>
      <c r="R12" t="s">
        <v>12</v>
      </c>
      <c r="S12" t="s">
        <v>14</v>
      </c>
      <c r="T12">
        <v>14</v>
      </c>
    </row>
    <row r="13" spans="1:20">
      <c r="A13">
        <v>1</v>
      </c>
      <c r="B13" t="s">
        <v>20</v>
      </c>
      <c r="C13" t="s">
        <v>14</v>
      </c>
      <c r="D13">
        <v>4</v>
      </c>
      <c r="F13">
        <v>1</v>
      </c>
      <c r="G13" t="s">
        <v>16</v>
      </c>
      <c r="H13" t="s">
        <v>14</v>
      </c>
      <c r="I13">
        <v>7</v>
      </c>
      <c r="L13">
        <v>1</v>
      </c>
      <c r="M13" t="s">
        <v>12</v>
      </c>
      <c r="N13" t="s">
        <v>14</v>
      </c>
      <c r="O13">
        <v>7</v>
      </c>
      <c r="Q13">
        <v>1</v>
      </c>
      <c r="R13" t="s">
        <v>26</v>
      </c>
      <c r="S13" t="s">
        <v>7</v>
      </c>
      <c r="T13">
        <v>6</v>
      </c>
    </row>
    <row r="14" spans="1:20">
      <c r="A14">
        <v>1</v>
      </c>
      <c r="B14" t="s">
        <v>22</v>
      </c>
      <c r="C14" t="s">
        <v>7</v>
      </c>
      <c r="D14">
        <v>7</v>
      </c>
      <c r="F14">
        <v>1</v>
      </c>
      <c r="G14" t="s">
        <v>22</v>
      </c>
      <c r="H14" t="s">
        <v>14</v>
      </c>
      <c r="I14">
        <v>2</v>
      </c>
      <c r="L14">
        <v>1</v>
      </c>
      <c r="M14" t="s">
        <v>26</v>
      </c>
      <c r="N14" t="s">
        <v>7</v>
      </c>
      <c r="O14">
        <v>7</v>
      </c>
      <c r="Q14">
        <v>1</v>
      </c>
      <c r="R14" t="s">
        <v>23</v>
      </c>
      <c r="S14" t="s">
        <v>7</v>
      </c>
      <c r="T14">
        <v>5</v>
      </c>
    </row>
    <row r="15" spans="1:20">
      <c r="A15">
        <v>1</v>
      </c>
      <c r="B15" t="s">
        <v>24</v>
      </c>
      <c r="C15" t="s">
        <v>14</v>
      </c>
      <c r="D15">
        <v>7</v>
      </c>
      <c r="F15">
        <v>1</v>
      </c>
      <c r="G15" t="s">
        <v>12</v>
      </c>
      <c r="H15" t="s">
        <v>7</v>
      </c>
      <c r="I15">
        <v>7</v>
      </c>
      <c r="L15">
        <v>1</v>
      </c>
      <c r="M15" t="s">
        <v>23</v>
      </c>
      <c r="N15" t="s">
        <v>14</v>
      </c>
      <c r="O15">
        <v>5</v>
      </c>
      <c r="Q15">
        <v>1</v>
      </c>
      <c r="R15" t="s">
        <v>27</v>
      </c>
      <c r="S15" t="s">
        <v>14</v>
      </c>
      <c r="T15">
        <v>11</v>
      </c>
    </row>
    <row r="16" spans="1:20">
      <c r="A16">
        <v>1</v>
      </c>
      <c r="B16" t="s">
        <v>21</v>
      </c>
      <c r="C16" t="s">
        <v>14</v>
      </c>
      <c r="D16">
        <v>7</v>
      </c>
      <c r="F16">
        <v>1</v>
      </c>
      <c r="G16" t="s">
        <v>31</v>
      </c>
      <c r="H16" t="s">
        <v>7</v>
      </c>
      <c r="I16">
        <v>7</v>
      </c>
      <c r="L16">
        <v>1</v>
      </c>
      <c r="M16" t="s">
        <v>8</v>
      </c>
      <c r="N16" t="s">
        <v>14</v>
      </c>
      <c r="O16">
        <v>7</v>
      </c>
      <c r="Q16">
        <v>1</v>
      </c>
      <c r="R16" t="s">
        <v>29</v>
      </c>
      <c r="S16" t="s">
        <v>7</v>
      </c>
      <c r="T16">
        <v>5</v>
      </c>
    </row>
    <row r="17" spans="1:20">
      <c r="A17">
        <v>1</v>
      </c>
      <c r="B17" t="s">
        <v>27</v>
      </c>
      <c r="C17" t="s">
        <v>7</v>
      </c>
      <c r="D17">
        <v>5</v>
      </c>
      <c r="F17">
        <v>1</v>
      </c>
      <c r="G17" t="s">
        <v>27</v>
      </c>
      <c r="H17" t="s">
        <v>14</v>
      </c>
      <c r="I17">
        <v>1</v>
      </c>
      <c r="L17">
        <v>1</v>
      </c>
      <c r="M17" t="s">
        <v>8</v>
      </c>
      <c r="N17" t="s">
        <v>7</v>
      </c>
      <c r="O17">
        <v>14</v>
      </c>
      <c r="Q17">
        <v>1</v>
      </c>
      <c r="R17" t="s">
        <v>17</v>
      </c>
      <c r="S17" t="s">
        <v>7</v>
      </c>
      <c r="T17">
        <v>7</v>
      </c>
    </row>
    <row r="18" spans="1:20">
      <c r="A18">
        <v>1</v>
      </c>
      <c r="B18" t="s">
        <v>8</v>
      </c>
      <c r="C18" t="s">
        <v>14</v>
      </c>
      <c r="D18">
        <v>7</v>
      </c>
      <c r="F18">
        <v>1</v>
      </c>
      <c r="G18" t="s">
        <v>28</v>
      </c>
      <c r="H18" t="s">
        <v>14</v>
      </c>
      <c r="I18">
        <v>7</v>
      </c>
      <c r="L18">
        <v>1</v>
      </c>
      <c r="M18" t="s">
        <v>17</v>
      </c>
      <c r="N18" t="s">
        <v>7</v>
      </c>
      <c r="O18">
        <v>5</v>
      </c>
      <c r="Q18">
        <v>1</v>
      </c>
      <c r="R18" t="s">
        <v>42</v>
      </c>
      <c r="S18" t="s">
        <v>14</v>
      </c>
      <c r="T18">
        <v>7</v>
      </c>
    </row>
    <row r="19" spans="1:20">
      <c r="A19">
        <v>1</v>
      </c>
      <c r="B19" t="s">
        <v>29</v>
      </c>
      <c r="C19" t="s">
        <v>7</v>
      </c>
      <c r="D19">
        <v>6</v>
      </c>
      <c r="F19">
        <v>1</v>
      </c>
      <c r="G19" t="s">
        <v>38</v>
      </c>
      <c r="H19" t="s">
        <v>7</v>
      </c>
      <c r="I19">
        <v>4</v>
      </c>
      <c r="L19">
        <v>1</v>
      </c>
      <c r="M19" t="s">
        <v>15</v>
      </c>
      <c r="N19" t="s">
        <v>7</v>
      </c>
      <c r="O19">
        <v>7</v>
      </c>
      <c r="Q19">
        <v>1</v>
      </c>
      <c r="R19" t="s">
        <v>42</v>
      </c>
      <c r="S19" t="s">
        <v>7</v>
      </c>
      <c r="T19">
        <v>1</v>
      </c>
    </row>
    <row r="20" spans="1:20">
      <c r="A20">
        <v>1</v>
      </c>
      <c r="B20" t="s">
        <v>10</v>
      </c>
      <c r="C20" t="s">
        <v>14</v>
      </c>
      <c r="D20">
        <v>6</v>
      </c>
      <c r="F20">
        <v>1</v>
      </c>
      <c r="G20" t="s">
        <v>8</v>
      </c>
      <c r="H20" t="s">
        <v>14</v>
      </c>
      <c r="I20">
        <v>7</v>
      </c>
      <c r="L20">
        <v>1</v>
      </c>
      <c r="M20" t="s">
        <v>19</v>
      </c>
      <c r="N20" t="s">
        <v>14</v>
      </c>
      <c r="O20">
        <v>5</v>
      </c>
      <c r="Q20">
        <v>1</v>
      </c>
      <c r="R20" t="s">
        <v>19</v>
      </c>
      <c r="S20" t="s">
        <v>14</v>
      </c>
      <c r="T20">
        <v>6</v>
      </c>
    </row>
    <row r="21" spans="1:20">
      <c r="A21">
        <v>1</v>
      </c>
      <c r="B21" t="s">
        <v>32</v>
      </c>
      <c r="C21" t="s">
        <v>7</v>
      </c>
      <c r="D21">
        <v>1</v>
      </c>
      <c r="F21">
        <v>1</v>
      </c>
      <c r="G21" t="s">
        <v>32</v>
      </c>
      <c r="H21" t="s">
        <v>7</v>
      </c>
      <c r="I21">
        <v>6</v>
      </c>
      <c r="L21">
        <v>1</v>
      </c>
      <c r="M21" t="s">
        <v>19</v>
      </c>
      <c r="N21" t="s">
        <v>7</v>
      </c>
      <c r="O21">
        <v>7</v>
      </c>
      <c r="Q21">
        <v>1</v>
      </c>
      <c r="R21" t="s">
        <v>34</v>
      </c>
      <c r="S21" t="s">
        <v>7</v>
      </c>
      <c r="T21">
        <v>5</v>
      </c>
    </row>
    <row r="22" spans="1:20">
      <c r="A22">
        <v>1</v>
      </c>
      <c r="B22" t="s">
        <v>34</v>
      </c>
      <c r="C22" t="s">
        <v>7</v>
      </c>
      <c r="D22">
        <v>11</v>
      </c>
      <c r="F22">
        <v>1</v>
      </c>
      <c r="G22" t="s">
        <v>43</v>
      </c>
      <c r="H22" t="s">
        <v>14</v>
      </c>
      <c r="I22">
        <v>5</v>
      </c>
      <c r="L22">
        <v>1</v>
      </c>
      <c r="M22" t="s">
        <v>36</v>
      </c>
      <c r="N22" t="s">
        <v>14</v>
      </c>
      <c r="O22">
        <v>5</v>
      </c>
      <c r="Q22">
        <v>1</v>
      </c>
      <c r="R22" t="s">
        <v>36</v>
      </c>
      <c r="S22" t="s">
        <v>7</v>
      </c>
      <c r="T22">
        <v>6</v>
      </c>
    </row>
    <row r="23" spans="1:20">
      <c r="A23" t="s">
        <v>44</v>
      </c>
      <c r="D23">
        <v>105</v>
      </c>
      <c r="F23">
        <v>1</v>
      </c>
      <c r="G23" t="s">
        <v>34</v>
      </c>
      <c r="H23" t="s">
        <v>7</v>
      </c>
      <c r="I23">
        <v>7</v>
      </c>
      <c r="L23" t="s">
        <v>44</v>
      </c>
      <c r="O23">
        <v>117</v>
      </c>
      <c r="Q23" t="s">
        <v>44</v>
      </c>
      <c r="T23">
        <v>117</v>
      </c>
    </row>
    <row r="24" spans="1:20">
      <c r="F24" t="s">
        <v>55</v>
      </c>
      <c r="I24">
        <v>105</v>
      </c>
    </row>
    <row r="31" spans="1:20">
      <c r="A31" s="10" t="s">
        <v>0</v>
      </c>
      <c r="B31" s="10" t="s">
        <v>45</v>
      </c>
      <c r="C31" s="10" t="s">
        <v>46</v>
      </c>
      <c r="D31" t="s">
        <v>47</v>
      </c>
      <c r="F31" s="10" t="s">
        <v>0</v>
      </c>
      <c r="G31" s="10" t="s">
        <v>48</v>
      </c>
      <c r="H31" s="10" t="s">
        <v>49</v>
      </c>
      <c r="I31" t="s">
        <v>47</v>
      </c>
      <c r="L31" s="10" t="s">
        <v>0</v>
      </c>
      <c r="M31" s="10" t="s">
        <v>50</v>
      </c>
      <c r="N31" s="10" t="s">
        <v>51</v>
      </c>
      <c r="O31" t="s">
        <v>52</v>
      </c>
      <c r="Q31" s="10" t="s">
        <v>0</v>
      </c>
      <c r="R31" s="10" t="s">
        <v>53</v>
      </c>
      <c r="S31" s="10" t="s">
        <v>54</v>
      </c>
      <c r="T31" t="s">
        <v>52</v>
      </c>
    </row>
    <row r="32" spans="1:20">
      <c r="A32">
        <v>2</v>
      </c>
      <c r="B32" t="s">
        <v>6</v>
      </c>
      <c r="C32" t="s">
        <v>14</v>
      </c>
      <c r="D32">
        <v>7</v>
      </c>
      <c r="F32">
        <v>2</v>
      </c>
      <c r="G32" t="s">
        <v>39</v>
      </c>
      <c r="H32" t="s">
        <v>7</v>
      </c>
      <c r="I32">
        <v>6</v>
      </c>
      <c r="L32">
        <v>2</v>
      </c>
      <c r="M32" t="s">
        <v>33</v>
      </c>
      <c r="N32" t="s">
        <v>14</v>
      </c>
      <c r="O32">
        <v>7</v>
      </c>
      <c r="Q32">
        <v>2</v>
      </c>
      <c r="R32" t="s">
        <v>33</v>
      </c>
      <c r="S32" t="s">
        <v>7</v>
      </c>
      <c r="T32">
        <v>10</v>
      </c>
    </row>
    <row r="33" spans="1:20">
      <c r="A33">
        <v>2</v>
      </c>
      <c r="B33" t="s">
        <v>30</v>
      </c>
      <c r="C33" t="s">
        <v>14</v>
      </c>
      <c r="D33">
        <v>7</v>
      </c>
      <c r="F33">
        <v>2</v>
      </c>
      <c r="G33" t="s">
        <v>37</v>
      </c>
      <c r="H33" t="s">
        <v>7</v>
      </c>
      <c r="I33">
        <v>2</v>
      </c>
      <c r="L33">
        <v>2</v>
      </c>
      <c r="M33" t="s">
        <v>30</v>
      </c>
      <c r="N33" t="s">
        <v>14</v>
      </c>
      <c r="O33">
        <v>2</v>
      </c>
      <c r="Q33">
        <v>2</v>
      </c>
      <c r="R33" t="s">
        <v>11</v>
      </c>
      <c r="S33" t="s">
        <v>14</v>
      </c>
      <c r="T33">
        <v>13</v>
      </c>
    </row>
    <row r="34" spans="1:20">
      <c r="A34">
        <v>2</v>
      </c>
      <c r="B34" t="s">
        <v>9</v>
      </c>
      <c r="C34" t="s">
        <v>14</v>
      </c>
      <c r="D34">
        <v>2</v>
      </c>
      <c r="F34">
        <v>2</v>
      </c>
      <c r="G34" t="s">
        <v>40</v>
      </c>
      <c r="H34" t="s">
        <v>14</v>
      </c>
      <c r="I34">
        <v>10</v>
      </c>
      <c r="L34">
        <v>2</v>
      </c>
      <c r="M34" t="s">
        <v>11</v>
      </c>
      <c r="N34" t="s">
        <v>7</v>
      </c>
      <c r="O34">
        <v>2</v>
      </c>
      <c r="Q34">
        <v>2</v>
      </c>
      <c r="R34" t="s">
        <v>16</v>
      </c>
      <c r="S34" t="s">
        <v>14</v>
      </c>
      <c r="T34">
        <v>7</v>
      </c>
    </row>
    <row r="35" spans="1:20">
      <c r="A35">
        <v>2</v>
      </c>
      <c r="B35" t="s">
        <v>13</v>
      </c>
      <c r="C35" t="s">
        <v>14</v>
      </c>
      <c r="D35">
        <v>2</v>
      </c>
      <c r="F35">
        <v>2</v>
      </c>
      <c r="G35" t="s">
        <v>18</v>
      </c>
      <c r="H35" t="s">
        <v>7</v>
      </c>
      <c r="I35">
        <v>4</v>
      </c>
      <c r="L35">
        <v>2</v>
      </c>
      <c r="M35" t="s">
        <v>25</v>
      </c>
      <c r="N35" t="s">
        <v>7</v>
      </c>
      <c r="O35">
        <v>6</v>
      </c>
      <c r="Q35">
        <v>2</v>
      </c>
      <c r="R35" t="s">
        <v>18</v>
      </c>
      <c r="S35" t="s">
        <v>14</v>
      </c>
      <c r="T35">
        <v>7</v>
      </c>
    </row>
    <row r="36" spans="1:20">
      <c r="A36">
        <v>2</v>
      </c>
      <c r="B36" t="s">
        <v>24</v>
      </c>
      <c r="C36" t="s">
        <v>7</v>
      </c>
      <c r="D36">
        <v>9</v>
      </c>
      <c r="F36">
        <v>2</v>
      </c>
      <c r="G36" t="s">
        <v>20</v>
      </c>
      <c r="H36" t="s">
        <v>7</v>
      </c>
      <c r="I36">
        <v>14</v>
      </c>
      <c r="L36">
        <v>2</v>
      </c>
      <c r="M36" t="s">
        <v>37</v>
      </c>
      <c r="N36" t="s">
        <v>14</v>
      </c>
      <c r="O36">
        <v>7</v>
      </c>
      <c r="Q36">
        <v>2</v>
      </c>
      <c r="R36" t="s">
        <v>22</v>
      </c>
      <c r="S36" t="s">
        <v>7</v>
      </c>
      <c r="T36">
        <v>9</v>
      </c>
    </row>
    <row r="37" spans="1:20">
      <c r="A37">
        <v>2</v>
      </c>
      <c r="B37" t="s">
        <v>21</v>
      </c>
      <c r="C37" t="s">
        <v>14</v>
      </c>
      <c r="D37">
        <v>13</v>
      </c>
      <c r="F37">
        <v>2</v>
      </c>
      <c r="G37" t="s">
        <v>22</v>
      </c>
      <c r="H37" t="s">
        <v>14</v>
      </c>
      <c r="I37">
        <v>2</v>
      </c>
      <c r="L37">
        <v>2</v>
      </c>
      <c r="M37" t="s">
        <v>40</v>
      </c>
      <c r="N37" t="s">
        <v>7</v>
      </c>
      <c r="O37">
        <v>7</v>
      </c>
      <c r="Q37">
        <v>2</v>
      </c>
      <c r="R37" t="s">
        <v>26</v>
      </c>
      <c r="S37" t="s">
        <v>14</v>
      </c>
      <c r="T37">
        <v>8</v>
      </c>
    </row>
    <row r="38" spans="1:20">
      <c r="A38">
        <v>2</v>
      </c>
      <c r="B38" t="s">
        <v>31</v>
      </c>
      <c r="C38" t="s">
        <v>7</v>
      </c>
      <c r="D38">
        <v>2</v>
      </c>
      <c r="F38">
        <v>2</v>
      </c>
      <c r="G38" t="s">
        <v>26</v>
      </c>
      <c r="H38" t="s">
        <v>7</v>
      </c>
      <c r="I38">
        <v>5</v>
      </c>
      <c r="L38">
        <v>2</v>
      </c>
      <c r="M38" t="s">
        <v>20</v>
      </c>
      <c r="N38" t="s">
        <v>7</v>
      </c>
      <c r="O38">
        <v>5</v>
      </c>
      <c r="Q38">
        <v>2</v>
      </c>
      <c r="R38" t="s">
        <v>21</v>
      </c>
      <c r="S38" t="s">
        <v>14</v>
      </c>
      <c r="T38">
        <v>7</v>
      </c>
    </row>
    <row r="39" spans="1:20">
      <c r="A39">
        <v>2</v>
      </c>
      <c r="B39" t="s">
        <v>27</v>
      </c>
      <c r="C39" t="s">
        <v>14</v>
      </c>
      <c r="D39">
        <v>7</v>
      </c>
      <c r="F39">
        <v>2</v>
      </c>
      <c r="G39" t="s">
        <v>26</v>
      </c>
      <c r="H39" t="s">
        <v>14</v>
      </c>
      <c r="I39">
        <v>4</v>
      </c>
      <c r="L39">
        <v>2</v>
      </c>
      <c r="M39" t="s">
        <v>12</v>
      </c>
      <c r="N39" t="s">
        <v>14</v>
      </c>
      <c r="O39">
        <v>6</v>
      </c>
      <c r="Q39">
        <v>2</v>
      </c>
      <c r="R39" t="s">
        <v>28</v>
      </c>
      <c r="S39" t="s">
        <v>14</v>
      </c>
      <c r="T39">
        <v>6</v>
      </c>
    </row>
    <row r="40" spans="1:20">
      <c r="A40">
        <v>2</v>
      </c>
      <c r="B40" t="s">
        <v>38</v>
      </c>
      <c r="C40" t="s">
        <v>14</v>
      </c>
      <c r="D40">
        <v>10</v>
      </c>
      <c r="F40">
        <v>2</v>
      </c>
      <c r="G40" t="s">
        <v>24</v>
      </c>
      <c r="H40" t="s">
        <v>7</v>
      </c>
      <c r="I40">
        <v>2</v>
      </c>
      <c r="L40">
        <v>2</v>
      </c>
      <c r="M40" t="s">
        <v>24</v>
      </c>
      <c r="N40" t="s">
        <v>7</v>
      </c>
      <c r="O40">
        <v>7</v>
      </c>
      <c r="Q40">
        <v>2</v>
      </c>
      <c r="R40" t="s">
        <v>38</v>
      </c>
      <c r="S40" t="s">
        <v>7</v>
      </c>
      <c r="T40">
        <v>7</v>
      </c>
    </row>
    <row r="41" spans="1:20">
      <c r="A41">
        <v>2</v>
      </c>
      <c r="B41" t="s">
        <v>35</v>
      </c>
      <c r="C41" t="s">
        <v>7</v>
      </c>
      <c r="D41">
        <v>14</v>
      </c>
      <c r="F41">
        <v>2</v>
      </c>
      <c r="G41" t="s">
        <v>23</v>
      </c>
      <c r="H41" t="s">
        <v>7</v>
      </c>
      <c r="I41">
        <v>7</v>
      </c>
      <c r="L41">
        <v>2</v>
      </c>
      <c r="M41" t="s">
        <v>23</v>
      </c>
      <c r="N41" t="s">
        <v>7</v>
      </c>
      <c r="O41">
        <v>7</v>
      </c>
      <c r="Q41">
        <v>2</v>
      </c>
      <c r="R41" t="s">
        <v>38</v>
      </c>
      <c r="S41" t="s">
        <v>14</v>
      </c>
      <c r="T41">
        <v>4</v>
      </c>
    </row>
    <row r="42" spans="1:20">
      <c r="A42">
        <v>2</v>
      </c>
      <c r="B42" t="s">
        <v>17</v>
      </c>
      <c r="C42" t="s">
        <v>7</v>
      </c>
      <c r="D42">
        <v>7</v>
      </c>
      <c r="F42">
        <v>2</v>
      </c>
      <c r="G42" t="s">
        <v>23</v>
      </c>
      <c r="H42" t="s">
        <v>14</v>
      </c>
      <c r="I42">
        <v>7</v>
      </c>
      <c r="L42">
        <v>2</v>
      </c>
      <c r="M42" t="s">
        <v>21</v>
      </c>
      <c r="N42" t="s">
        <v>14</v>
      </c>
      <c r="O42">
        <v>4</v>
      </c>
      <c r="Q42">
        <v>2</v>
      </c>
      <c r="R42" t="s">
        <v>29</v>
      </c>
      <c r="S42" t="s">
        <v>14</v>
      </c>
      <c r="T42">
        <v>6</v>
      </c>
    </row>
    <row r="43" spans="1:20">
      <c r="A43">
        <v>2</v>
      </c>
      <c r="B43" t="s">
        <v>42</v>
      </c>
      <c r="C43" t="s">
        <v>14</v>
      </c>
      <c r="D43">
        <v>8</v>
      </c>
      <c r="F43">
        <v>2</v>
      </c>
      <c r="G43" t="s">
        <v>31</v>
      </c>
      <c r="H43" t="s">
        <v>7</v>
      </c>
      <c r="I43">
        <v>6</v>
      </c>
      <c r="L43">
        <v>2</v>
      </c>
      <c r="M43" t="s">
        <v>31</v>
      </c>
      <c r="N43" t="s">
        <v>7</v>
      </c>
      <c r="O43">
        <v>14</v>
      </c>
      <c r="Q43">
        <v>2</v>
      </c>
      <c r="R43" t="s">
        <v>35</v>
      </c>
      <c r="S43" t="s">
        <v>7</v>
      </c>
      <c r="T43">
        <v>7</v>
      </c>
    </row>
    <row r="44" spans="1:20">
      <c r="A44">
        <v>2</v>
      </c>
      <c r="B44" t="s">
        <v>32</v>
      </c>
      <c r="C44" t="s">
        <v>14</v>
      </c>
      <c r="D44">
        <v>7</v>
      </c>
      <c r="F44">
        <v>2</v>
      </c>
      <c r="G44" t="s">
        <v>28</v>
      </c>
      <c r="H44" t="s">
        <v>7</v>
      </c>
      <c r="I44">
        <v>6</v>
      </c>
      <c r="L44">
        <v>2</v>
      </c>
      <c r="M44" t="s">
        <v>28</v>
      </c>
      <c r="N44" t="s">
        <v>7</v>
      </c>
      <c r="O44">
        <v>10</v>
      </c>
      <c r="Q44">
        <v>2</v>
      </c>
      <c r="R44" t="s">
        <v>17</v>
      </c>
      <c r="S44" t="s">
        <v>7</v>
      </c>
      <c r="T44">
        <v>7</v>
      </c>
    </row>
    <row r="45" spans="1:20">
      <c r="A45">
        <v>2</v>
      </c>
      <c r="B45" t="s">
        <v>43</v>
      </c>
      <c r="C45" t="s">
        <v>14</v>
      </c>
      <c r="D45">
        <v>11</v>
      </c>
      <c r="F45">
        <v>2</v>
      </c>
      <c r="G45" t="s">
        <v>35</v>
      </c>
      <c r="H45" t="s">
        <v>7</v>
      </c>
      <c r="I45">
        <v>7</v>
      </c>
      <c r="L45">
        <v>2</v>
      </c>
      <c r="M45" t="s">
        <v>29</v>
      </c>
      <c r="N45" t="s">
        <v>14</v>
      </c>
      <c r="O45">
        <v>9</v>
      </c>
      <c r="Q45">
        <v>2</v>
      </c>
      <c r="R45" t="s">
        <v>10</v>
      </c>
      <c r="S45" t="s">
        <v>7</v>
      </c>
      <c r="T45">
        <v>7</v>
      </c>
    </row>
    <row r="46" spans="1:20">
      <c r="A46">
        <v>2</v>
      </c>
      <c r="B46" t="s">
        <v>41</v>
      </c>
      <c r="C46" t="s">
        <v>7</v>
      </c>
      <c r="D46">
        <v>4</v>
      </c>
      <c r="F46">
        <v>2</v>
      </c>
      <c r="G46" t="s">
        <v>17</v>
      </c>
      <c r="H46" t="s">
        <v>7</v>
      </c>
      <c r="I46">
        <v>7</v>
      </c>
      <c r="L46">
        <v>2</v>
      </c>
      <c r="M46" t="s">
        <v>10</v>
      </c>
      <c r="N46" t="s">
        <v>7</v>
      </c>
      <c r="O46">
        <v>14</v>
      </c>
      <c r="Q46">
        <v>2</v>
      </c>
      <c r="R46" t="s">
        <v>41</v>
      </c>
      <c r="S46" t="s">
        <v>7</v>
      </c>
      <c r="T46">
        <v>2</v>
      </c>
    </row>
    <row r="47" spans="1:20">
      <c r="A47">
        <v>2</v>
      </c>
      <c r="B47" t="s">
        <v>15</v>
      </c>
      <c r="C47" t="s">
        <v>14</v>
      </c>
      <c r="D47">
        <v>7</v>
      </c>
      <c r="F47">
        <v>2</v>
      </c>
      <c r="G47" t="s">
        <v>10</v>
      </c>
      <c r="H47" t="s">
        <v>7</v>
      </c>
      <c r="I47">
        <v>7</v>
      </c>
      <c r="L47">
        <v>2</v>
      </c>
      <c r="M47" t="s">
        <v>42</v>
      </c>
      <c r="N47" t="s">
        <v>14</v>
      </c>
      <c r="O47">
        <v>2</v>
      </c>
      <c r="Q47">
        <v>2</v>
      </c>
      <c r="R47" t="s">
        <v>15</v>
      </c>
      <c r="S47" t="s">
        <v>14</v>
      </c>
      <c r="T47">
        <v>12</v>
      </c>
    </row>
    <row r="48" spans="1:20">
      <c r="A48" t="s">
        <v>44</v>
      </c>
      <c r="D48">
        <v>117</v>
      </c>
      <c r="F48">
        <v>2</v>
      </c>
      <c r="G48" t="s">
        <v>32</v>
      </c>
      <c r="H48" t="s">
        <v>7</v>
      </c>
      <c r="I48">
        <v>1</v>
      </c>
      <c r="L48">
        <v>2</v>
      </c>
      <c r="M48" t="s">
        <v>41</v>
      </c>
      <c r="N48" t="s">
        <v>14</v>
      </c>
      <c r="O48">
        <v>7</v>
      </c>
      <c r="Q48">
        <v>2</v>
      </c>
      <c r="R48" t="s">
        <v>34</v>
      </c>
      <c r="S48" t="s">
        <v>14</v>
      </c>
      <c r="T48">
        <v>2</v>
      </c>
    </row>
    <row r="49" spans="6:20">
      <c r="F49">
        <v>2</v>
      </c>
      <c r="G49" t="s">
        <v>41</v>
      </c>
      <c r="H49" t="s">
        <v>7</v>
      </c>
      <c r="I49">
        <v>7</v>
      </c>
      <c r="L49">
        <v>2</v>
      </c>
      <c r="M49" t="s">
        <v>19</v>
      </c>
      <c r="N49" t="s">
        <v>14</v>
      </c>
      <c r="O49">
        <v>14</v>
      </c>
      <c r="Q49">
        <v>2</v>
      </c>
      <c r="R49" t="s">
        <v>36</v>
      </c>
      <c r="S49" t="s">
        <v>7</v>
      </c>
      <c r="T49">
        <v>9</v>
      </c>
    </row>
    <row r="50" spans="6:20">
      <c r="F50">
        <v>2</v>
      </c>
      <c r="G50" t="s">
        <v>15</v>
      </c>
      <c r="H50" t="s">
        <v>14</v>
      </c>
      <c r="I50">
        <v>7</v>
      </c>
      <c r="L50" t="s">
        <v>44</v>
      </c>
      <c r="O50">
        <v>130</v>
      </c>
      <c r="Q50" t="s">
        <v>44</v>
      </c>
      <c r="T50">
        <v>130</v>
      </c>
    </row>
    <row r="51" spans="6:20">
      <c r="F51">
        <v>2</v>
      </c>
      <c r="G51" t="s">
        <v>36</v>
      </c>
      <c r="H51" t="s">
        <v>14</v>
      </c>
      <c r="I51">
        <v>6</v>
      </c>
    </row>
    <row r="52" spans="6:20">
      <c r="F52" t="s">
        <v>44</v>
      </c>
      <c r="I52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0B17-2193-4CD4-8907-BC99C94B97C7}">
  <dimension ref="A1:AF472"/>
  <sheetViews>
    <sheetView tabSelected="1" topLeftCell="A435" zoomScale="131" workbookViewId="0">
      <selection activeCell="E443" sqref="E443"/>
    </sheetView>
  </sheetViews>
  <sheetFormatPr defaultColWidth="11.42578125" defaultRowHeight="14.45"/>
  <cols>
    <col min="5" max="5" width="30.7109375" bestFit="1" customWidth="1"/>
    <col min="17" max="17" width="30.42578125" bestFit="1" customWidth="1"/>
    <col min="18" max="18" width="15" bestFit="1" customWidth="1"/>
    <col min="19" max="19" width="25.85546875" bestFit="1" customWidth="1"/>
    <col min="22" max="22" width="31.28515625" bestFit="1" customWidth="1"/>
    <col min="23" max="23" width="13.140625" bestFit="1" customWidth="1"/>
    <col min="24" max="24" width="24" bestFit="1" customWidth="1"/>
    <col min="26" max="27" width="13.140625" bestFit="1" customWidth="1"/>
    <col min="28" max="28" width="24" bestFit="1" customWidth="1"/>
    <col min="30" max="31" width="13.140625" bestFit="1" customWidth="1"/>
    <col min="32" max="32" width="24" bestFit="1" customWidth="1"/>
  </cols>
  <sheetData>
    <row r="1" spans="1:32">
      <c r="A1" s="3" t="s">
        <v>56</v>
      </c>
      <c r="B1" s="3" t="s">
        <v>0</v>
      </c>
      <c r="C1" s="3" t="s">
        <v>57</v>
      </c>
      <c r="D1" s="5" t="s">
        <v>45</v>
      </c>
      <c r="E1" s="5" t="s">
        <v>48</v>
      </c>
      <c r="F1" s="5" t="s">
        <v>50</v>
      </c>
      <c r="G1" s="5" t="s">
        <v>53</v>
      </c>
      <c r="H1" s="4" t="s">
        <v>46</v>
      </c>
      <c r="I1" s="4" t="s">
        <v>49</v>
      </c>
      <c r="J1" s="4" t="s">
        <v>51</v>
      </c>
      <c r="K1" s="4" t="s">
        <v>54</v>
      </c>
      <c r="L1" s="4" t="s">
        <v>58</v>
      </c>
      <c r="M1" s="4" t="s">
        <v>59</v>
      </c>
    </row>
    <row r="2" spans="1:32">
      <c r="A2">
        <v>2</v>
      </c>
      <c r="B2">
        <v>2</v>
      </c>
      <c r="C2">
        <v>1</v>
      </c>
      <c r="D2" s="6" t="s">
        <v>60</v>
      </c>
      <c r="E2" s="6" t="s">
        <v>61</v>
      </c>
      <c r="F2" s="6" t="s">
        <v>62</v>
      </c>
      <c r="G2" s="6" t="str">
        <f>VLOOKUP(Tabla138[[#This Row],[ID_PARTIDO]],Original!$AT$1:$AY$46,5,FALSE)</f>
        <v>Valentina Jimenez Gomez</v>
      </c>
      <c r="H2" t="s">
        <v>14</v>
      </c>
      <c r="I2" t="s">
        <v>7</v>
      </c>
      <c r="J2" t="s">
        <v>14</v>
      </c>
      <c r="K2" t="s">
        <v>7</v>
      </c>
      <c r="L2">
        <v>1</v>
      </c>
      <c r="M2">
        <v>0</v>
      </c>
      <c r="Q2" s="10" t="s">
        <v>45</v>
      </c>
      <c r="R2" s="10" t="s">
        <v>56</v>
      </c>
      <c r="S2" t="s">
        <v>47</v>
      </c>
      <c r="V2" s="10" t="s">
        <v>48</v>
      </c>
      <c r="W2" s="10" t="s">
        <v>56</v>
      </c>
      <c r="X2" t="s">
        <v>47</v>
      </c>
      <c r="Z2" s="10" t="s">
        <v>50</v>
      </c>
      <c r="AA2" s="10" t="s">
        <v>56</v>
      </c>
      <c r="AB2" t="s">
        <v>52</v>
      </c>
      <c r="AD2" s="10" t="s">
        <v>53</v>
      </c>
      <c r="AE2" s="10" t="s">
        <v>56</v>
      </c>
      <c r="AF2" t="s">
        <v>52</v>
      </c>
    </row>
    <row r="3" spans="1:32">
      <c r="A3">
        <v>2</v>
      </c>
      <c r="B3">
        <v>2</v>
      </c>
      <c r="C3">
        <v>2</v>
      </c>
      <c r="D3" s="6" t="s">
        <v>60</v>
      </c>
      <c r="E3" s="6" t="s">
        <v>61</v>
      </c>
      <c r="F3" s="6" t="s">
        <v>62</v>
      </c>
      <c r="G3" s="6" t="str">
        <f>VLOOKUP(Tabla138[[#This Row],[ID_PARTIDO]],Original!$AT$1:$AY$46,5,FALSE)</f>
        <v>Valentina Jimenez Gomez</v>
      </c>
      <c r="H3" t="s">
        <v>14</v>
      </c>
      <c r="I3" t="s">
        <v>7</v>
      </c>
      <c r="J3" t="s">
        <v>14</v>
      </c>
      <c r="K3" t="s">
        <v>7</v>
      </c>
      <c r="L3">
        <v>1</v>
      </c>
      <c r="M3">
        <v>0</v>
      </c>
      <c r="Q3" t="s">
        <v>6</v>
      </c>
      <c r="R3">
        <v>30</v>
      </c>
      <c r="S3">
        <v>7</v>
      </c>
      <c r="V3" t="s">
        <v>63</v>
      </c>
      <c r="W3">
        <v>6</v>
      </c>
      <c r="X3">
        <v>6</v>
      </c>
      <c r="Z3" t="s">
        <v>33</v>
      </c>
      <c r="AA3">
        <v>24</v>
      </c>
      <c r="AB3">
        <v>7</v>
      </c>
      <c r="AD3" t="s">
        <v>33</v>
      </c>
      <c r="AE3">
        <v>14</v>
      </c>
      <c r="AF3">
        <v>4</v>
      </c>
    </row>
    <row r="4" spans="1:32">
      <c r="A4">
        <v>2</v>
      </c>
      <c r="B4">
        <v>2</v>
      </c>
      <c r="C4">
        <v>3</v>
      </c>
      <c r="D4" s="6" t="s">
        <v>60</v>
      </c>
      <c r="E4" s="6" t="s">
        <v>61</v>
      </c>
      <c r="F4" s="6" t="s">
        <v>62</v>
      </c>
      <c r="G4" s="6" t="str">
        <f>VLOOKUP(Tabla138[[#This Row],[ID_PARTIDO]],Original!$AT$1:$AY$46,5,FALSE)</f>
        <v>Valentina Jimenez Gomez</v>
      </c>
      <c r="H4" t="s">
        <v>14</v>
      </c>
      <c r="I4" t="s">
        <v>7</v>
      </c>
      <c r="J4" t="s">
        <v>14</v>
      </c>
      <c r="K4" t="s">
        <v>7</v>
      </c>
      <c r="L4">
        <v>1</v>
      </c>
      <c r="M4">
        <v>0</v>
      </c>
      <c r="Q4" t="s">
        <v>30</v>
      </c>
      <c r="R4">
        <v>32</v>
      </c>
      <c r="S4">
        <v>7</v>
      </c>
      <c r="V4" t="s">
        <v>37</v>
      </c>
      <c r="W4">
        <v>26</v>
      </c>
      <c r="X4">
        <v>2</v>
      </c>
      <c r="Z4" t="s">
        <v>30</v>
      </c>
      <c r="AA4">
        <v>42</v>
      </c>
      <c r="AB4">
        <v>2</v>
      </c>
      <c r="AD4" t="s">
        <v>33</v>
      </c>
      <c r="AE4">
        <v>30</v>
      </c>
      <c r="AF4">
        <v>6</v>
      </c>
    </row>
    <row r="5" spans="1:32">
      <c r="A5">
        <v>2</v>
      </c>
      <c r="B5">
        <v>2</v>
      </c>
      <c r="C5">
        <v>4</v>
      </c>
      <c r="D5" s="6" t="s">
        <v>60</v>
      </c>
      <c r="E5" s="6" t="s">
        <v>61</v>
      </c>
      <c r="F5" s="6" t="s">
        <v>62</v>
      </c>
      <c r="G5" s="6" t="str">
        <f>VLOOKUP(Tabla138[[#This Row],[ID_PARTIDO]],Original!$AT$1:$AY$46,5,FALSE)</f>
        <v>Valentina Jimenez Gomez</v>
      </c>
      <c r="H5" t="s">
        <v>14</v>
      </c>
      <c r="I5" t="s">
        <v>7</v>
      </c>
      <c r="J5" t="s">
        <v>14</v>
      </c>
      <c r="K5" t="s">
        <v>7</v>
      </c>
      <c r="L5">
        <v>0</v>
      </c>
      <c r="M5">
        <v>1</v>
      </c>
      <c r="Q5" t="s">
        <v>9</v>
      </c>
      <c r="R5">
        <v>26</v>
      </c>
      <c r="S5">
        <v>2</v>
      </c>
      <c r="V5" t="s">
        <v>40</v>
      </c>
      <c r="W5">
        <v>18</v>
      </c>
      <c r="X5">
        <v>3</v>
      </c>
      <c r="Z5" t="s">
        <v>11</v>
      </c>
      <c r="AA5">
        <v>28</v>
      </c>
      <c r="AB5">
        <v>2</v>
      </c>
      <c r="AD5" t="s">
        <v>11</v>
      </c>
      <c r="AE5">
        <v>6</v>
      </c>
      <c r="AF5">
        <v>6</v>
      </c>
    </row>
    <row r="6" spans="1:32">
      <c r="A6">
        <v>2</v>
      </c>
      <c r="B6">
        <v>2</v>
      </c>
      <c r="C6">
        <v>5</v>
      </c>
      <c r="D6" s="6" t="s">
        <v>60</v>
      </c>
      <c r="E6" s="6" t="s">
        <v>61</v>
      </c>
      <c r="F6" s="6" t="s">
        <v>62</v>
      </c>
      <c r="G6" s="6" t="str">
        <f>VLOOKUP(Tabla138[[#This Row],[ID_PARTIDO]],Original!$AT$1:$AY$46,5,FALSE)</f>
        <v>Valentina Jimenez Gomez</v>
      </c>
      <c r="H6" t="s">
        <v>14</v>
      </c>
      <c r="I6" t="s">
        <v>7</v>
      </c>
      <c r="J6" t="s">
        <v>14</v>
      </c>
      <c r="K6" t="s">
        <v>7</v>
      </c>
      <c r="L6">
        <v>1</v>
      </c>
      <c r="M6">
        <v>0</v>
      </c>
      <c r="Q6" t="s">
        <v>13</v>
      </c>
      <c r="R6">
        <v>36</v>
      </c>
      <c r="S6">
        <v>2</v>
      </c>
      <c r="V6" t="s">
        <v>40</v>
      </c>
      <c r="W6">
        <v>28</v>
      </c>
      <c r="X6">
        <v>7</v>
      </c>
      <c r="Z6" t="s">
        <v>25</v>
      </c>
      <c r="AA6">
        <v>6</v>
      </c>
      <c r="AB6">
        <v>6</v>
      </c>
      <c r="AD6" t="s">
        <v>11</v>
      </c>
      <c r="AE6">
        <v>40</v>
      </c>
      <c r="AF6">
        <v>7</v>
      </c>
    </row>
    <row r="7" spans="1:32">
      <c r="A7">
        <v>2</v>
      </c>
      <c r="B7">
        <v>2</v>
      </c>
      <c r="C7">
        <v>6</v>
      </c>
      <c r="D7" s="6" t="s">
        <v>60</v>
      </c>
      <c r="E7" s="6" t="s">
        <v>61</v>
      </c>
      <c r="F7" s="6" t="s">
        <v>62</v>
      </c>
      <c r="G7" s="6" t="str">
        <f>VLOOKUP(Tabla138[[#This Row],[ID_PARTIDO]],Original!$AT$1:$AY$46,5,FALSE)</f>
        <v>Valentina Jimenez Gomez</v>
      </c>
      <c r="H7" t="s">
        <v>14</v>
      </c>
      <c r="I7" t="s">
        <v>7</v>
      </c>
      <c r="J7" t="s">
        <v>14</v>
      </c>
      <c r="K7" t="s">
        <v>7</v>
      </c>
      <c r="L7">
        <v>0</v>
      </c>
      <c r="M7">
        <v>1</v>
      </c>
      <c r="Q7" t="s">
        <v>16</v>
      </c>
      <c r="R7">
        <v>37</v>
      </c>
      <c r="S7">
        <v>4</v>
      </c>
      <c r="V7" t="s">
        <v>18</v>
      </c>
      <c r="W7">
        <v>24</v>
      </c>
      <c r="X7">
        <v>4</v>
      </c>
      <c r="Z7" t="s">
        <v>37</v>
      </c>
      <c r="AA7">
        <v>22</v>
      </c>
      <c r="AB7">
        <v>7</v>
      </c>
      <c r="AD7" t="s">
        <v>16</v>
      </c>
      <c r="AE7">
        <v>18</v>
      </c>
      <c r="AF7">
        <v>7</v>
      </c>
    </row>
    <row r="8" spans="1:32">
      <c r="A8">
        <v>2</v>
      </c>
      <c r="B8">
        <v>2</v>
      </c>
      <c r="C8">
        <v>7</v>
      </c>
      <c r="D8" s="6" t="s">
        <v>60</v>
      </c>
      <c r="E8" s="6" t="s">
        <v>61</v>
      </c>
      <c r="F8" s="6" t="s">
        <v>62</v>
      </c>
      <c r="G8" s="6" t="str">
        <f>VLOOKUP(Tabla138[[#This Row],[ID_PARTIDO]],Original!$AT$1:$AY$46,5,FALSE)</f>
        <v>Valentina Jimenez Gomez</v>
      </c>
      <c r="H8" t="s">
        <v>14</v>
      </c>
      <c r="I8" t="s">
        <v>7</v>
      </c>
      <c r="J8" t="s">
        <v>14</v>
      </c>
      <c r="K8" t="s">
        <v>7</v>
      </c>
      <c r="L8">
        <v>1</v>
      </c>
      <c r="M8">
        <v>0</v>
      </c>
      <c r="Q8" t="s">
        <v>24</v>
      </c>
      <c r="R8">
        <v>18</v>
      </c>
      <c r="S8">
        <v>3</v>
      </c>
      <c r="V8" t="s">
        <v>20</v>
      </c>
      <c r="W8">
        <v>30</v>
      </c>
      <c r="X8">
        <v>7</v>
      </c>
      <c r="Z8" t="s">
        <v>40</v>
      </c>
      <c r="AA8">
        <v>40</v>
      </c>
      <c r="AB8">
        <v>7</v>
      </c>
      <c r="AD8" t="s">
        <v>18</v>
      </c>
      <c r="AE8">
        <v>38</v>
      </c>
      <c r="AF8">
        <v>7</v>
      </c>
    </row>
    <row r="9" spans="1:32">
      <c r="A9">
        <v>2</v>
      </c>
      <c r="B9">
        <v>2</v>
      </c>
      <c r="C9">
        <v>8</v>
      </c>
      <c r="D9" s="6" t="s">
        <v>60</v>
      </c>
      <c r="E9" s="6" t="s">
        <v>61</v>
      </c>
      <c r="F9" s="6" t="s">
        <v>62</v>
      </c>
      <c r="G9" s="6" t="str">
        <f>VLOOKUP(Tabla138[[#This Row],[ID_PARTIDO]],Original!$AT$1:$AY$46,5,FALSE)</f>
        <v>Valentina Jimenez Gomez</v>
      </c>
      <c r="H9" t="s">
        <v>14</v>
      </c>
      <c r="I9" t="s">
        <v>7</v>
      </c>
      <c r="J9" t="s">
        <v>14</v>
      </c>
      <c r="K9" t="s">
        <v>7</v>
      </c>
      <c r="L9">
        <v>1</v>
      </c>
      <c r="M9">
        <v>0</v>
      </c>
      <c r="Q9" t="s">
        <v>24</v>
      </c>
      <c r="R9">
        <v>22</v>
      </c>
      <c r="S9">
        <v>6</v>
      </c>
      <c r="V9" t="s">
        <v>20</v>
      </c>
      <c r="W9">
        <v>42</v>
      </c>
      <c r="X9">
        <v>7</v>
      </c>
      <c r="Z9" t="s">
        <v>20</v>
      </c>
      <c r="AA9">
        <v>32</v>
      </c>
      <c r="AB9">
        <v>5</v>
      </c>
      <c r="AD9" t="s">
        <v>22</v>
      </c>
      <c r="AE9">
        <v>4</v>
      </c>
      <c r="AF9">
        <v>2</v>
      </c>
    </row>
    <row r="10" spans="1:32">
      <c r="A10">
        <v>2</v>
      </c>
      <c r="B10">
        <v>2</v>
      </c>
      <c r="C10">
        <v>9</v>
      </c>
      <c r="D10" s="6" t="s">
        <v>60</v>
      </c>
      <c r="E10" s="6" t="s">
        <v>61</v>
      </c>
      <c r="F10" s="6" t="s">
        <v>62</v>
      </c>
      <c r="G10" s="6" t="str">
        <f>VLOOKUP(Tabla138[[#This Row],[ID_PARTIDO]],Original!$AT$1:$AY$46,5,FALSE)</f>
        <v>Valentina Jimenez Gomez</v>
      </c>
      <c r="H10" t="s">
        <v>14</v>
      </c>
      <c r="I10" t="s">
        <v>7</v>
      </c>
      <c r="J10" t="s">
        <v>14</v>
      </c>
      <c r="K10" t="s">
        <v>7</v>
      </c>
      <c r="L10">
        <v>1</v>
      </c>
      <c r="M10">
        <v>0</v>
      </c>
      <c r="Q10" t="s">
        <v>60</v>
      </c>
      <c r="R10">
        <v>2</v>
      </c>
      <c r="S10">
        <v>7</v>
      </c>
      <c r="V10" t="s">
        <v>22</v>
      </c>
      <c r="W10">
        <v>44</v>
      </c>
      <c r="X10">
        <v>2</v>
      </c>
      <c r="Z10" t="s">
        <v>12</v>
      </c>
      <c r="AA10">
        <v>30</v>
      </c>
      <c r="AB10">
        <v>6</v>
      </c>
      <c r="AD10" t="s">
        <v>22</v>
      </c>
      <c r="AE10">
        <v>20</v>
      </c>
      <c r="AF10">
        <v>7</v>
      </c>
    </row>
    <row r="11" spans="1:32">
      <c r="A11">
        <v>6</v>
      </c>
      <c r="B11">
        <v>2</v>
      </c>
      <c r="C11">
        <v>1</v>
      </c>
      <c r="D11" s="6" t="s">
        <v>60</v>
      </c>
      <c r="E11" s="6" t="s">
        <v>63</v>
      </c>
      <c r="F11" s="6" t="str">
        <f>VLOOKUP(Tabla138[[#This Row],[ID_PARTIDO]],Original!$AT$1:$AY$46,4,FALSE)</f>
        <v>Fermin Alejandro Escalona Guillen</v>
      </c>
      <c r="G11" s="6" t="str">
        <f>VLOOKUP(Tabla138[[#This Row],[ID_PARTIDO]],Original!$AT$1:$AY$46,5,FALSE)</f>
        <v>David Santiago Medina Buitrago</v>
      </c>
      <c r="H11" t="s">
        <v>14</v>
      </c>
      <c r="I11" t="s">
        <v>7</v>
      </c>
      <c r="J11" t="s">
        <v>7</v>
      </c>
      <c r="K11" t="s">
        <v>14</v>
      </c>
      <c r="L11">
        <v>0</v>
      </c>
      <c r="M11">
        <v>1</v>
      </c>
      <c r="Q11" t="s">
        <v>60</v>
      </c>
      <c r="R11">
        <v>6</v>
      </c>
      <c r="S11">
        <v>6</v>
      </c>
      <c r="V11" t="s">
        <v>26</v>
      </c>
      <c r="W11">
        <v>20</v>
      </c>
      <c r="X11">
        <v>5</v>
      </c>
      <c r="Z11" t="s">
        <v>24</v>
      </c>
      <c r="AA11">
        <v>44</v>
      </c>
      <c r="AB11">
        <v>7</v>
      </c>
      <c r="AD11" t="s">
        <v>12</v>
      </c>
      <c r="AE11">
        <v>37</v>
      </c>
      <c r="AF11">
        <v>7</v>
      </c>
    </row>
    <row r="12" spans="1:32">
      <c r="A12">
        <v>6</v>
      </c>
      <c r="B12">
        <v>2</v>
      </c>
      <c r="C12">
        <v>2</v>
      </c>
      <c r="D12" s="6" t="s">
        <v>60</v>
      </c>
      <c r="E12" s="6" t="s">
        <v>63</v>
      </c>
      <c r="F12" s="6" t="str">
        <f>VLOOKUP(Tabla138[[#This Row],[ID_PARTIDO]],Original!$AT$1:$AY$46,4,FALSE)</f>
        <v>Fermin Alejandro Escalona Guillen</v>
      </c>
      <c r="G12" s="6" t="str">
        <f>VLOOKUP(Tabla138[[#This Row],[ID_PARTIDO]],Original!$AT$1:$AY$46,5,FALSE)</f>
        <v>David Santiago Medina Buitrago</v>
      </c>
      <c r="H12" t="s">
        <v>14</v>
      </c>
      <c r="I12" t="s">
        <v>7</v>
      </c>
      <c r="J12" t="s">
        <v>7</v>
      </c>
      <c r="K12" t="s">
        <v>14</v>
      </c>
      <c r="L12">
        <v>1</v>
      </c>
      <c r="M12">
        <v>0</v>
      </c>
      <c r="Q12" t="s">
        <v>31</v>
      </c>
      <c r="R12">
        <v>44</v>
      </c>
      <c r="S12">
        <v>2</v>
      </c>
      <c r="V12" t="s">
        <v>26</v>
      </c>
      <c r="W12">
        <v>40</v>
      </c>
      <c r="X12">
        <v>4</v>
      </c>
      <c r="Z12" t="s">
        <v>23</v>
      </c>
      <c r="AA12">
        <v>12</v>
      </c>
      <c r="AB12">
        <v>7</v>
      </c>
      <c r="AD12" t="s">
        <v>26</v>
      </c>
      <c r="AE12">
        <v>39</v>
      </c>
      <c r="AF12">
        <v>8</v>
      </c>
    </row>
    <row r="13" spans="1:32">
      <c r="A13">
        <v>6</v>
      </c>
      <c r="B13">
        <v>2</v>
      </c>
      <c r="C13">
        <v>3</v>
      </c>
      <c r="D13" s="6" t="s">
        <v>60</v>
      </c>
      <c r="E13" s="6" t="s">
        <v>63</v>
      </c>
      <c r="F13" s="6" t="str">
        <f>VLOOKUP(Tabla138[[#This Row],[ID_PARTIDO]],Original!$AT$1:$AY$46,4,FALSE)</f>
        <v>Fermin Alejandro Escalona Guillen</v>
      </c>
      <c r="G13" s="6" t="str">
        <f>VLOOKUP(Tabla138[[#This Row],[ID_PARTIDO]],Original!$AT$1:$AY$46,5,FALSE)</f>
        <v>David Santiago Medina Buitrago</v>
      </c>
      <c r="H13" t="s">
        <v>14</v>
      </c>
      <c r="I13" t="s">
        <v>7</v>
      </c>
      <c r="J13" t="s">
        <v>7</v>
      </c>
      <c r="K13" t="s">
        <v>14</v>
      </c>
      <c r="L13">
        <v>0</v>
      </c>
      <c r="M13">
        <v>1</v>
      </c>
      <c r="Q13" t="s">
        <v>27</v>
      </c>
      <c r="R13">
        <v>14</v>
      </c>
      <c r="S13">
        <v>7</v>
      </c>
      <c r="V13" t="s">
        <v>24</v>
      </c>
      <c r="W13">
        <v>36</v>
      </c>
      <c r="X13">
        <v>2</v>
      </c>
      <c r="Z13" t="s">
        <v>21</v>
      </c>
      <c r="AA13">
        <v>14</v>
      </c>
      <c r="AB13">
        <v>4</v>
      </c>
      <c r="AD13" t="s">
        <v>60</v>
      </c>
      <c r="AE13">
        <v>44</v>
      </c>
      <c r="AF13">
        <v>7</v>
      </c>
    </row>
    <row r="14" spans="1:32">
      <c r="A14">
        <v>6</v>
      </c>
      <c r="B14">
        <v>2</v>
      </c>
      <c r="C14">
        <v>4</v>
      </c>
      <c r="D14" s="6" t="s">
        <v>60</v>
      </c>
      <c r="E14" s="6" t="s">
        <v>63</v>
      </c>
      <c r="F14" s="6" t="str">
        <f>VLOOKUP(Tabla138[[#This Row],[ID_PARTIDO]],Original!$AT$1:$AY$46,4,FALSE)</f>
        <v>Fermin Alejandro Escalona Guillen</v>
      </c>
      <c r="G14" s="6" t="str">
        <f>VLOOKUP(Tabla138[[#This Row],[ID_PARTIDO]],Original!$AT$1:$AY$46,5,FALSE)</f>
        <v>David Santiago Medina Buitrago</v>
      </c>
      <c r="H14" t="s">
        <v>14</v>
      </c>
      <c r="I14" t="s">
        <v>7</v>
      </c>
      <c r="J14" t="s">
        <v>7</v>
      </c>
      <c r="K14" t="s">
        <v>14</v>
      </c>
      <c r="L14">
        <v>1</v>
      </c>
      <c r="M14">
        <v>0</v>
      </c>
      <c r="Q14" t="s">
        <v>38</v>
      </c>
      <c r="R14">
        <v>38</v>
      </c>
      <c r="S14">
        <v>4</v>
      </c>
      <c r="V14" t="s">
        <v>23</v>
      </c>
      <c r="W14">
        <v>4</v>
      </c>
      <c r="X14">
        <v>7</v>
      </c>
      <c r="Z14" t="s">
        <v>31</v>
      </c>
      <c r="AA14">
        <v>16</v>
      </c>
      <c r="AB14">
        <v>6</v>
      </c>
      <c r="AD14" t="s">
        <v>28</v>
      </c>
      <c r="AE14">
        <v>16</v>
      </c>
      <c r="AF14">
        <v>6</v>
      </c>
    </row>
    <row r="15" spans="1:32">
      <c r="A15">
        <v>6</v>
      </c>
      <c r="B15">
        <v>2</v>
      </c>
      <c r="C15">
        <v>5</v>
      </c>
      <c r="D15" s="6" t="s">
        <v>60</v>
      </c>
      <c r="E15" s="6" t="s">
        <v>63</v>
      </c>
      <c r="F15" s="6" t="str">
        <f>VLOOKUP(Tabla138[[#This Row],[ID_PARTIDO]],Original!$AT$1:$AY$46,4,FALSE)</f>
        <v>Fermin Alejandro Escalona Guillen</v>
      </c>
      <c r="G15" s="6" t="str">
        <f>VLOOKUP(Tabla138[[#This Row],[ID_PARTIDO]],Original!$AT$1:$AY$46,5,FALSE)</f>
        <v>David Santiago Medina Buitrago</v>
      </c>
      <c r="H15" t="s">
        <v>14</v>
      </c>
      <c r="I15" t="s">
        <v>7</v>
      </c>
      <c r="J15" t="s">
        <v>7</v>
      </c>
      <c r="K15" t="s">
        <v>14</v>
      </c>
      <c r="L15">
        <v>1</v>
      </c>
      <c r="M15">
        <v>0</v>
      </c>
      <c r="Q15" t="s">
        <v>38</v>
      </c>
      <c r="R15">
        <v>39</v>
      </c>
      <c r="S15">
        <v>6</v>
      </c>
      <c r="V15" t="s">
        <v>23</v>
      </c>
      <c r="W15">
        <v>32</v>
      </c>
      <c r="X15">
        <v>7</v>
      </c>
      <c r="Z15" t="s">
        <v>31</v>
      </c>
      <c r="AA15">
        <v>39</v>
      </c>
      <c r="AB15">
        <v>8</v>
      </c>
      <c r="AD15" t="s">
        <v>38</v>
      </c>
      <c r="AE15">
        <v>8</v>
      </c>
      <c r="AF15">
        <v>4</v>
      </c>
    </row>
    <row r="16" spans="1:32">
      <c r="A16">
        <v>6</v>
      </c>
      <c r="B16">
        <v>2</v>
      </c>
      <c r="C16">
        <v>6</v>
      </c>
      <c r="D16" s="6" t="s">
        <v>60</v>
      </c>
      <c r="E16" s="6" t="s">
        <v>63</v>
      </c>
      <c r="F16" s="6" t="str">
        <f>VLOOKUP(Tabla138[[#This Row],[ID_PARTIDO]],Original!$AT$1:$AY$46,4,FALSE)</f>
        <v>Fermin Alejandro Escalona Guillen</v>
      </c>
      <c r="G16" s="6" t="str">
        <f>VLOOKUP(Tabla138[[#This Row],[ID_PARTIDO]],Original!$AT$1:$AY$46,5,FALSE)</f>
        <v>David Santiago Medina Buitrago</v>
      </c>
      <c r="H16" t="s">
        <v>14</v>
      </c>
      <c r="I16" t="s">
        <v>7</v>
      </c>
      <c r="J16" t="s">
        <v>7</v>
      </c>
      <c r="K16" t="s">
        <v>14</v>
      </c>
      <c r="L16">
        <v>0</v>
      </c>
      <c r="M16">
        <v>1</v>
      </c>
      <c r="Q16" t="s">
        <v>35</v>
      </c>
      <c r="R16">
        <v>4</v>
      </c>
      <c r="S16">
        <v>7</v>
      </c>
      <c r="V16" t="s">
        <v>31</v>
      </c>
      <c r="W16">
        <v>10</v>
      </c>
      <c r="X16">
        <v>6</v>
      </c>
      <c r="Z16" t="s">
        <v>28</v>
      </c>
      <c r="AA16">
        <v>8</v>
      </c>
      <c r="AB16">
        <v>4</v>
      </c>
      <c r="AD16" t="s">
        <v>38</v>
      </c>
      <c r="AE16">
        <v>26</v>
      </c>
      <c r="AF16">
        <v>7</v>
      </c>
    </row>
    <row r="17" spans="1:32">
      <c r="A17">
        <v>6</v>
      </c>
      <c r="B17">
        <v>2</v>
      </c>
      <c r="C17">
        <v>7</v>
      </c>
      <c r="D17" s="6" t="s">
        <v>60</v>
      </c>
      <c r="E17" s="6" t="s">
        <v>63</v>
      </c>
      <c r="F17" s="6" t="str">
        <f>VLOOKUP(Tabla138[[#This Row],[ID_PARTIDO]],Original!$AT$1:$AY$46,4,FALSE)</f>
        <v>Fermin Alejandro Escalona Guillen</v>
      </c>
      <c r="G17" s="6" t="str">
        <f>VLOOKUP(Tabla138[[#This Row],[ID_PARTIDO]],Original!$AT$1:$AY$46,5,FALSE)</f>
        <v>David Santiago Medina Buitrago</v>
      </c>
      <c r="H17" t="s">
        <v>14</v>
      </c>
      <c r="I17" t="s">
        <v>7</v>
      </c>
      <c r="J17" t="s">
        <v>7</v>
      </c>
      <c r="K17" t="s">
        <v>14</v>
      </c>
      <c r="L17">
        <v>0</v>
      </c>
      <c r="M17">
        <v>1</v>
      </c>
      <c r="Q17" t="s">
        <v>35</v>
      </c>
      <c r="R17">
        <v>28</v>
      </c>
      <c r="S17">
        <v>7</v>
      </c>
      <c r="V17" t="s">
        <v>28</v>
      </c>
      <c r="W17">
        <v>39</v>
      </c>
      <c r="X17">
        <v>6</v>
      </c>
      <c r="Z17" t="s">
        <v>28</v>
      </c>
      <c r="AA17">
        <v>10</v>
      </c>
      <c r="AB17">
        <v>6</v>
      </c>
      <c r="AD17" t="s">
        <v>29</v>
      </c>
      <c r="AE17">
        <v>10</v>
      </c>
      <c r="AF17">
        <v>6</v>
      </c>
    </row>
    <row r="18" spans="1:32">
      <c r="A18">
        <v>6</v>
      </c>
      <c r="B18">
        <v>2</v>
      </c>
      <c r="C18">
        <v>8</v>
      </c>
      <c r="D18" s="6" t="s">
        <v>60</v>
      </c>
      <c r="E18" s="6" t="s">
        <v>63</v>
      </c>
      <c r="F18" s="6" t="str">
        <f>VLOOKUP(Tabla138[[#This Row],[ID_PARTIDO]],Original!$AT$1:$AY$46,4,FALSE)</f>
        <v>Fermin Alejandro Escalona Guillen</v>
      </c>
      <c r="G18" s="6" t="str">
        <f>VLOOKUP(Tabla138[[#This Row],[ID_PARTIDO]],Original!$AT$1:$AY$46,5,FALSE)</f>
        <v>David Santiago Medina Buitrago</v>
      </c>
      <c r="H18" t="s">
        <v>14</v>
      </c>
      <c r="I18" t="s">
        <v>7</v>
      </c>
      <c r="J18" t="s">
        <v>7</v>
      </c>
      <c r="K18" t="s">
        <v>14</v>
      </c>
      <c r="L18">
        <v>1</v>
      </c>
      <c r="M18">
        <v>0</v>
      </c>
      <c r="Q18" t="s">
        <v>17</v>
      </c>
      <c r="R18">
        <v>8</v>
      </c>
      <c r="S18">
        <v>7</v>
      </c>
      <c r="V18" t="s">
        <v>38</v>
      </c>
      <c r="W18">
        <v>37</v>
      </c>
      <c r="X18">
        <v>4</v>
      </c>
      <c r="Z18" t="s">
        <v>8</v>
      </c>
      <c r="AA18">
        <v>37</v>
      </c>
      <c r="AB18">
        <v>7</v>
      </c>
      <c r="AD18" t="s">
        <v>35</v>
      </c>
      <c r="AE18">
        <v>36</v>
      </c>
      <c r="AF18">
        <v>7</v>
      </c>
    </row>
    <row r="19" spans="1:32">
      <c r="A19">
        <v>6</v>
      </c>
      <c r="B19">
        <v>2</v>
      </c>
      <c r="C19">
        <v>9</v>
      </c>
      <c r="D19" s="6" t="s">
        <v>60</v>
      </c>
      <c r="E19" s="6" t="s">
        <v>63</v>
      </c>
      <c r="F19" s="6" t="str">
        <f>VLOOKUP(Tabla138[[#This Row],[ID_PARTIDO]],Original!$AT$1:$AY$46,4,FALSE)</f>
        <v>Fermin Alejandro Escalona Guillen</v>
      </c>
      <c r="G19" s="6" t="str">
        <f>VLOOKUP(Tabla138[[#This Row],[ID_PARTIDO]],Original!$AT$1:$AY$46,5,FALSE)</f>
        <v>David Santiago Medina Buitrago</v>
      </c>
      <c r="H19" t="s">
        <v>14</v>
      </c>
      <c r="I19" t="s">
        <v>7</v>
      </c>
      <c r="J19" t="s">
        <v>7</v>
      </c>
      <c r="K19" t="s">
        <v>14</v>
      </c>
      <c r="L19">
        <v>0</v>
      </c>
      <c r="M19">
        <v>1</v>
      </c>
      <c r="Q19" t="s">
        <v>42</v>
      </c>
      <c r="R19">
        <v>20</v>
      </c>
      <c r="S19">
        <v>5</v>
      </c>
      <c r="V19" t="s">
        <v>35</v>
      </c>
      <c r="W19">
        <v>14</v>
      </c>
      <c r="X19">
        <v>7</v>
      </c>
      <c r="Z19" t="s">
        <v>62</v>
      </c>
      <c r="AA19">
        <v>2</v>
      </c>
      <c r="AB19">
        <v>2</v>
      </c>
      <c r="AD19" t="s">
        <v>17</v>
      </c>
      <c r="AE19">
        <v>34</v>
      </c>
      <c r="AF19">
        <v>7</v>
      </c>
    </row>
    <row r="20" spans="1:32">
      <c r="A20">
        <v>6</v>
      </c>
      <c r="B20">
        <v>2</v>
      </c>
      <c r="C20">
        <v>10</v>
      </c>
      <c r="D20" s="6" t="s">
        <v>60</v>
      </c>
      <c r="E20" s="6" t="s">
        <v>63</v>
      </c>
      <c r="F20" s="6" t="str">
        <f>VLOOKUP(Tabla138[[#This Row],[ID_PARTIDO]],Original!$AT$1:$AY$46,4,FALSE)</f>
        <v>Fermin Alejandro Escalona Guillen</v>
      </c>
      <c r="G20" s="6" t="str">
        <f>VLOOKUP(Tabla138[[#This Row],[ID_PARTIDO]],Original!$AT$1:$AY$46,5,FALSE)</f>
        <v>David Santiago Medina Buitrago</v>
      </c>
      <c r="H20" t="s">
        <v>14</v>
      </c>
      <c r="I20" t="s">
        <v>7</v>
      </c>
      <c r="J20" t="s">
        <v>7</v>
      </c>
      <c r="K20" t="s">
        <v>14</v>
      </c>
      <c r="L20">
        <v>1</v>
      </c>
      <c r="M20">
        <v>0</v>
      </c>
      <c r="Q20" t="s">
        <v>42</v>
      </c>
      <c r="R20">
        <v>34</v>
      </c>
      <c r="S20">
        <v>3</v>
      </c>
      <c r="V20" t="s">
        <v>17</v>
      </c>
      <c r="W20">
        <v>16</v>
      </c>
      <c r="X20">
        <v>7</v>
      </c>
      <c r="Z20" t="s">
        <v>29</v>
      </c>
      <c r="AA20">
        <v>34</v>
      </c>
      <c r="AB20">
        <v>7</v>
      </c>
      <c r="AD20" t="s">
        <v>10</v>
      </c>
      <c r="AE20">
        <v>22</v>
      </c>
      <c r="AF20">
        <v>7</v>
      </c>
    </row>
    <row r="21" spans="1:32">
      <c r="A21">
        <v>6</v>
      </c>
      <c r="B21">
        <v>2</v>
      </c>
      <c r="C21">
        <v>11</v>
      </c>
      <c r="D21" s="6" t="s">
        <v>60</v>
      </c>
      <c r="E21" s="6" t="s">
        <v>63</v>
      </c>
      <c r="F21" s="6" t="str">
        <f>VLOOKUP(Tabla138[[#This Row],[ID_PARTIDO]],Original!$AT$1:$AY$46,4,FALSE)</f>
        <v>Fermin Alejandro Escalona Guillen</v>
      </c>
      <c r="G21" s="6" t="str">
        <f>VLOOKUP(Tabla138[[#This Row],[ID_PARTIDO]],Original!$AT$1:$AY$46,5,FALSE)</f>
        <v>David Santiago Medina Buitrago</v>
      </c>
      <c r="H21" t="s">
        <v>14</v>
      </c>
      <c r="I21" t="s">
        <v>7</v>
      </c>
      <c r="J21" t="s">
        <v>7</v>
      </c>
      <c r="K21" t="s">
        <v>14</v>
      </c>
      <c r="L21">
        <v>0</v>
      </c>
      <c r="M21">
        <v>1</v>
      </c>
      <c r="Q21" t="s">
        <v>32</v>
      </c>
      <c r="R21">
        <v>16</v>
      </c>
      <c r="S21">
        <v>7</v>
      </c>
      <c r="V21" t="s">
        <v>61</v>
      </c>
      <c r="W21">
        <v>2</v>
      </c>
      <c r="X21">
        <v>7</v>
      </c>
      <c r="Z21" t="s">
        <v>10</v>
      </c>
      <c r="AA21">
        <v>18</v>
      </c>
      <c r="AB21">
        <v>7</v>
      </c>
      <c r="AD21" t="s">
        <v>41</v>
      </c>
      <c r="AE21">
        <v>42</v>
      </c>
      <c r="AF21">
        <v>2</v>
      </c>
    </row>
    <row r="22" spans="1:32">
      <c r="A22">
        <v>6</v>
      </c>
      <c r="B22">
        <v>2</v>
      </c>
      <c r="C22">
        <v>12</v>
      </c>
      <c r="D22" s="6" t="s">
        <v>60</v>
      </c>
      <c r="E22" s="6" t="s">
        <v>63</v>
      </c>
      <c r="F22" s="6" t="str">
        <f>VLOOKUP(Tabla138[[#This Row],[ID_PARTIDO]],Original!$AT$1:$AY$46,4,FALSE)</f>
        <v>Fermin Alejandro Escalona Guillen</v>
      </c>
      <c r="G22" s="6" t="str">
        <f>VLOOKUP(Tabla138[[#This Row],[ID_PARTIDO]],Original!$AT$1:$AY$46,5,FALSE)</f>
        <v>David Santiago Medina Buitrago</v>
      </c>
      <c r="H22" t="s">
        <v>14</v>
      </c>
      <c r="I22" t="s">
        <v>7</v>
      </c>
      <c r="J22" t="s">
        <v>7</v>
      </c>
      <c r="K22" t="s">
        <v>14</v>
      </c>
      <c r="L22">
        <v>1</v>
      </c>
      <c r="M22">
        <v>0</v>
      </c>
      <c r="Q22" t="s">
        <v>43</v>
      </c>
      <c r="R22">
        <v>10</v>
      </c>
      <c r="S22">
        <v>6</v>
      </c>
      <c r="V22" t="s">
        <v>32</v>
      </c>
      <c r="W22">
        <v>12</v>
      </c>
      <c r="X22">
        <v>1</v>
      </c>
      <c r="Z22" t="s">
        <v>10</v>
      </c>
      <c r="AA22">
        <v>38</v>
      </c>
      <c r="AB22">
        <v>7</v>
      </c>
      <c r="AD22" t="s">
        <v>15</v>
      </c>
      <c r="AE22">
        <v>12</v>
      </c>
      <c r="AF22">
        <v>7</v>
      </c>
    </row>
    <row r="23" spans="1:32">
      <c r="A23">
        <v>8</v>
      </c>
      <c r="B23">
        <v>2</v>
      </c>
      <c r="C23">
        <v>1</v>
      </c>
      <c r="D23" s="6" t="s">
        <v>17</v>
      </c>
      <c r="E23" s="6" t="s">
        <v>15</v>
      </c>
      <c r="F23" s="6" t="s">
        <v>28</v>
      </c>
      <c r="G23" s="6" t="str">
        <f>VLOOKUP(Tabla138[[#This Row],[ID_PARTIDO]],Original!$AT$1:$AY$46,5,FALSE)</f>
        <v xml:space="preserve">Nicolas Navarro </v>
      </c>
      <c r="H23" t="s">
        <v>7</v>
      </c>
      <c r="I23" t="s">
        <v>14</v>
      </c>
      <c r="J23" t="s">
        <v>7</v>
      </c>
      <c r="K23" t="s">
        <v>14</v>
      </c>
      <c r="L23">
        <v>1</v>
      </c>
      <c r="M23">
        <v>0</v>
      </c>
      <c r="Q23" t="s">
        <v>43</v>
      </c>
      <c r="R23">
        <v>12</v>
      </c>
      <c r="S23">
        <v>1</v>
      </c>
      <c r="V23" t="s">
        <v>41</v>
      </c>
      <c r="W23">
        <v>34</v>
      </c>
      <c r="X23">
        <v>3</v>
      </c>
      <c r="Z23" t="s">
        <v>42</v>
      </c>
      <c r="AA23">
        <v>4</v>
      </c>
      <c r="AB23">
        <v>2</v>
      </c>
      <c r="AD23" t="s">
        <v>15</v>
      </c>
      <c r="AE23">
        <v>32</v>
      </c>
      <c r="AF23">
        <v>5</v>
      </c>
    </row>
    <row r="24" spans="1:32">
      <c r="A24">
        <v>8</v>
      </c>
      <c r="B24">
        <v>2</v>
      </c>
      <c r="C24">
        <v>2</v>
      </c>
      <c r="D24" s="6" t="s">
        <v>17</v>
      </c>
      <c r="E24" s="6" t="s">
        <v>15</v>
      </c>
      <c r="F24" s="6" t="s">
        <v>28</v>
      </c>
      <c r="G24" s="6" t="str">
        <f>VLOOKUP(Tabla138[[#This Row],[ID_PARTIDO]],Original!$AT$1:$AY$46,5,FALSE)</f>
        <v xml:space="preserve">Nicolas Navarro </v>
      </c>
      <c r="H24" t="s">
        <v>7</v>
      </c>
      <c r="I24" t="s">
        <v>14</v>
      </c>
      <c r="J24" t="s">
        <v>7</v>
      </c>
      <c r="K24" t="s">
        <v>14</v>
      </c>
      <c r="L24">
        <v>1</v>
      </c>
      <c r="M24">
        <v>0</v>
      </c>
      <c r="Q24" t="s">
        <v>43</v>
      </c>
      <c r="R24">
        <v>24</v>
      </c>
      <c r="S24">
        <v>4</v>
      </c>
      <c r="V24" t="s">
        <v>41</v>
      </c>
      <c r="W24">
        <v>38</v>
      </c>
      <c r="X24">
        <v>4</v>
      </c>
      <c r="Z24" t="s">
        <v>41</v>
      </c>
      <c r="AA24">
        <v>20</v>
      </c>
      <c r="AB24">
        <v>7</v>
      </c>
      <c r="AD24" t="s">
        <v>34</v>
      </c>
      <c r="AE24">
        <v>28</v>
      </c>
      <c r="AF24">
        <v>2</v>
      </c>
    </row>
    <row r="25" spans="1:32">
      <c r="A25">
        <v>8</v>
      </c>
      <c r="B25">
        <v>2</v>
      </c>
      <c r="C25">
        <v>3</v>
      </c>
      <c r="D25" s="6" t="s">
        <v>17</v>
      </c>
      <c r="E25" s="6" t="s">
        <v>15</v>
      </c>
      <c r="F25" s="6" t="s">
        <v>28</v>
      </c>
      <c r="G25" s="6" t="str">
        <f>VLOOKUP(Tabla138[[#This Row],[ID_PARTIDO]],Original!$AT$1:$AY$46,5,FALSE)</f>
        <v xml:space="preserve">Nicolas Navarro </v>
      </c>
      <c r="H25" t="s">
        <v>7</v>
      </c>
      <c r="I25" t="s">
        <v>14</v>
      </c>
      <c r="J25" t="s">
        <v>7</v>
      </c>
      <c r="K25" t="s">
        <v>14</v>
      </c>
      <c r="L25">
        <v>0</v>
      </c>
      <c r="M25">
        <v>1</v>
      </c>
      <c r="Q25" t="s">
        <v>41</v>
      </c>
      <c r="R25">
        <v>40</v>
      </c>
      <c r="S25">
        <v>4</v>
      </c>
      <c r="V25" t="s">
        <v>15</v>
      </c>
      <c r="W25">
        <v>8</v>
      </c>
      <c r="X25">
        <v>7</v>
      </c>
      <c r="Z25" t="s">
        <v>19</v>
      </c>
      <c r="AA25">
        <v>26</v>
      </c>
      <c r="AB25">
        <v>7</v>
      </c>
      <c r="AD25" t="s">
        <v>36</v>
      </c>
      <c r="AE25">
        <v>2</v>
      </c>
      <c r="AF25">
        <v>2</v>
      </c>
    </row>
    <row r="26" spans="1:32">
      <c r="A26">
        <v>8</v>
      </c>
      <c r="B26">
        <v>2</v>
      </c>
      <c r="C26">
        <v>4</v>
      </c>
      <c r="D26" s="6" t="s">
        <v>17</v>
      </c>
      <c r="E26" s="6" t="s">
        <v>15</v>
      </c>
      <c r="F26" s="6" t="s">
        <v>28</v>
      </c>
      <c r="G26" s="6" t="str">
        <f>VLOOKUP(Tabla138[[#This Row],[ID_PARTIDO]],Original!$AT$1:$AY$46,5,FALSE)</f>
        <v xml:space="preserve">Nicolas Navarro </v>
      </c>
      <c r="H26" t="s">
        <v>7</v>
      </c>
      <c r="I26" t="s">
        <v>14</v>
      </c>
      <c r="J26" t="s">
        <v>7</v>
      </c>
      <c r="K26" t="s">
        <v>14</v>
      </c>
      <c r="L26">
        <v>0</v>
      </c>
      <c r="M26">
        <v>1</v>
      </c>
      <c r="Q26" t="s">
        <v>15</v>
      </c>
      <c r="R26">
        <v>42</v>
      </c>
      <c r="S26">
        <v>7</v>
      </c>
      <c r="V26" t="s">
        <v>36</v>
      </c>
      <c r="W26">
        <v>22</v>
      </c>
      <c r="X26">
        <v>6</v>
      </c>
      <c r="Z26" t="s">
        <v>19</v>
      </c>
      <c r="AA26">
        <v>36</v>
      </c>
      <c r="AB26">
        <v>7</v>
      </c>
      <c r="AD26" t="s">
        <v>36</v>
      </c>
      <c r="AE26">
        <v>24</v>
      </c>
      <c r="AF26">
        <v>7</v>
      </c>
    </row>
    <row r="27" spans="1:32">
      <c r="A27">
        <v>8</v>
      </c>
      <c r="B27">
        <v>2</v>
      </c>
      <c r="C27">
        <v>5</v>
      </c>
      <c r="D27" s="6" t="s">
        <v>17</v>
      </c>
      <c r="E27" s="6" t="s">
        <v>15</v>
      </c>
      <c r="F27" s="6" t="s">
        <v>28</v>
      </c>
      <c r="G27" s="6" t="str">
        <f>VLOOKUP(Tabla138[[#This Row],[ID_PARTIDO]],Original!$AT$1:$AY$46,5,FALSE)</f>
        <v xml:space="preserve">Nicolas Navarro </v>
      </c>
      <c r="H27" t="s">
        <v>7</v>
      </c>
      <c r="I27" t="s">
        <v>14</v>
      </c>
      <c r="J27" t="s">
        <v>7</v>
      </c>
      <c r="K27" t="s">
        <v>14</v>
      </c>
      <c r="L27">
        <v>0</v>
      </c>
      <c r="M27">
        <v>1</v>
      </c>
      <c r="Q27" t="s">
        <v>44</v>
      </c>
      <c r="S27">
        <v>121</v>
      </c>
      <c r="V27" t="s">
        <v>44</v>
      </c>
      <c r="X27">
        <v>121</v>
      </c>
      <c r="Z27" t="s">
        <v>44</v>
      </c>
      <c r="AB27">
        <v>137</v>
      </c>
      <c r="AD27" t="s">
        <v>64</v>
      </c>
      <c r="AE27" t="s">
        <v>64</v>
      </c>
    </row>
    <row r="28" spans="1:32">
      <c r="A28">
        <v>8</v>
      </c>
      <c r="B28">
        <v>2</v>
      </c>
      <c r="C28">
        <v>6</v>
      </c>
      <c r="D28" s="6" t="s">
        <v>17</v>
      </c>
      <c r="E28" s="6" t="s">
        <v>15</v>
      </c>
      <c r="F28" s="6" t="s">
        <v>28</v>
      </c>
      <c r="G28" s="6" t="str">
        <f>VLOOKUP(Tabla138[[#This Row],[ID_PARTIDO]],Original!$AT$1:$AY$46,5,FALSE)</f>
        <v xml:space="preserve">Nicolas Navarro </v>
      </c>
      <c r="H28" t="s">
        <v>7</v>
      </c>
      <c r="I28" t="s">
        <v>14</v>
      </c>
      <c r="J28" t="s">
        <v>7</v>
      </c>
      <c r="K28" t="s">
        <v>14</v>
      </c>
      <c r="L28">
        <v>0</v>
      </c>
      <c r="M28">
        <v>1</v>
      </c>
      <c r="AD28" t="s">
        <v>44</v>
      </c>
      <c r="AF28">
        <v>137</v>
      </c>
    </row>
    <row r="29" spans="1:32">
      <c r="A29">
        <v>8</v>
      </c>
      <c r="B29">
        <v>2</v>
      </c>
      <c r="C29">
        <v>7</v>
      </c>
      <c r="D29" s="6" t="s">
        <v>17</v>
      </c>
      <c r="E29" s="6" t="s">
        <v>15</v>
      </c>
      <c r="F29" s="6" t="s">
        <v>28</v>
      </c>
      <c r="G29" s="6" t="str">
        <f>VLOOKUP(Tabla138[[#This Row],[ID_PARTIDO]],Original!$AT$1:$AY$46,5,FALSE)</f>
        <v xml:space="preserve">Nicolas Navarro </v>
      </c>
      <c r="H29" t="s">
        <v>7</v>
      </c>
      <c r="I29" t="s">
        <v>14</v>
      </c>
      <c r="J29" t="s">
        <v>7</v>
      </c>
      <c r="K29" t="s">
        <v>14</v>
      </c>
      <c r="L29">
        <v>1</v>
      </c>
      <c r="M29">
        <v>0</v>
      </c>
    </row>
    <row r="30" spans="1:32">
      <c r="A30">
        <v>8</v>
      </c>
      <c r="B30">
        <v>2</v>
      </c>
      <c r="C30">
        <v>8</v>
      </c>
      <c r="D30" s="6" t="s">
        <v>17</v>
      </c>
      <c r="E30" s="6" t="s">
        <v>15</v>
      </c>
      <c r="F30" s="6" t="s">
        <v>28</v>
      </c>
      <c r="G30" s="6" t="str">
        <f>VLOOKUP(Tabla138[[#This Row],[ID_PARTIDO]],Original!$AT$1:$AY$46,5,FALSE)</f>
        <v xml:space="preserve">Nicolas Navarro </v>
      </c>
      <c r="H30" t="s">
        <v>7</v>
      </c>
      <c r="I30" t="s">
        <v>14</v>
      </c>
      <c r="J30" t="s">
        <v>7</v>
      </c>
      <c r="K30" t="s">
        <v>14</v>
      </c>
      <c r="L30">
        <v>1</v>
      </c>
      <c r="M30">
        <v>0</v>
      </c>
    </row>
    <row r="31" spans="1:32">
      <c r="A31">
        <v>8</v>
      </c>
      <c r="B31">
        <v>2</v>
      </c>
      <c r="C31">
        <v>9</v>
      </c>
      <c r="D31" s="6" t="s">
        <v>17</v>
      </c>
      <c r="E31" s="6" t="s">
        <v>15</v>
      </c>
      <c r="F31" s="6" t="s">
        <v>28</v>
      </c>
      <c r="G31" s="6" t="str">
        <f>VLOOKUP(Tabla138[[#This Row],[ID_PARTIDO]],Original!$AT$1:$AY$46,5,FALSE)</f>
        <v xml:space="preserve">Nicolas Navarro </v>
      </c>
      <c r="H31" t="s">
        <v>7</v>
      </c>
      <c r="I31" t="s">
        <v>14</v>
      </c>
      <c r="J31" t="s">
        <v>7</v>
      </c>
      <c r="K31" t="s">
        <v>14</v>
      </c>
      <c r="L31">
        <v>1</v>
      </c>
      <c r="M31">
        <v>0</v>
      </c>
    </row>
    <row r="32" spans="1:32">
      <c r="A32">
        <v>8</v>
      </c>
      <c r="B32">
        <v>2</v>
      </c>
      <c r="C32">
        <v>10</v>
      </c>
      <c r="D32" s="6" t="s">
        <v>17</v>
      </c>
      <c r="E32" s="6" t="s">
        <v>15</v>
      </c>
      <c r="F32" s="6" t="s">
        <v>28</v>
      </c>
      <c r="G32" s="6" t="str">
        <f>VLOOKUP(Tabla138[[#This Row],[ID_PARTIDO]],Original!$AT$1:$AY$46,5,FALSE)</f>
        <v xml:space="preserve">Nicolas Navarro </v>
      </c>
      <c r="H32" t="s">
        <v>7</v>
      </c>
      <c r="I32" t="s">
        <v>14</v>
      </c>
      <c r="J32" t="s">
        <v>7</v>
      </c>
      <c r="K32" t="s">
        <v>14</v>
      </c>
      <c r="L32">
        <v>1</v>
      </c>
      <c r="M32">
        <v>0</v>
      </c>
    </row>
    <row r="33" spans="1:13">
      <c r="A33">
        <v>8</v>
      </c>
      <c r="B33">
        <v>2</v>
      </c>
      <c r="C33">
        <v>11</v>
      </c>
      <c r="D33" s="6" t="s">
        <v>17</v>
      </c>
      <c r="E33" s="6" t="s">
        <v>15</v>
      </c>
      <c r="F33" s="6" t="s">
        <v>28</v>
      </c>
      <c r="G33" s="6" t="str">
        <f>VLOOKUP(Tabla138[[#This Row],[ID_PARTIDO]],Original!$AT$1:$AY$46,5,FALSE)</f>
        <v xml:space="preserve">Nicolas Navarro </v>
      </c>
      <c r="H33" t="s">
        <v>7</v>
      </c>
      <c r="I33" t="s">
        <v>14</v>
      </c>
      <c r="J33" t="s">
        <v>7</v>
      </c>
      <c r="K33" t="s">
        <v>14</v>
      </c>
      <c r="L33">
        <v>1</v>
      </c>
      <c r="M33">
        <v>0</v>
      </c>
    </row>
    <row r="34" spans="1:13">
      <c r="A34">
        <v>4</v>
      </c>
      <c r="B34">
        <v>2</v>
      </c>
      <c r="C34">
        <v>1</v>
      </c>
      <c r="D34" s="6" t="str">
        <f>VLOOKUP(Tabla138[[#This Row],[ID_PARTIDO]],Original!$AT$1:$AY$46,2,FALSE)</f>
        <v>Rafael Andres Salcedo Valdivieso</v>
      </c>
      <c r="E34" s="6" t="str">
        <f>VLOOKUP(Tabla138[[#This Row],[ID_PARTIDO]],Original!$AT$1:$AY$46,3,FALSE)</f>
        <v>Luis Jorge Garcia Camargo</v>
      </c>
      <c r="F34" s="6" t="str">
        <f>VLOOKUP(Tabla138[[#This Row],[ID_PARTIDO]],Original!$AT$1:$AY$46,4,FALSE)</f>
        <v>Santiago Navarro Cuy</v>
      </c>
      <c r="G34" s="6" t="str">
        <f>VLOOKUP(Tabla138[[#This Row],[ID_PARTIDO]],Original!$AT$1:$AY$46,5,FALSE)</f>
        <v xml:space="preserve">Juan Pablo Aponte Veloza </v>
      </c>
      <c r="H34" t="s">
        <v>7</v>
      </c>
      <c r="I34" t="s">
        <v>14</v>
      </c>
      <c r="J34" t="s">
        <v>14</v>
      </c>
      <c r="K34" t="s">
        <v>7</v>
      </c>
      <c r="L34">
        <v>0</v>
      </c>
      <c r="M34">
        <v>1</v>
      </c>
    </row>
    <row r="35" spans="1:13">
      <c r="A35">
        <v>4</v>
      </c>
      <c r="B35">
        <v>2</v>
      </c>
      <c r="C35">
        <v>2</v>
      </c>
      <c r="D35" s="6" t="str">
        <f>VLOOKUP(Tabla138[[#This Row],[ID_PARTIDO]],Original!$AT$1:$AY$46,2,FALSE)</f>
        <v>Rafael Andres Salcedo Valdivieso</v>
      </c>
      <c r="E35" s="6" t="str">
        <f>VLOOKUP(Tabla138[[#This Row],[ID_PARTIDO]],Original!$AT$1:$AY$46,3,FALSE)</f>
        <v>Luis Jorge Garcia Camargo</v>
      </c>
      <c r="F35" s="6" t="str">
        <f>VLOOKUP(Tabla138[[#This Row],[ID_PARTIDO]],Original!$AT$1:$AY$46,4,FALSE)</f>
        <v>Santiago Navarro Cuy</v>
      </c>
      <c r="G35" s="6" t="str">
        <f>VLOOKUP(Tabla138[[#This Row],[ID_PARTIDO]],Original!$AT$1:$AY$46,5,FALSE)</f>
        <v xml:space="preserve">Juan Pablo Aponte Veloza </v>
      </c>
      <c r="H35" t="s">
        <v>7</v>
      </c>
      <c r="I35" t="s">
        <v>14</v>
      </c>
      <c r="J35" t="s">
        <v>14</v>
      </c>
      <c r="K35" t="s">
        <v>7</v>
      </c>
      <c r="L35">
        <v>1</v>
      </c>
      <c r="M35">
        <v>0</v>
      </c>
    </row>
    <row r="36" spans="1:13">
      <c r="A36">
        <v>4</v>
      </c>
      <c r="B36">
        <v>2</v>
      </c>
      <c r="C36">
        <v>3</v>
      </c>
      <c r="D36" s="6" t="str">
        <f>VLOOKUP(Tabla138[[#This Row],[ID_PARTIDO]],Original!$AT$1:$AY$46,2,FALSE)</f>
        <v>Rafael Andres Salcedo Valdivieso</v>
      </c>
      <c r="E36" s="6" t="str">
        <f>VLOOKUP(Tabla138[[#This Row],[ID_PARTIDO]],Original!$AT$1:$AY$46,3,FALSE)</f>
        <v>Luis Jorge Garcia Camargo</v>
      </c>
      <c r="F36" s="6" t="str">
        <f>VLOOKUP(Tabla138[[#This Row],[ID_PARTIDO]],Original!$AT$1:$AY$46,4,FALSE)</f>
        <v>Santiago Navarro Cuy</v>
      </c>
      <c r="G36" s="6" t="str">
        <f>VLOOKUP(Tabla138[[#This Row],[ID_PARTIDO]],Original!$AT$1:$AY$46,5,FALSE)</f>
        <v xml:space="preserve">Juan Pablo Aponte Veloza </v>
      </c>
      <c r="H36" t="s">
        <v>7</v>
      </c>
      <c r="I36" t="s">
        <v>14</v>
      </c>
      <c r="J36" t="s">
        <v>14</v>
      </c>
      <c r="K36" t="s">
        <v>7</v>
      </c>
      <c r="L36">
        <v>1</v>
      </c>
      <c r="M36">
        <v>0</v>
      </c>
    </row>
    <row r="37" spans="1:13">
      <c r="A37">
        <v>4</v>
      </c>
      <c r="B37">
        <v>2</v>
      </c>
      <c r="C37">
        <v>4</v>
      </c>
      <c r="D37" s="6" t="str">
        <f>VLOOKUP(Tabla138[[#This Row],[ID_PARTIDO]],Original!$AT$1:$AY$46,2,FALSE)</f>
        <v>Rafael Andres Salcedo Valdivieso</v>
      </c>
      <c r="E37" s="6" t="str">
        <f>VLOOKUP(Tabla138[[#This Row],[ID_PARTIDO]],Original!$AT$1:$AY$46,3,FALSE)</f>
        <v>Luis Jorge Garcia Camargo</v>
      </c>
      <c r="F37" s="6" t="str">
        <f>VLOOKUP(Tabla138[[#This Row],[ID_PARTIDO]],Original!$AT$1:$AY$46,4,FALSE)</f>
        <v>Santiago Navarro Cuy</v>
      </c>
      <c r="G37" s="6" t="str">
        <f>VLOOKUP(Tabla138[[#This Row],[ID_PARTIDO]],Original!$AT$1:$AY$46,5,FALSE)</f>
        <v xml:space="preserve">Juan Pablo Aponte Veloza </v>
      </c>
      <c r="H37" t="s">
        <v>7</v>
      </c>
      <c r="I37" t="s">
        <v>14</v>
      </c>
      <c r="J37" t="s">
        <v>14</v>
      </c>
      <c r="K37" t="s">
        <v>7</v>
      </c>
      <c r="L37">
        <v>1</v>
      </c>
      <c r="M37">
        <v>0</v>
      </c>
    </row>
    <row r="38" spans="1:13">
      <c r="A38">
        <v>4</v>
      </c>
      <c r="B38">
        <v>2</v>
      </c>
      <c r="C38">
        <v>5</v>
      </c>
      <c r="D38" s="6" t="str">
        <f>VLOOKUP(Tabla138[[#This Row],[ID_PARTIDO]],Original!$AT$1:$AY$46,2,FALSE)</f>
        <v>Rafael Andres Salcedo Valdivieso</v>
      </c>
      <c r="E38" s="6" t="str">
        <f>VLOOKUP(Tabla138[[#This Row],[ID_PARTIDO]],Original!$AT$1:$AY$46,3,FALSE)</f>
        <v>Luis Jorge Garcia Camargo</v>
      </c>
      <c r="F38" s="6" t="str">
        <f>VLOOKUP(Tabla138[[#This Row],[ID_PARTIDO]],Original!$AT$1:$AY$46,4,FALSE)</f>
        <v>Santiago Navarro Cuy</v>
      </c>
      <c r="G38" s="6" t="str">
        <f>VLOOKUP(Tabla138[[#This Row],[ID_PARTIDO]],Original!$AT$1:$AY$46,5,FALSE)</f>
        <v xml:space="preserve">Juan Pablo Aponte Veloza </v>
      </c>
      <c r="H38" t="s">
        <v>7</v>
      </c>
      <c r="I38" t="s">
        <v>14</v>
      </c>
      <c r="J38" t="s">
        <v>14</v>
      </c>
      <c r="K38" t="s">
        <v>7</v>
      </c>
      <c r="L38">
        <v>1</v>
      </c>
      <c r="M38">
        <v>0</v>
      </c>
    </row>
    <row r="39" spans="1:13">
      <c r="A39">
        <v>4</v>
      </c>
      <c r="B39">
        <v>2</v>
      </c>
      <c r="C39">
        <v>6</v>
      </c>
      <c r="D39" s="6" t="str">
        <f>VLOOKUP(Tabla138[[#This Row],[ID_PARTIDO]],Original!$AT$1:$AY$46,2,FALSE)</f>
        <v>Rafael Andres Salcedo Valdivieso</v>
      </c>
      <c r="E39" s="6" t="str">
        <f>VLOOKUP(Tabla138[[#This Row],[ID_PARTIDO]],Original!$AT$1:$AY$46,3,FALSE)</f>
        <v>Luis Jorge Garcia Camargo</v>
      </c>
      <c r="F39" s="6" t="str">
        <f>VLOOKUP(Tabla138[[#This Row],[ID_PARTIDO]],Original!$AT$1:$AY$46,4,FALSE)</f>
        <v>Santiago Navarro Cuy</v>
      </c>
      <c r="G39" s="6" t="str">
        <f>VLOOKUP(Tabla138[[#This Row],[ID_PARTIDO]],Original!$AT$1:$AY$46,5,FALSE)</f>
        <v xml:space="preserve">Juan Pablo Aponte Veloza </v>
      </c>
      <c r="H39" t="s">
        <v>7</v>
      </c>
      <c r="I39" t="s">
        <v>14</v>
      </c>
      <c r="J39" t="s">
        <v>14</v>
      </c>
      <c r="K39" t="s">
        <v>7</v>
      </c>
      <c r="L39">
        <v>1</v>
      </c>
      <c r="M39">
        <v>0</v>
      </c>
    </row>
    <row r="40" spans="1:13">
      <c r="A40">
        <v>4</v>
      </c>
      <c r="B40">
        <v>2</v>
      </c>
      <c r="C40">
        <v>7</v>
      </c>
      <c r="D40" s="6" t="str">
        <f>VLOOKUP(Tabla138[[#This Row],[ID_PARTIDO]],Original!$AT$1:$AY$46,2,FALSE)</f>
        <v>Rafael Andres Salcedo Valdivieso</v>
      </c>
      <c r="E40" s="6" t="str">
        <f>VLOOKUP(Tabla138[[#This Row],[ID_PARTIDO]],Original!$AT$1:$AY$46,3,FALSE)</f>
        <v>Luis Jorge Garcia Camargo</v>
      </c>
      <c r="F40" s="6" t="str">
        <f>VLOOKUP(Tabla138[[#This Row],[ID_PARTIDO]],Original!$AT$1:$AY$46,4,FALSE)</f>
        <v>Santiago Navarro Cuy</v>
      </c>
      <c r="G40" s="6" t="str">
        <f>VLOOKUP(Tabla138[[#This Row],[ID_PARTIDO]],Original!$AT$1:$AY$46,5,FALSE)</f>
        <v xml:space="preserve">Juan Pablo Aponte Veloza </v>
      </c>
      <c r="H40" t="s">
        <v>7</v>
      </c>
      <c r="I40" t="s">
        <v>14</v>
      </c>
      <c r="J40" t="s">
        <v>14</v>
      </c>
      <c r="K40" t="s">
        <v>7</v>
      </c>
      <c r="L40">
        <v>1</v>
      </c>
      <c r="M40">
        <v>0</v>
      </c>
    </row>
    <row r="41" spans="1:13">
      <c r="A41">
        <v>4</v>
      </c>
      <c r="B41">
        <v>2</v>
      </c>
      <c r="C41">
        <v>8</v>
      </c>
      <c r="D41" s="6" t="str">
        <f>VLOOKUP(Tabla138[[#This Row],[ID_PARTIDO]],Original!$AT$1:$AY$46,2,FALSE)</f>
        <v>Rafael Andres Salcedo Valdivieso</v>
      </c>
      <c r="E41" s="6" t="str">
        <f>VLOOKUP(Tabla138[[#This Row],[ID_PARTIDO]],Original!$AT$1:$AY$46,3,FALSE)</f>
        <v>Luis Jorge Garcia Camargo</v>
      </c>
      <c r="F41" s="6" t="str">
        <f>VLOOKUP(Tabla138[[#This Row],[ID_PARTIDO]],Original!$AT$1:$AY$46,4,FALSE)</f>
        <v>Santiago Navarro Cuy</v>
      </c>
      <c r="G41" s="6" t="str">
        <f>VLOOKUP(Tabla138[[#This Row],[ID_PARTIDO]],Original!$AT$1:$AY$46,5,FALSE)</f>
        <v xml:space="preserve">Juan Pablo Aponte Veloza </v>
      </c>
      <c r="H41" t="s">
        <v>7</v>
      </c>
      <c r="I41" t="s">
        <v>14</v>
      </c>
      <c r="J41" t="s">
        <v>14</v>
      </c>
      <c r="K41" t="s">
        <v>7</v>
      </c>
      <c r="L41">
        <v>0</v>
      </c>
      <c r="M41">
        <v>1</v>
      </c>
    </row>
    <row r="42" spans="1:13">
      <c r="A42">
        <v>4</v>
      </c>
      <c r="B42">
        <v>2</v>
      </c>
      <c r="C42">
        <v>9</v>
      </c>
      <c r="D42" s="6" t="str">
        <f>VLOOKUP(Tabla138[[#This Row],[ID_PARTIDO]],Original!$AT$1:$AY$46,2,FALSE)</f>
        <v>Rafael Andres Salcedo Valdivieso</v>
      </c>
      <c r="E42" s="6" t="str">
        <f>VLOOKUP(Tabla138[[#This Row],[ID_PARTIDO]],Original!$AT$1:$AY$46,3,FALSE)</f>
        <v>Luis Jorge Garcia Camargo</v>
      </c>
      <c r="F42" s="6" t="str">
        <f>VLOOKUP(Tabla138[[#This Row],[ID_PARTIDO]],Original!$AT$1:$AY$46,4,FALSE)</f>
        <v>Santiago Navarro Cuy</v>
      </c>
      <c r="G42" s="6" t="str">
        <f>VLOOKUP(Tabla138[[#This Row],[ID_PARTIDO]],Original!$AT$1:$AY$46,5,FALSE)</f>
        <v xml:space="preserve">Juan Pablo Aponte Veloza </v>
      </c>
      <c r="H42" t="s">
        <v>7</v>
      </c>
      <c r="I42" t="s">
        <v>14</v>
      </c>
      <c r="J42" t="s">
        <v>14</v>
      </c>
      <c r="K42" t="s">
        <v>7</v>
      </c>
      <c r="L42">
        <v>1</v>
      </c>
      <c r="M42">
        <v>0</v>
      </c>
    </row>
    <row r="43" spans="1:13">
      <c r="A43">
        <v>10</v>
      </c>
      <c r="B43">
        <v>2</v>
      </c>
      <c r="C43">
        <v>1</v>
      </c>
      <c r="D43" s="6" t="str">
        <f>VLOOKUP(Tabla138[[#This Row],[ID_PARTIDO]],Original!$AT$1:$AY$46,2,FALSE)</f>
        <v>Santiago Urrego Rodríguez</v>
      </c>
      <c r="E43" s="6" t="str">
        <f>VLOOKUP(Tabla138[[#This Row],[ID_PARTIDO]],Original!$AT$1:$AY$46,3,FALSE)</f>
        <v>Maria Fernanda Tamayo Lopez</v>
      </c>
      <c r="F43" s="6" t="str">
        <f>VLOOKUP(Tabla138[[#This Row],[ID_PARTIDO]],Original!$AT$1:$AY$46,4,FALSE)</f>
        <v xml:space="preserve">maria jose martinez villabona </v>
      </c>
      <c r="G43" s="6" t="str">
        <f>VLOOKUP(Tabla138[[#This Row],[ID_PARTIDO]],Original!$AT$1:$AY$46,5,FALSE)</f>
        <v>Nikol sofia avendaño</v>
      </c>
      <c r="H43" t="s">
        <v>14</v>
      </c>
      <c r="I43" t="s">
        <v>7</v>
      </c>
      <c r="J43" t="s">
        <v>7</v>
      </c>
      <c r="K43" t="s">
        <v>14</v>
      </c>
      <c r="L43">
        <v>0</v>
      </c>
      <c r="M43">
        <v>1</v>
      </c>
    </row>
    <row r="44" spans="1:13">
      <c r="A44">
        <v>10</v>
      </c>
      <c r="B44">
        <v>2</v>
      </c>
      <c r="C44">
        <v>2</v>
      </c>
      <c r="D44" s="6" t="str">
        <f>VLOOKUP(Tabla138[[#This Row],[ID_PARTIDO]],Original!$AT$1:$AY$46,2,FALSE)</f>
        <v>Santiago Urrego Rodríguez</v>
      </c>
      <c r="E44" s="6" t="str">
        <f>VLOOKUP(Tabla138[[#This Row],[ID_PARTIDO]],Original!$AT$1:$AY$46,3,FALSE)</f>
        <v>Maria Fernanda Tamayo Lopez</v>
      </c>
      <c r="F44" s="6" t="str">
        <f>VLOOKUP(Tabla138[[#This Row],[ID_PARTIDO]],Original!$AT$1:$AY$46,4,FALSE)</f>
        <v xml:space="preserve">maria jose martinez villabona </v>
      </c>
      <c r="G44" s="6" t="str">
        <f>VLOOKUP(Tabla138[[#This Row],[ID_PARTIDO]],Original!$AT$1:$AY$46,5,FALSE)</f>
        <v>Nikol sofia avendaño</v>
      </c>
      <c r="H44" t="s">
        <v>14</v>
      </c>
      <c r="I44" t="s">
        <v>7</v>
      </c>
      <c r="J44" t="s">
        <v>7</v>
      </c>
      <c r="K44" t="s">
        <v>14</v>
      </c>
      <c r="L44">
        <v>1</v>
      </c>
      <c r="M44">
        <v>0</v>
      </c>
    </row>
    <row r="45" spans="1:13">
      <c r="A45">
        <v>10</v>
      </c>
      <c r="B45">
        <v>2</v>
      </c>
      <c r="C45">
        <v>3</v>
      </c>
      <c r="D45" s="6" t="str">
        <f>VLOOKUP(Tabla138[[#This Row],[ID_PARTIDO]],Original!$AT$1:$AY$46,2,FALSE)</f>
        <v>Santiago Urrego Rodríguez</v>
      </c>
      <c r="E45" s="6" t="str">
        <f>VLOOKUP(Tabla138[[#This Row],[ID_PARTIDO]],Original!$AT$1:$AY$46,3,FALSE)</f>
        <v>Maria Fernanda Tamayo Lopez</v>
      </c>
      <c r="F45" s="6" t="str">
        <f>VLOOKUP(Tabla138[[#This Row],[ID_PARTIDO]],Original!$AT$1:$AY$46,4,FALSE)</f>
        <v xml:space="preserve">maria jose martinez villabona </v>
      </c>
      <c r="G45" s="6" t="str">
        <f>VLOOKUP(Tabla138[[#This Row],[ID_PARTIDO]],Original!$AT$1:$AY$46,5,FALSE)</f>
        <v>Nikol sofia avendaño</v>
      </c>
      <c r="H45" t="s">
        <v>14</v>
      </c>
      <c r="I45" t="s">
        <v>7</v>
      </c>
      <c r="J45" t="s">
        <v>7</v>
      </c>
      <c r="K45" t="s">
        <v>14</v>
      </c>
      <c r="L45">
        <v>1</v>
      </c>
      <c r="M45">
        <v>0</v>
      </c>
    </row>
    <row r="46" spans="1:13">
      <c r="A46">
        <v>10</v>
      </c>
      <c r="B46">
        <v>2</v>
      </c>
      <c r="C46">
        <v>4</v>
      </c>
      <c r="D46" s="6" t="str">
        <f>VLOOKUP(Tabla138[[#This Row],[ID_PARTIDO]],Original!$AT$1:$AY$46,2,FALSE)</f>
        <v>Santiago Urrego Rodríguez</v>
      </c>
      <c r="E46" s="6" t="str">
        <f>VLOOKUP(Tabla138[[#This Row],[ID_PARTIDO]],Original!$AT$1:$AY$46,3,FALSE)</f>
        <v>Maria Fernanda Tamayo Lopez</v>
      </c>
      <c r="F46" s="6" t="str">
        <f>VLOOKUP(Tabla138[[#This Row],[ID_PARTIDO]],Original!$AT$1:$AY$46,4,FALSE)</f>
        <v xml:space="preserve">maria jose martinez villabona </v>
      </c>
      <c r="G46" s="6" t="str">
        <f>VLOOKUP(Tabla138[[#This Row],[ID_PARTIDO]],Original!$AT$1:$AY$46,5,FALSE)</f>
        <v>Nikol sofia avendaño</v>
      </c>
      <c r="H46" t="s">
        <v>14</v>
      </c>
      <c r="I46" t="s">
        <v>7</v>
      </c>
      <c r="J46" t="s">
        <v>7</v>
      </c>
      <c r="K46" t="s">
        <v>14</v>
      </c>
      <c r="L46">
        <v>1</v>
      </c>
      <c r="M46">
        <v>0</v>
      </c>
    </row>
    <row r="47" spans="1:13">
      <c r="A47">
        <v>10</v>
      </c>
      <c r="B47">
        <v>2</v>
      </c>
      <c r="C47">
        <v>5</v>
      </c>
      <c r="D47" s="6" t="str">
        <f>VLOOKUP(Tabla138[[#This Row],[ID_PARTIDO]],Original!$AT$1:$AY$46,2,FALSE)</f>
        <v>Santiago Urrego Rodríguez</v>
      </c>
      <c r="E47" s="6" t="str">
        <f>VLOOKUP(Tabla138[[#This Row],[ID_PARTIDO]],Original!$AT$1:$AY$46,3,FALSE)</f>
        <v>Maria Fernanda Tamayo Lopez</v>
      </c>
      <c r="F47" s="6" t="str">
        <f>VLOOKUP(Tabla138[[#This Row],[ID_PARTIDO]],Original!$AT$1:$AY$46,4,FALSE)</f>
        <v xml:space="preserve">maria jose martinez villabona </v>
      </c>
      <c r="G47" s="6" t="str">
        <f>VLOOKUP(Tabla138[[#This Row],[ID_PARTIDO]],Original!$AT$1:$AY$46,5,FALSE)</f>
        <v>Nikol sofia avendaño</v>
      </c>
      <c r="H47" t="s">
        <v>14</v>
      </c>
      <c r="I47" t="s">
        <v>7</v>
      </c>
      <c r="J47" t="s">
        <v>7</v>
      </c>
      <c r="K47" t="s">
        <v>14</v>
      </c>
      <c r="L47">
        <v>0</v>
      </c>
      <c r="M47">
        <v>1</v>
      </c>
    </row>
    <row r="48" spans="1:13">
      <c r="A48">
        <v>10</v>
      </c>
      <c r="B48">
        <v>2</v>
      </c>
      <c r="C48">
        <v>6</v>
      </c>
      <c r="D48" s="6" t="str">
        <f>VLOOKUP(Tabla138[[#This Row],[ID_PARTIDO]],Original!$AT$1:$AY$46,2,FALSE)</f>
        <v>Santiago Urrego Rodríguez</v>
      </c>
      <c r="E48" s="6" t="str">
        <f>VLOOKUP(Tabla138[[#This Row],[ID_PARTIDO]],Original!$AT$1:$AY$46,3,FALSE)</f>
        <v>Maria Fernanda Tamayo Lopez</v>
      </c>
      <c r="F48" s="6" t="str">
        <f>VLOOKUP(Tabla138[[#This Row],[ID_PARTIDO]],Original!$AT$1:$AY$46,4,FALSE)</f>
        <v xml:space="preserve">maria jose martinez villabona </v>
      </c>
      <c r="G48" s="6" t="str">
        <f>VLOOKUP(Tabla138[[#This Row],[ID_PARTIDO]],Original!$AT$1:$AY$46,5,FALSE)</f>
        <v>Nikol sofia avendaño</v>
      </c>
      <c r="H48" t="s">
        <v>14</v>
      </c>
      <c r="I48" t="s">
        <v>7</v>
      </c>
      <c r="J48" t="s">
        <v>7</v>
      </c>
      <c r="K48" t="s">
        <v>14</v>
      </c>
      <c r="L48">
        <v>1</v>
      </c>
      <c r="M48">
        <v>0</v>
      </c>
    </row>
    <row r="49" spans="1:13">
      <c r="A49">
        <v>10</v>
      </c>
      <c r="B49">
        <v>2</v>
      </c>
      <c r="C49">
        <v>7</v>
      </c>
      <c r="D49" s="6" t="str">
        <f>VLOOKUP(Tabla138[[#This Row],[ID_PARTIDO]],Original!$AT$1:$AY$46,2,FALSE)</f>
        <v>Santiago Urrego Rodríguez</v>
      </c>
      <c r="E49" s="6" t="str">
        <f>VLOOKUP(Tabla138[[#This Row],[ID_PARTIDO]],Original!$AT$1:$AY$46,3,FALSE)</f>
        <v>Maria Fernanda Tamayo Lopez</v>
      </c>
      <c r="F49" s="6" t="str">
        <f>VLOOKUP(Tabla138[[#This Row],[ID_PARTIDO]],Original!$AT$1:$AY$46,4,FALSE)</f>
        <v xml:space="preserve">maria jose martinez villabona </v>
      </c>
      <c r="G49" s="6" t="str">
        <f>VLOOKUP(Tabla138[[#This Row],[ID_PARTIDO]],Original!$AT$1:$AY$46,5,FALSE)</f>
        <v>Nikol sofia avendaño</v>
      </c>
      <c r="H49" t="s">
        <v>14</v>
      </c>
      <c r="I49" t="s">
        <v>7</v>
      </c>
      <c r="J49" t="s">
        <v>7</v>
      </c>
      <c r="K49" t="s">
        <v>14</v>
      </c>
      <c r="L49">
        <v>1</v>
      </c>
      <c r="M49">
        <v>0</v>
      </c>
    </row>
    <row r="50" spans="1:13">
      <c r="A50">
        <v>10</v>
      </c>
      <c r="B50">
        <v>2</v>
      </c>
      <c r="C50">
        <v>8</v>
      </c>
      <c r="D50" s="6" t="str">
        <f>VLOOKUP(Tabla138[[#This Row],[ID_PARTIDO]],Original!$AT$1:$AY$46,2,FALSE)</f>
        <v>Santiago Urrego Rodríguez</v>
      </c>
      <c r="E50" s="6" t="str">
        <f>VLOOKUP(Tabla138[[#This Row],[ID_PARTIDO]],Original!$AT$1:$AY$46,3,FALSE)</f>
        <v>Maria Fernanda Tamayo Lopez</v>
      </c>
      <c r="F50" s="6" t="str">
        <f>VLOOKUP(Tabla138[[#This Row],[ID_PARTIDO]],Original!$AT$1:$AY$46,4,FALSE)</f>
        <v xml:space="preserve">maria jose martinez villabona </v>
      </c>
      <c r="G50" s="6" t="str">
        <f>VLOOKUP(Tabla138[[#This Row],[ID_PARTIDO]],Original!$AT$1:$AY$46,5,FALSE)</f>
        <v>Nikol sofia avendaño</v>
      </c>
      <c r="H50" t="s">
        <v>14</v>
      </c>
      <c r="I50" t="s">
        <v>7</v>
      </c>
      <c r="J50" t="s">
        <v>7</v>
      </c>
      <c r="K50" t="s">
        <v>14</v>
      </c>
      <c r="L50">
        <v>0</v>
      </c>
      <c r="M50">
        <v>1</v>
      </c>
    </row>
    <row r="51" spans="1:13">
      <c r="A51">
        <v>10</v>
      </c>
      <c r="B51">
        <v>2</v>
      </c>
      <c r="C51">
        <v>9</v>
      </c>
      <c r="D51" s="6" t="str">
        <f>VLOOKUP(Tabla138[[#This Row],[ID_PARTIDO]],Original!$AT$1:$AY$46,2,FALSE)</f>
        <v>Santiago Urrego Rodríguez</v>
      </c>
      <c r="E51" s="6" t="str">
        <f>VLOOKUP(Tabla138[[#This Row],[ID_PARTIDO]],Original!$AT$1:$AY$46,3,FALSE)</f>
        <v>Maria Fernanda Tamayo Lopez</v>
      </c>
      <c r="F51" s="6" t="str">
        <f>VLOOKUP(Tabla138[[#This Row],[ID_PARTIDO]],Original!$AT$1:$AY$46,4,FALSE)</f>
        <v xml:space="preserve">maria jose martinez villabona </v>
      </c>
      <c r="G51" s="6" t="str">
        <f>VLOOKUP(Tabla138[[#This Row],[ID_PARTIDO]],Original!$AT$1:$AY$46,5,FALSE)</f>
        <v>Nikol sofia avendaño</v>
      </c>
      <c r="H51" t="s">
        <v>14</v>
      </c>
      <c r="I51" t="s">
        <v>7</v>
      </c>
      <c r="J51" t="s">
        <v>7</v>
      </c>
      <c r="K51" t="s">
        <v>14</v>
      </c>
      <c r="L51">
        <v>0</v>
      </c>
      <c r="M51">
        <v>1</v>
      </c>
    </row>
    <row r="52" spans="1:13">
      <c r="A52">
        <v>10</v>
      </c>
      <c r="B52">
        <v>2</v>
      </c>
      <c r="C52">
        <v>10</v>
      </c>
      <c r="D52" s="6" t="str">
        <f>VLOOKUP(Tabla138[[#This Row],[ID_PARTIDO]],Original!$AT$1:$AY$46,2,FALSE)</f>
        <v>Santiago Urrego Rodríguez</v>
      </c>
      <c r="E52" s="6" t="str">
        <f>VLOOKUP(Tabla138[[#This Row],[ID_PARTIDO]],Original!$AT$1:$AY$46,3,FALSE)</f>
        <v>Maria Fernanda Tamayo Lopez</v>
      </c>
      <c r="F52" s="6" t="str">
        <f>VLOOKUP(Tabla138[[#This Row],[ID_PARTIDO]],Original!$AT$1:$AY$46,4,FALSE)</f>
        <v xml:space="preserve">maria jose martinez villabona </v>
      </c>
      <c r="G52" s="6" t="str">
        <f>VLOOKUP(Tabla138[[#This Row],[ID_PARTIDO]],Original!$AT$1:$AY$46,5,FALSE)</f>
        <v>Nikol sofia avendaño</v>
      </c>
      <c r="H52" t="s">
        <v>14</v>
      </c>
      <c r="I52" t="s">
        <v>7</v>
      </c>
      <c r="J52" t="s">
        <v>7</v>
      </c>
      <c r="K52" t="s">
        <v>14</v>
      </c>
      <c r="L52">
        <v>1</v>
      </c>
      <c r="M52">
        <v>0</v>
      </c>
    </row>
    <row r="53" spans="1:13">
      <c r="A53">
        <v>10</v>
      </c>
      <c r="B53">
        <v>2</v>
      </c>
      <c r="C53">
        <v>11</v>
      </c>
      <c r="D53" s="6" t="str">
        <f>VLOOKUP(Tabla138[[#This Row],[ID_PARTIDO]],Original!$AT$1:$AY$46,2,FALSE)</f>
        <v>Santiago Urrego Rodríguez</v>
      </c>
      <c r="E53" s="6" t="str">
        <f>VLOOKUP(Tabla138[[#This Row],[ID_PARTIDO]],Original!$AT$1:$AY$46,3,FALSE)</f>
        <v>Maria Fernanda Tamayo Lopez</v>
      </c>
      <c r="F53" s="6" t="str">
        <f>VLOOKUP(Tabla138[[#This Row],[ID_PARTIDO]],Original!$AT$1:$AY$46,4,FALSE)</f>
        <v xml:space="preserve">maria jose martinez villabona </v>
      </c>
      <c r="G53" s="6" t="str">
        <f>VLOOKUP(Tabla138[[#This Row],[ID_PARTIDO]],Original!$AT$1:$AY$46,5,FALSE)</f>
        <v>Nikol sofia avendaño</v>
      </c>
      <c r="H53" t="s">
        <v>14</v>
      </c>
      <c r="I53" t="s">
        <v>7</v>
      </c>
      <c r="J53" t="s">
        <v>7</v>
      </c>
      <c r="K53" t="s">
        <v>14</v>
      </c>
      <c r="L53">
        <v>0</v>
      </c>
      <c r="M53">
        <v>1</v>
      </c>
    </row>
    <row r="54" spans="1:13">
      <c r="A54">
        <v>10</v>
      </c>
      <c r="B54">
        <v>2</v>
      </c>
      <c r="C54">
        <v>12</v>
      </c>
      <c r="D54" s="6" t="str">
        <f>VLOOKUP(Tabla138[[#This Row],[ID_PARTIDO]],Original!$AT$1:$AY$46,2,FALSE)</f>
        <v>Santiago Urrego Rodríguez</v>
      </c>
      <c r="E54" s="6" t="str">
        <f>VLOOKUP(Tabla138[[#This Row],[ID_PARTIDO]],Original!$AT$1:$AY$46,3,FALSE)</f>
        <v>Maria Fernanda Tamayo Lopez</v>
      </c>
      <c r="F54" s="6" t="str">
        <f>VLOOKUP(Tabla138[[#This Row],[ID_PARTIDO]],Original!$AT$1:$AY$46,4,FALSE)</f>
        <v xml:space="preserve">maria jose martinez villabona </v>
      </c>
      <c r="G54" s="6" t="str">
        <f>VLOOKUP(Tabla138[[#This Row],[ID_PARTIDO]],Original!$AT$1:$AY$46,5,FALSE)</f>
        <v>Nikol sofia avendaño</v>
      </c>
      <c r="H54" t="s">
        <v>14</v>
      </c>
      <c r="I54" t="s">
        <v>7</v>
      </c>
      <c r="J54" t="s">
        <v>7</v>
      </c>
      <c r="K54" t="s">
        <v>14</v>
      </c>
      <c r="L54">
        <v>0</v>
      </c>
      <c r="M54">
        <v>1</v>
      </c>
    </row>
    <row r="55" spans="1:13">
      <c r="A55">
        <v>12</v>
      </c>
      <c r="B55">
        <v>2</v>
      </c>
      <c r="C55">
        <v>1</v>
      </c>
      <c r="D55" s="6" t="str">
        <f>VLOOKUP(Tabla138[[#This Row],[ID_PARTIDO]],Original!$AT$1:$AY$46,2,FALSE)</f>
        <v>Santiago Urrego Rodríguez</v>
      </c>
      <c r="E55" s="6" t="str">
        <f>VLOOKUP(Tabla138[[#This Row],[ID_PARTIDO]],Original!$AT$1:$AY$46,3,FALSE)</f>
        <v>Santiago Peña Beltran</v>
      </c>
      <c r="F55" s="6" t="str">
        <f>VLOOKUP(Tabla138[[#This Row],[ID_PARTIDO]],Original!$AT$1:$AY$46,4,FALSE)</f>
        <v>Luis Jorge Garcia Camargo</v>
      </c>
      <c r="G55" s="6" t="str">
        <f>VLOOKUP(Tabla138[[#This Row],[ID_PARTIDO]],Original!$AT$1:$AY$46,5,FALSE)</f>
        <v xml:space="preserve">Sergio Andrés López Rodríguez </v>
      </c>
      <c r="H55" t="s">
        <v>14</v>
      </c>
      <c r="I55" t="s">
        <v>7</v>
      </c>
      <c r="J55" t="s">
        <v>7</v>
      </c>
      <c r="K55" t="s">
        <v>14</v>
      </c>
      <c r="L55">
        <v>0</v>
      </c>
      <c r="M55">
        <v>1</v>
      </c>
    </row>
    <row r="56" spans="1:13">
      <c r="A56">
        <v>12</v>
      </c>
      <c r="B56">
        <v>2</v>
      </c>
      <c r="C56">
        <v>2</v>
      </c>
      <c r="D56" s="6" t="str">
        <f>VLOOKUP(Tabla138[[#This Row],[ID_PARTIDO]],Original!$AT$1:$AY$46,2,FALSE)</f>
        <v>Santiago Urrego Rodríguez</v>
      </c>
      <c r="E56" s="6" t="str">
        <f>VLOOKUP(Tabla138[[#This Row],[ID_PARTIDO]],Original!$AT$1:$AY$46,3,FALSE)</f>
        <v>Santiago Peña Beltran</v>
      </c>
      <c r="F56" s="6" t="str">
        <f>VLOOKUP(Tabla138[[#This Row],[ID_PARTIDO]],Original!$AT$1:$AY$46,4,FALSE)</f>
        <v>Luis Jorge Garcia Camargo</v>
      </c>
      <c r="G56" s="6" t="str">
        <f>VLOOKUP(Tabla138[[#This Row],[ID_PARTIDO]],Original!$AT$1:$AY$46,5,FALSE)</f>
        <v xml:space="preserve">Sergio Andrés López Rodríguez </v>
      </c>
      <c r="H56" t="s">
        <v>14</v>
      </c>
      <c r="I56" t="s">
        <v>7</v>
      </c>
      <c r="J56" t="s">
        <v>7</v>
      </c>
      <c r="K56" t="s">
        <v>14</v>
      </c>
      <c r="L56">
        <v>0</v>
      </c>
      <c r="M56">
        <v>1</v>
      </c>
    </row>
    <row r="57" spans="1:13">
      <c r="A57">
        <v>12</v>
      </c>
      <c r="B57">
        <v>2</v>
      </c>
      <c r="C57">
        <v>3</v>
      </c>
      <c r="D57" s="6" t="str">
        <f>VLOOKUP(Tabla138[[#This Row],[ID_PARTIDO]],Original!$AT$1:$AY$46,2,FALSE)</f>
        <v>Santiago Urrego Rodríguez</v>
      </c>
      <c r="E57" s="6" t="str">
        <f>VLOOKUP(Tabla138[[#This Row],[ID_PARTIDO]],Original!$AT$1:$AY$46,3,FALSE)</f>
        <v>Santiago Peña Beltran</v>
      </c>
      <c r="F57" s="6" t="str">
        <f>VLOOKUP(Tabla138[[#This Row],[ID_PARTIDO]],Original!$AT$1:$AY$46,4,FALSE)</f>
        <v>Luis Jorge Garcia Camargo</v>
      </c>
      <c r="G57" s="6" t="str">
        <f>VLOOKUP(Tabla138[[#This Row],[ID_PARTIDO]],Original!$AT$1:$AY$46,5,FALSE)</f>
        <v xml:space="preserve">Sergio Andrés López Rodríguez </v>
      </c>
      <c r="H57" t="s">
        <v>14</v>
      </c>
      <c r="I57" t="s">
        <v>7</v>
      </c>
      <c r="J57" t="s">
        <v>7</v>
      </c>
      <c r="K57" t="s">
        <v>14</v>
      </c>
      <c r="L57">
        <v>0</v>
      </c>
      <c r="M57">
        <v>1</v>
      </c>
    </row>
    <row r="58" spans="1:13">
      <c r="A58">
        <v>12</v>
      </c>
      <c r="B58">
        <v>2</v>
      </c>
      <c r="C58">
        <v>4</v>
      </c>
      <c r="D58" s="6" t="str">
        <f>VLOOKUP(Tabla138[[#This Row],[ID_PARTIDO]],Original!$AT$1:$AY$46,2,FALSE)</f>
        <v>Santiago Urrego Rodríguez</v>
      </c>
      <c r="E58" s="6" t="str">
        <f>VLOOKUP(Tabla138[[#This Row],[ID_PARTIDO]],Original!$AT$1:$AY$46,3,FALSE)</f>
        <v>Santiago Peña Beltran</v>
      </c>
      <c r="F58" s="6" t="str">
        <f>VLOOKUP(Tabla138[[#This Row],[ID_PARTIDO]],Original!$AT$1:$AY$46,4,FALSE)</f>
        <v>Luis Jorge Garcia Camargo</v>
      </c>
      <c r="G58" s="6" t="str">
        <f>VLOOKUP(Tabla138[[#This Row],[ID_PARTIDO]],Original!$AT$1:$AY$46,5,FALSE)</f>
        <v xml:space="preserve">Sergio Andrés López Rodríguez </v>
      </c>
      <c r="H58" t="s">
        <v>14</v>
      </c>
      <c r="I58" t="s">
        <v>7</v>
      </c>
      <c r="J58" t="s">
        <v>7</v>
      </c>
      <c r="K58" t="s">
        <v>14</v>
      </c>
      <c r="L58">
        <v>1</v>
      </c>
      <c r="M58">
        <v>0</v>
      </c>
    </row>
    <row r="59" spans="1:13">
      <c r="A59">
        <v>12</v>
      </c>
      <c r="B59">
        <v>2</v>
      </c>
      <c r="C59">
        <v>5</v>
      </c>
      <c r="D59" s="6" t="str">
        <f>VLOOKUP(Tabla138[[#This Row],[ID_PARTIDO]],Original!$AT$1:$AY$46,2,FALSE)</f>
        <v>Santiago Urrego Rodríguez</v>
      </c>
      <c r="E59" s="6" t="str">
        <f>VLOOKUP(Tabla138[[#This Row],[ID_PARTIDO]],Original!$AT$1:$AY$46,3,FALSE)</f>
        <v>Santiago Peña Beltran</v>
      </c>
      <c r="F59" s="6" t="str">
        <f>VLOOKUP(Tabla138[[#This Row],[ID_PARTIDO]],Original!$AT$1:$AY$46,4,FALSE)</f>
        <v>Luis Jorge Garcia Camargo</v>
      </c>
      <c r="G59" s="6" t="str">
        <f>VLOOKUP(Tabla138[[#This Row],[ID_PARTIDO]],Original!$AT$1:$AY$46,5,FALSE)</f>
        <v xml:space="preserve">Sergio Andrés López Rodríguez </v>
      </c>
      <c r="H59" t="s">
        <v>14</v>
      </c>
      <c r="I59" t="s">
        <v>7</v>
      </c>
      <c r="J59" t="s">
        <v>7</v>
      </c>
      <c r="K59" t="s">
        <v>14</v>
      </c>
      <c r="L59">
        <v>0</v>
      </c>
      <c r="M59">
        <v>1</v>
      </c>
    </row>
    <row r="60" spans="1:13">
      <c r="A60">
        <v>12</v>
      </c>
      <c r="B60">
        <v>2</v>
      </c>
      <c r="C60">
        <v>6</v>
      </c>
      <c r="D60" s="6" t="str">
        <f>VLOOKUP(Tabla138[[#This Row],[ID_PARTIDO]],Original!$AT$1:$AY$46,2,FALSE)</f>
        <v>Santiago Urrego Rodríguez</v>
      </c>
      <c r="E60" s="6" t="str">
        <f>VLOOKUP(Tabla138[[#This Row],[ID_PARTIDO]],Original!$AT$1:$AY$46,3,FALSE)</f>
        <v>Santiago Peña Beltran</v>
      </c>
      <c r="F60" s="6" t="str">
        <f>VLOOKUP(Tabla138[[#This Row],[ID_PARTIDO]],Original!$AT$1:$AY$46,4,FALSE)</f>
        <v>Luis Jorge Garcia Camargo</v>
      </c>
      <c r="G60" s="6" t="str">
        <f>VLOOKUP(Tabla138[[#This Row],[ID_PARTIDO]],Original!$AT$1:$AY$46,5,FALSE)</f>
        <v xml:space="preserve">Sergio Andrés López Rodríguez </v>
      </c>
      <c r="H60" t="s">
        <v>14</v>
      </c>
      <c r="I60" t="s">
        <v>7</v>
      </c>
      <c r="J60" t="s">
        <v>7</v>
      </c>
      <c r="K60" t="s">
        <v>14</v>
      </c>
      <c r="L60">
        <v>0</v>
      </c>
      <c r="M60">
        <v>1</v>
      </c>
    </row>
    <row r="61" spans="1:13">
      <c r="A61">
        <v>12</v>
      </c>
      <c r="B61">
        <v>2</v>
      </c>
      <c r="C61">
        <v>7</v>
      </c>
      <c r="D61" s="6" t="str">
        <f>VLOOKUP(Tabla138[[#This Row],[ID_PARTIDO]],Original!$AT$1:$AY$46,2,FALSE)</f>
        <v>Santiago Urrego Rodríguez</v>
      </c>
      <c r="E61" s="6" t="str">
        <f>VLOOKUP(Tabla138[[#This Row],[ID_PARTIDO]],Original!$AT$1:$AY$46,3,FALSE)</f>
        <v>Santiago Peña Beltran</v>
      </c>
      <c r="F61" s="6" t="str">
        <f>VLOOKUP(Tabla138[[#This Row],[ID_PARTIDO]],Original!$AT$1:$AY$46,4,FALSE)</f>
        <v>Luis Jorge Garcia Camargo</v>
      </c>
      <c r="G61" s="6" t="str">
        <f>VLOOKUP(Tabla138[[#This Row],[ID_PARTIDO]],Original!$AT$1:$AY$46,5,FALSE)</f>
        <v xml:space="preserve">Sergio Andrés López Rodríguez </v>
      </c>
      <c r="H61" t="s">
        <v>14</v>
      </c>
      <c r="I61" t="s">
        <v>7</v>
      </c>
      <c r="J61" t="s">
        <v>7</v>
      </c>
      <c r="K61" t="s">
        <v>14</v>
      </c>
      <c r="L61">
        <v>0</v>
      </c>
      <c r="M61">
        <v>1</v>
      </c>
    </row>
    <row r="62" spans="1:13">
      <c r="A62">
        <v>12</v>
      </c>
      <c r="B62">
        <v>2</v>
      </c>
      <c r="C62">
        <v>8</v>
      </c>
      <c r="D62" s="6" t="str">
        <f>VLOOKUP(Tabla138[[#This Row],[ID_PARTIDO]],Original!$AT$1:$AY$46,2,FALSE)</f>
        <v>Santiago Urrego Rodríguez</v>
      </c>
      <c r="E62" s="6" t="str">
        <f>VLOOKUP(Tabla138[[#This Row],[ID_PARTIDO]],Original!$AT$1:$AY$46,3,FALSE)</f>
        <v>Santiago Peña Beltran</v>
      </c>
      <c r="F62" s="6" t="str">
        <f>VLOOKUP(Tabla138[[#This Row],[ID_PARTIDO]],Original!$AT$1:$AY$46,4,FALSE)</f>
        <v>Luis Jorge Garcia Camargo</v>
      </c>
      <c r="G62" s="6" t="str">
        <f>VLOOKUP(Tabla138[[#This Row],[ID_PARTIDO]],Original!$AT$1:$AY$46,5,FALSE)</f>
        <v xml:space="preserve">Sergio Andrés López Rodríguez </v>
      </c>
      <c r="H62" t="s">
        <v>14</v>
      </c>
      <c r="I62" t="s">
        <v>7</v>
      </c>
      <c r="J62" t="s">
        <v>7</v>
      </c>
      <c r="K62" t="s">
        <v>14</v>
      </c>
      <c r="L62">
        <v>0</v>
      </c>
      <c r="M62">
        <v>1</v>
      </c>
    </row>
    <row r="63" spans="1:13">
      <c r="A63">
        <v>20</v>
      </c>
      <c r="B63">
        <v>2</v>
      </c>
      <c r="C63">
        <v>1</v>
      </c>
      <c r="D63" s="6" t="str">
        <f>VLOOKUP(Tabla138[[#This Row],[ID_PARTIDO]],Original!$AT$1:$AY$46,2,FALSE)</f>
        <v>Santiago Navarro Cuy</v>
      </c>
      <c r="E63" s="6" t="str">
        <f>VLOOKUP(Tabla138[[#This Row],[ID_PARTIDO]],Original!$AT$1:$AY$46,3,FALSE)</f>
        <v xml:space="preserve">Juan Pablo Vargas Jiménez </v>
      </c>
      <c r="F63" s="6" t="str">
        <f>VLOOKUP(Tabla138[[#This Row],[ID_PARTIDO]],Original!$AT$1:$AY$46,4,FALSE)</f>
        <v>sara juliana solano boada</v>
      </c>
      <c r="G63" s="6" t="str">
        <f>VLOOKUP(Tabla138[[#This Row],[ID_PARTIDO]],Original!$AT$1:$AY$46,5,FALSE)</f>
        <v xml:space="preserve">Juan Pablo Aponte Veloza </v>
      </c>
      <c r="H63" t="s">
        <v>14</v>
      </c>
      <c r="I63" t="s">
        <v>7</v>
      </c>
      <c r="J63" t="s">
        <v>14</v>
      </c>
      <c r="K63" t="s">
        <v>7</v>
      </c>
      <c r="L63">
        <v>0</v>
      </c>
      <c r="M63">
        <v>1</v>
      </c>
    </row>
    <row r="64" spans="1:13">
      <c r="A64">
        <v>20</v>
      </c>
      <c r="B64">
        <v>2</v>
      </c>
      <c r="C64">
        <v>2</v>
      </c>
      <c r="D64" s="6" t="str">
        <f>VLOOKUP(Tabla138[[#This Row],[ID_PARTIDO]],Original!$AT$1:$AY$46,2,FALSE)</f>
        <v>Santiago Navarro Cuy</v>
      </c>
      <c r="E64" s="6" t="str">
        <f>VLOOKUP(Tabla138[[#This Row],[ID_PARTIDO]],Original!$AT$1:$AY$46,3,FALSE)</f>
        <v xml:space="preserve">Juan Pablo Vargas Jiménez </v>
      </c>
      <c r="F64" s="6" t="str">
        <f>VLOOKUP(Tabla138[[#This Row],[ID_PARTIDO]],Original!$AT$1:$AY$46,4,FALSE)</f>
        <v>sara juliana solano boada</v>
      </c>
      <c r="G64" s="6" t="str">
        <f>VLOOKUP(Tabla138[[#This Row],[ID_PARTIDO]],Original!$AT$1:$AY$46,5,FALSE)</f>
        <v xml:space="preserve">Juan Pablo Aponte Veloza </v>
      </c>
      <c r="H64" t="s">
        <v>14</v>
      </c>
      <c r="I64" t="s">
        <v>7</v>
      </c>
      <c r="J64" t="s">
        <v>14</v>
      </c>
      <c r="K64" t="s">
        <v>7</v>
      </c>
      <c r="L64">
        <v>0</v>
      </c>
      <c r="M64">
        <v>1</v>
      </c>
    </row>
    <row r="65" spans="1:13">
      <c r="A65">
        <v>20</v>
      </c>
      <c r="B65">
        <v>2</v>
      </c>
      <c r="C65">
        <v>3</v>
      </c>
      <c r="D65" s="6" t="str">
        <f>VLOOKUP(Tabla138[[#This Row],[ID_PARTIDO]],Original!$AT$1:$AY$46,2,FALSE)</f>
        <v>Santiago Navarro Cuy</v>
      </c>
      <c r="E65" s="6" t="str">
        <f>VLOOKUP(Tabla138[[#This Row],[ID_PARTIDO]],Original!$AT$1:$AY$46,3,FALSE)</f>
        <v xml:space="preserve">Juan Pablo Vargas Jiménez </v>
      </c>
      <c r="F65" s="6" t="str">
        <f>VLOOKUP(Tabla138[[#This Row],[ID_PARTIDO]],Original!$AT$1:$AY$46,4,FALSE)</f>
        <v>sara juliana solano boada</v>
      </c>
      <c r="G65" s="6" t="str">
        <f>VLOOKUP(Tabla138[[#This Row],[ID_PARTIDO]],Original!$AT$1:$AY$46,5,FALSE)</f>
        <v xml:space="preserve">Juan Pablo Aponte Veloza </v>
      </c>
      <c r="H65" t="s">
        <v>14</v>
      </c>
      <c r="I65" t="s">
        <v>7</v>
      </c>
      <c r="J65" t="s">
        <v>14</v>
      </c>
      <c r="K65" t="s">
        <v>7</v>
      </c>
      <c r="L65">
        <v>0</v>
      </c>
      <c r="M65">
        <v>1</v>
      </c>
    </row>
    <row r="66" spans="1:13">
      <c r="A66">
        <v>20</v>
      </c>
      <c r="B66">
        <v>2</v>
      </c>
      <c r="C66">
        <v>4</v>
      </c>
      <c r="D66" s="6" t="str">
        <f>VLOOKUP(Tabla138[[#This Row],[ID_PARTIDO]],Original!$AT$1:$AY$46,2,FALSE)</f>
        <v>Santiago Navarro Cuy</v>
      </c>
      <c r="E66" s="6" t="str">
        <f>VLOOKUP(Tabla138[[#This Row],[ID_PARTIDO]],Original!$AT$1:$AY$46,3,FALSE)</f>
        <v xml:space="preserve">Juan Pablo Vargas Jiménez </v>
      </c>
      <c r="F66" s="6" t="str">
        <f>VLOOKUP(Tabla138[[#This Row],[ID_PARTIDO]],Original!$AT$1:$AY$46,4,FALSE)</f>
        <v>sara juliana solano boada</v>
      </c>
      <c r="G66" s="6" t="str">
        <f>VLOOKUP(Tabla138[[#This Row],[ID_PARTIDO]],Original!$AT$1:$AY$46,5,FALSE)</f>
        <v xml:space="preserve">Juan Pablo Aponte Veloza </v>
      </c>
      <c r="H66" t="s">
        <v>14</v>
      </c>
      <c r="I66" t="s">
        <v>7</v>
      </c>
      <c r="J66" t="s">
        <v>14</v>
      </c>
      <c r="K66" t="s">
        <v>7</v>
      </c>
      <c r="L66">
        <v>0</v>
      </c>
      <c r="M66">
        <v>1</v>
      </c>
    </row>
    <row r="67" spans="1:13">
      <c r="A67">
        <v>20</v>
      </c>
      <c r="B67">
        <v>2</v>
      </c>
      <c r="C67">
        <v>5</v>
      </c>
      <c r="D67" s="6" t="str">
        <f>VLOOKUP(Tabla138[[#This Row],[ID_PARTIDO]],Original!$AT$1:$AY$46,2,FALSE)</f>
        <v>Santiago Navarro Cuy</v>
      </c>
      <c r="E67" s="6" t="str">
        <f>VLOOKUP(Tabla138[[#This Row],[ID_PARTIDO]],Original!$AT$1:$AY$46,3,FALSE)</f>
        <v xml:space="preserve">Juan Pablo Vargas Jiménez </v>
      </c>
      <c r="F67" s="6" t="str">
        <f>VLOOKUP(Tabla138[[#This Row],[ID_PARTIDO]],Original!$AT$1:$AY$46,4,FALSE)</f>
        <v>sara juliana solano boada</v>
      </c>
      <c r="G67" s="6" t="str">
        <f>VLOOKUP(Tabla138[[#This Row],[ID_PARTIDO]],Original!$AT$1:$AY$46,5,FALSE)</f>
        <v xml:space="preserve">Juan Pablo Aponte Veloza </v>
      </c>
      <c r="H67" t="s">
        <v>14</v>
      </c>
      <c r="I67" t="s">
        <v>7</v>
      </c>
      <c r="J67" t="s">
        <v>14</v>
      </c>
      <c r="K67" t="s">
        <v>7</v>
      </c>
      <c r="L67">
        <v>1</v>
      </c>
      <c r="M67">
        <v>0</v>
      </c>
    </row>
    <row r="68" spans="1:13">
      <c r="A68">
        <v>20</v>
      </c>
      <c r="B68">
        <v>2</v>
      </c>
      <c r="C68">
        <v>6</v>
      </c>
      <c r="D68" s="6" t="str">
        <f>VLOOKUP(Tabla138[[#This Row],[ID_PARTIDO]],Original!$AT$1:$AY$46,2,FALSE)</f>
        <v>Santiago Navarro Cuy</v>
      </c>
      <c r="E68" s="6" t="str">
        <f>VLOOKUP(Tabla138[[#This Row],[ID_PARTIDO]],Original!$AT$1:$AY$46,3,FALSE)</f>
        <v xml:space="preserve">Juan Pablo Vargas Jiménez </v>
      </c>
      <c r="F68" s="6" t="str">
        <f>VLOOKUP(Tabla138[[#This Row],[ID_PARTIDO]],Original!$AT$1:$AY$46,4,FALSE)</f>
        <v>sara juliana solano boada</v>
      </c>
      <c r="G68" s="6" t="str">
        <f>VLOOKUP(Tabla138[[#This Row],[ID_PARTIDO]],Original!$AT$1:$AY$46,5,FALSE)</f>
        <v xml:space="preserve">Juan Pablo Aponte Veloza </v>
      </c>
      <c r="H68" t="s">
        <v>14</v>
      </c>
      <c r="I68" t="s">
        <v>7</v>
      </c>
      <c r="J68" t="s">
        <v>14</v>
      </c>
      <c r="K68" t="s">
        <v>7</v>
      </c>
      <c r="L68">
        <v>1</v>
      </c>
      <c r="M68">
        <v>0</v>
      </c>
    </row>
    <row r="69" spans="1:13">
      <c r="A69">
        <v>20</v>
      </c>
      <c r="B69">
        <v>2</v>
      </c>
      <c r="C69">
        <v>7</v>
      </c>
      <c r="D69" s="6" t="str">
        <f>VLOOKUP(Tabla138[[#This Row],[ID_PARTIDO]],Original!$AT$1:$AY$46,2,FALSE)</f>
        <v>Santiago Navarro Cuy</v>
      </c>
      <c r="E69" s="6" t="str">
        <f>VLOOKUP(Tabla138[[#This Row],[ID_PARTIDO]],Original!$AT$1:$AY$46,3,FALSE)</f>
        <v xml:space="preserve">Juan Pablo Vargas Jiménez </v>
      </c>
      <c r="F69" s="6" t="str">
        <f>VLOOKUP(Tabla138[[#This Row],[ID_PARTIDO]],Original!$AT$1:$AY$46,4,FALSE)</f>
        <v>sara juliana solano boada</v>
      </c>
      <c r="G69" s="6" t="str">
        <f>VLOOKUP(Tabla138[[#This Row],[ID_PARTIDO]],Original!$AT$1:$AY$46,5,FALSE)</f>
        <v xml:space="preserve">Juan Pablo Aponte Veloza </v>
      </c>
      <c r="H69" t="s">
        <v>14</v>
      </c>
      <c r="I69" t="s">
        <v>7</v>
      </c>
      <c r="J69" t="s">
        <v>14</v>
      </c>
      <c r="K69" t="s">
        <v>7</v>
      </c>
      <c r="L69">
        <v>0</v>
      </c>
      <c r="M69">
        <v>1</v>
      </c>
    </row>
    <row r="70" spans="1:13">
      <c r="A70">
        <v>20</v>
      </c>
      <c r="B70">
        <v>2</v>
      </c>
      <c r="C70">
        <v>8</v>
      </c>
      <c r="D70" s="6" t="str">
        <f>VLOOKUP(Tabla138[[#This Row],[ID_PARTIDO]],Original!$AT$1:$AY$46,2,FALSE)</f>
        <v>Santiago Navarro Cuy</v>
      </c>
      <c r="E70" s="6" t="str">
        <f>VLOOKUP(Tabla138[[#This Row],[ID_PARTIDO]],Original!$AT$1:$AY$46,3,FALSE)</f>
        <v xml:space="preserve">Juan Pablo Vargas Jiménez </v>
      </c>
      <c r="F70" s="6" t="str">
        <f>VLOOKUP(Tabla138[[#This Row],[ID_PARTIDO]],Original!$AT$1:$AY$46,4,FALSE)</f>
        <v>sara juliana solano boada</v>
      </c>
      <c r="G70" s="6" t="str">
        <f>VLOOKUP(Tabla138[[#This Row],[ID_PARTIDO]],Original!$AT$1:$AY$46,5,FALSE)</f>
        <v xml:space="preserve">Juan Pablo Aponte Veloza </v>
      </c>
      <c r="H70" t="s">
        <v>14</v>
      </c>
      <c r="I70" t="s">
        <v>7</v>
      </c>
      <c r="J70" t="s">
        <v>14</v>
      </c>
      <c r="K70" t="s">
        <v>7</v>
      </c>
      <c r="L70">
        <v>1</v>
      </c>
      <c r="M70">
        <v>0</v>
      </c>
    </row>
    <row r="71" spans="1:13">
      <c r="A71">
        <v>20</v>
      </c>
      <c r="B71">
        <v>2</v>
      </c>
      <c r="C71">
        <v>9</v>
      </c>
      <c r="D71" s="6" t="str">
        <f>VLOOKUP(Tabla138[[#This Row],[ID_PARTIDO]],Original!$AT$1:$AY$46,2,FALSE)</f>
        <v>Santiago Navarro Cuy</v>
      </c>
      <c r="E71" s="6" t="str">
        <f>VLOOKUP(Tabla138[[#This Row],[ID_PARTIDO]],Original!$AT$1:$AY$46,3,FALSE)</f>
        <v xml:space="preserve">Juan Pablo Vargas Jiménez </v>
      </c>
      <c r="F71" s="6" t="str">
        <f>VLOOKUP(Tabla138[[#This Row],[ID_PARTIDO]],Original!$AT$1:$AY$46,4,FALSE)</f>
        <v>sara juliana solano boada</v>
      </c>
      <c r="G71" s="6" t="str">
        <f>VLOOKUP(Tabla138[[#This Row],[ID_PARTIDO]],Original!$AT$1:$AY$46,5,FALSE)</f>
        <v xml:space="preserve">Juan Pablo Aponte Veloza </v>
      </c>
      <c r="H71" t="s">
        <v>14</v>
      </c>
      <c r="I71" t="s">
        <v>7</v>
      </c>
      <c r="J71" t="s">
        <v>14</v>
      </c>
      <c r="K71" t="s">
        <v>7</v>
      </c>
      <c r="L71">
        <v>1</v>
      </c>
      <c r="M71">
        <v>0</v>
      </c>
    </row>
    <row r="72" spans="1:13">
      <c r="A72">
        <v>20</v>
      </c>
      <c r="B72">
        <v>2</v>
      </c>
      <c r="C72">
        <v>10</v>
      </c>
      <c r="D72" s="6" t="str">
        <f>VLOOKUP(Tabla138[[#This Row],[ID_PARTIDO]],Original!$AT$1:$AY$46,2,FALSE)</f>
        <v>Santiago Navarro Cuy</v>
      </c>
      <c r="E72" s="6" t="str">
        <f>VLOOKUP(Tabla138[[#This Row],[ID_PARTIDO]],Original!$AT$1:$AY$46,3,FALSE)</f>
        <v xml:space="preserve">Juan Pablo Vargas Jiménez </v>
      </c>
      <c r="F72" s="6" t="str">
        <f>VLOOKUP(Tabla138[[#This Row],[ID_PARTIDO]],Original!$AT$1:$AY$46,4,FALSE)</f>
        <v>sara juliana solano boada</v>
      </c>
      <c r="G72" s="6" t="str">
        <f>VLOOKUP(Tabla138[[#This Row],[ID_PARTIDO]],Original!$AT$1:$AY$46,5,FALSE)</f>
        <v xml:space="preserve">Juan Pablo Aponte Veloza </v>
      </c>
      <c r="H72" t="s">
        <v>14</v>
      </c>
      <c r="I72" t="s">
        <v>7</v>
      </c>
      <c r="J72" t="s">
        <v>14</v>
      </c>
      <c r="K72" t="s">
        <v>7</v>
      </c>
      <c r="L72">
        <v>1</v>
      </c>
      <c r="M72">
        <v>0</v>
      </c>
    </row>
    <row r="73" spans="1:13">
      <c r="A73">
        <v>20</v>
      </c>
      <c r="B73">
        <v>2</v>
      </c>
      <c r="C73">
        <v>11</v>
      </c>
      <c r="D73" s="6" t="str">
        <f>VLOOKUP(Tabla138[[#This Row],[ID_PARTIDO]],Original!$AT$1:$AY$46,2,FALSE)</f>
        <v>Santiago Navarro Cuy</v>
      </c>
      <c r="E73" s="6" t="str">
        <f>VLOOKUP(Tabla138[[#This Row],[ID_PARTIDO]],Original!$AT$1:$AY$46,3,FALSE)</f>
        <v xml:space="preserve">Juan Pablo Vargas Jiménez </v>
      </c>
      <c r="F73" s="6" t="str">
        <f>VLOOKUP(Tabla138[[#This Row],[ID_PARTIDO]],Original!$AT$1:$AY$46,4,FALSE)</f>
        <v>sara juliana solano boada</v>
      </c>
      <c r="G73" s="6" t="str">
        <f>VLOOKUP(Tabla138[[#This Row],[ID_PARTIDO]],Original!$AT$1:$AY$46,5,FALSE)</f>
        <v xml:space="preserve">Juan Pablo Aponte Veloza </v>
      </c>
      <c r="H73" t="s">
        <v>14</v>
      </c>
      <c r="I73" t="s">
        <v>7</v>
      </c>
      <c r="J73" t="s">
        <v>14</v>
      </c>
      <c r="K73" t="s">
        <v>7</v>
      </c>
      <c r="L73">
        <v>0</v>
      </c>
      <c r="M73">
        <v>1</v>
      </c>
    </row>
    <row r="74" spans="1:13">
      <c r="A74">
        <v>20</v>
      </c>
      <c r="B74">
        <v>2</v>
      </c>
      <c r="C74">
        <v>12</v>
      </c>
      <c r="D74" s="6" t="str">
        <f>VLOOKUP(Tabla138[[#This Row],[ID_PARTIDO]],Original!$AT$1:$AY$46,2,FALSE)</f>
        <v>Santiago Navarro Cuy</v>
      </c>
      <c r="E74" s="6" t="str">
        <f>VLOOKUP(Tabla138[[#This Row],[ID_PARTIDO]],Original!$AT$1:$AY$46,3,FALSE)</f>
        <v xml:space="preserve">Juan Pablo Vargas Jiménez </v>
      </c>
      <c r="F74" s="6" t="str">
        <f>VLOOKUP(Tabla138[[#This Row],[ID_PARTIDO]],Original!$AT$1:$AY$46,4,FALSE)</f>
        <v>sara juliana solano boada</v>
      </c>
      <c r="G74" s="6" t="str">
        <f>VLOOKUP(Tabla138[[#This Row],[ID_PARTIDO]],Original!$AT$1:$AY$46,5,FALSE)</f>
        <v xml:space="preserve">Juan Pablo Aponte Veloza </v>
      </c>
      <c r="H74" t="s">
        <v>14</v>
      </c>
      <c r="I74" t="s">
        <v>7</v>
      </c>
      <c r="J74" t="s">
        <v>14</v>
      </c>
      <c r="K74" t="s">
        <v>7</v>
      </c>
      <c r="L74">
        <v>0</v>
      </c>
      <c r="M74">
        <v>1</v>
      </c>
    </row>
    <row r="75" spans="1:13">
      <c r="A75">
        <v>18</v>
      </c>
      <c r="B75">
        <v>2</v>
      </c>
      <c r="C75">
        <v>1</v>
      </c>
      <c r="D75" s="6" t="str">
        <f>VLOOKUP(Tabla138[[#This Row],[ID_PARTIDO]],Original!$AT$1:$AY$46,2,FALSE)</f>
        <v xml:space="preserve">Juliana Beltrán Díaz </v>
      </c>
      <c r="E75" s="6" t="str">
        <f>VLOOKUP(Tabla138[[#This Row],[ID_PARTIDO]],Original!$AT$1:$AY$46,3,FALSE)</f>
        <v xml:space="preserve">Jonatan Nicolas Marmolejo Lopez </v>
      </c>
      <c r="F75" s="6" t="str">
        <f>VLOOKUP(Tabla138[[#This Row],[ID_PARTIDO]],Original!$AT$1:$AY$46,4,FALSE)</f>
        <v xml:space="preserve">Santiago Gutiérrez de Piñeres Barbosa  </v>
      </c>
      <c r="G75" s="6" t="str">
        <f>VLOOKUP(Tabla138[[#This Row],[ID_PARTIDO]],Original!$AT$1:$AY$46,5,FALSE)</f>
        <v>Jaime Andres Castillo Alvarez</v>
      </c>
      <c r="H75" t="s">
        <v>7</v>
      </c>
      <c r="I75" t="s">
        <v>14</v>
      </c>
      <c r="J75" t="s">
        <v>7</v>
      </c>
      <c r="K75" t="s">
        <v>14</v>
      </c>
      <c r="L75">
        <v>0</v>
      </c>
      <c r="M75">
        <v>1</v>
      </c>
    </row>
    <row r="76" spans="1:13">
      <c r="A76">
        <v>18</v>
      </c>
      <c r="B76">
        <v>2</v>
      </c>
      <c r="C76">
        <v>2</v>
      </c>
      <c r="D76" s="6" t="str">
        <f>VLOOKUP(Tabla138[[#This Row],[ID_PARTIDO]],Original!$AT$1:$AY$46,2,FALSE)</f>
        <v xml:space="preserve">Juliana Beltrán Díaz </v>
      </c>
      <c r="E76" s="6" t="str">
        <f>VLOOKUP(Tabla138[[#This Row],[ID_PARTIDO]],Original!$AT$1:$AY$46,3,FALSE)</f>
        <v xml:space="preserve">Jonatan Nicolas Marmolejo Lopez </v>
      </c>
      <c r="F76" s="6" t="str">
        <f>VLOOKUP(Tabla138[[#This Row],[ID_PARTIDO]],Original!$AT$1:$AY$46,4,FALSE)</f>
        <v xml:space="preserve">Santiago Gutiérrez de Piñeres Barbosa  </v>
      </c>
      <c r="G76" s="6" t="str">
        <f>VLOOKUP(Tabla138[[#This Row],[ID_PARTIDO]],Original!$AT$1:$AY$46,5,FALSE)</f>
        <v>Jaime Andres Castillo Alvarez</v>
      </c>
      <c r="H76" t="s">
        <v>7</v>
      </c>
      <c r="I76" t="s">
        <v>14</v>
      </c>
      <c r="J76" t="s">
        <v>7</v>
      </c>
      <c r="K76" t="s">
        <v>14</v>
      </c>
      <c r="L76">
        <v>0</v>
      </c>
      <c r="M76">
        <v>1</v>
      </c>
    </row>
    <row r="77" spans="1:13">
      <c r="A77">
        <v>18</v>
      </c>
      <c r="B77">
        <v>2</v>
      </c>
      <c r="C77">
        <v>3</v>
      </c>
      <c r="D77" s="6" t="str">
        <f>VLOOKUP(Tabla138[[#This Row],[ID_PARTIDO]],Original!$AT$1:$AY$46,2,FALSE)</f>
        <v xml:space="preserve">Juliana Beltrán Díaz </v>
      </c>
      <c r="E77" s="6" t="str">
        <f>VLOOKUP(Tabla138[[#This Row],[ID_PARTIDO]],Original!$AT$1:$AY$46,3,FALSE)</f>
        <v xml:space="preserve">Jonatan Nicolas Marmolejo Lopez </v>
      </c>
      <c r="F77" s="6" t="str">
        <f>VLOOKUP(Tabla138[[#This Row],[ID_PARTIDO]],Original!$AT$1:$AY$46,4,FALSE)</f>
        <v xml:space="preserve">Santiago Gutiérrez de Piñeres Barbosa  </v>
      </c>
      <c r="G77" s="6" t="str">
        <f>VLOOKUP(Tabla138[[#This Row],[ID_PARTIDO]],Original!$AT$1:$AY$46,5,FALSE)</f>
        <v>Jaime Andres Castillo Alvarez</v>
      </c>
      <c r="H77" t="s">
        <v>7</v>
      </c>
      <c r="I77" t="s">
        <v>14</v>
      </c>
      <c r="J77" t="s">
        <v>7</v>
      </c>
      <c r="K77" t="s">
        <v>14</v>
      </c>
      <c r="L77">
        <v>0</v>
      </c>
      <c r="M77">
        <v>1</v>
      </c>
    </row>
    <row r="78" spans="1:13">
      <c r="A78">
        <v>18</v>
      </c>
      <c r="B78">
        <v>2</v>
      </c>
      <c r="C78">
        <v>4</v>
      </c>
      <c r="D78" s="6" t="str">
        <f>VLOOKUP(Tabla138[[#This Row],[ID_PARTIDO]],Original!$AT$1:$AY$46,2,FALSE)</f>
        <v xml:space="preserve">Juliana Beltrán Díaz </v>
      </c>
      <c r="E78" s="6" t="str">
        <f>VLOOKUP(Tabla138[[#This Row],[ID_PARTIDO]],Original!$AT$1:$AY$46,3,FALSE)</f>
        <v xml:space="preserve">Jonatan Nicolas Marmolejo Lopez </v>
      </c>
      <c r="F78" s="6" t="str">
        <f>VLOOKUP(Tabla138[[#This Row],[ID_PARTIDO]],Original!$AT$1:$AY$46,4,FALSE)</f>
        <v xml:space="preserve">Santiago Gutiérrez de Piñeres Barbosa  </v>
      </c>
      <c r="G78" s="6" t="str">
        <f>VLOOKUP(Tabla138[[#This Row],[ID_PARTIDO]],Original!$AT$1:$AY$46,5,FALSE)</f>
        <v>Jaime Andres Castillo Alvarez</v>
      </c>
      <c r="H78" t="s">
        <v>7</v>
      </c>
      <c r="I78" t="s">
        <v>14</v>
      </c>
      <c r="J78" t="s">
        <v>7</v>
      </c>
      <c r="K78" t="s">
        <v>14</v>
      </c>
      <c r="L78">
        <v>0</v>
      </c>
      <c r="M78">
        <v>1</v>
      </c>
    </row>
    <row r="79" spans="1:13">
      <c r="A79">
        <v>18</v>
      </c>
      <c r="B79">
        <v>2</v>
      </c>
      <c r="C79">
        <v>5</v>
      </c>
      <c r="D79" s="6" t="str">
        <f>VLOOKUP(Tabla138[[#This Row],[ID_PARTIDO]],Original!$AT$1:$AY$46,2,FALSE)</f>
        <v xml:space="preserve">Juliana Beltrán Díaz </v>
      </c>
      <c r="E79" s="6" t="str">
        <f>VLOOKUP(Tabla138[[#This Row],[ID_PARTIDO]],Original!$AT$1:$AY$46,3,FALSE)</f>
        <v xml:space="preserve">Jonatan Nicolas Marmolejo Lopez </v>
      </c>
      <c r="F79" s="6" t="str">
        <f>VLOOKUP(Tabla138[[#This Row],[ID_PARTIDO]],Original!$AT$1:$AY$46,4,FALSE)</f>
        <v xml:space="preserve">Santiago Gutiérrez de Piñeres Barbosa  </v>
      </c>
      <c r="G79" s="6" t="str">
        <f>VLOOKUP(Tabla138[[#This Row],[ID_PARTIDO]],Original!$AT$1:$AY$46,5,FALSE)</f>
        <v>Jaime Andres Castillo Alvarez</v>
      </c>
      <c r="H79" t="s">
        <v>7</v>
      </c>
      <c r="I79" t="s">
        <v>14</v>
      </c>
      <c r="J79" t="s">
        <v>7</v>
      </c>
      <c r="K79" t="s">
        <v>14</v>
      </c>
      <c r="L79">
        <v>1</v>
      </c>
      <c r="M79">
        <v>0</v>
      </c>
    </row>
    <row r="80" spans="1:13">
      <c r="A80">
        <v>18</v>
      </c>
      <c r="B80">
        <v>2</v>
      </c>
      <c r="C80">
        <v>6</v>
      </c>
      <c r="D80" s="6" t="str">
        <f>VLOOKUP(Tabla138[[#This Row],[ID_PARTIDO]],Original!$AT$1:$AY$46,2,FALSE)</f>
        <v xml:space="preserve">Juliana Beltrán Díaz </v>
      </c>
      <c r="E80" s="6" t="str">
        <f>VLOOKUP(Tabla138[[#This Row],[ID_PARTIDO]],Original!$AT$1:$AY$46,3,FALSE)</f>
        <v xml:space="preserve">Jonatan Nicolas Marmolejo Lopez </v>
      </c>
      <c r="F80" s="6" t="str">
        <f>VLOOKUP(Tabla138[[#This Row],[ID_PARTIDO]],Original!$AT$1:$AY$46,4,FALSE)</f>
        <v xml:space="preserve">Santiago Gutiérrez de Piñeres Barbosa  </v>
      </c>
      <c r="G80" s="6" t="str">
        <f>VLOOKUP(Tabla138[[#This Row],[ID_PARTIDO]],Original!$AT$1:$AY$46,5,FALSE)</f>
        <v>Jaime Andres Castillo Alvarez</v>
      </c>
      <c r="H80" t="s">
        <v>7</v>
      </c>
      <c r="I80" t="s">
        <v>14</v>
      </c>
      <c r="J80" t="s">
        <v>7</v>
      </c>
      <c r="K80" t="s">
        <v>14</v>
      </c>
      <c r="L80">
        <v>0</v>
      </c>
      <c r="M80">
        <v>1</v>
      </c>
    </row>
    <row r="81" spans="1:13">
      <c r="A81">
        <v>18</v>
      </c>
      <c r="B81">
        <v>2</v>
      </c>
      <c r="C81">
        <v>7</v>
      </c>
      <c r="D81" s="6" t="str">
        <f>VLOOKUP(Tabla138[[#This Row],[ID_PARTIDO]],Original!$AT$1:$AY$46,2,FALSE)</f>
        <v xml:space="preserve">Juliana Beltrán Díaz </v>
      </c>
      <c r="E81" s="6" t="str">
        <f>VLOOKUP(Tabla138[[#This Row],[ID_PARTIDO]],Original!$AT$1:$AY$46,3,FALSE)</f>
        <v xml:space="preserve">Jonatan Nicolas Marmolejo Lopez </v>
      </c>
      <c r="F81" s="6" t="str">
        <f>VLOOKUP(Tabla138[[#This Row],[ID_PARTIDO]],Original!$AT$1:$AY$46,4,FALSE)</f>
        <v xml:space="preserve">Santiago Gutiérrez de Piñeres Barbosa  </v>
      </c>
      <c r="G81" s="6" t="str">
        <f>VLOOKUP(Tabla138[[#This Row],[ID_PARTIDO]],Original!$AT$1:$AY$46,5,FALSE)</f>
        <v>Jaime Andres Castillo Alvarez</v>
      </c>
      <c r="H81" t="s">
        <v>7</v>
      </c>
      <c r="I81" t="s">
        <v>14</v>
      </c>
      <c r="J81" t="s">
        <v>7</v>
      </c>
      <c r="K81" t="s">
        <v>14</v>
      </c>
      <c r="L81">
        <v>0</v>
      </c>
      <c r="M81">
        <v>1</v>
      </c>
    </row>
    <row r="82" spans="1:13">
      <c r="A82">
        <v>18</v>
      </c>
      <c r="B82">
        <v>2</v>
      </c>
      <c r="C82">
        <v>8</v>
      </c>
      <c r="D82" s="6" t="str">
        <f>VLOOKUP(Tabla138[[#This Row],[ID_PARTIDO]],Original!$AT$1:$AY$46,2,FALSE)</f>
        <v xml:space="preserve">Juliana Beltrán Díaz </v>
      </c>
      <c r="E82" s="6" t="str">
        <f>VLOOKUP(Tabla138[[#This Row],[ID_PARTIDO]],Original!$AT$1:$AY$46,3,FALSE)</f>
        <v xml:space="preserve">Jonatan Nicolas Marmolejo Lopez </v>
      </c>
      <c r="F82" s="6" t="str">
        <f>VLOOKUP(Tabla138[[#This Row],[ID_PARTIDO]],Original!$AT$1:$AY$46,4,FALSE)</f>
        <v xml:space="preserve">Santiago Gutiérrez de Piñeres Barbosa  </v>
      </c>
      <c r="G82" s="6" t="str">
        <f>VLOOKUP(Tabla138[[#This Row],[ID_PARTIDO]],Original!$AT$1:$AY$46,5,FALSE)</f>
        <v>Jaime Andres Castillo Alvarez</v>
      </c>
      <c r="H82" t="s">
        <v>7</v>
      </c>
      <c r="I82" t="s">
        <v>14</v>
      </c>
      <c r="J82" t="s">
        <v>7</v>
      </c>
      <c r="K82" t="s">
        <v>14</v>
      </c>
      <c r="L82">
        <v>1</v>
      </c>
      <c r="M82">
        <v>0</v>
      </c>
    </row>
    <row r="83" spans="1:13">
      <c r="A83">
        <v>18</v>
      </c>
      <c r="B83">
        <v>2</v>
      </c>
      <c r="C83">
        <v>9</v>
      </c>
      <c r="D83" s="6" t="str">
        <f>VLOOKUP(Tabla138[[#This Row],[ID_PARTIDO]],Original!$AT$1:$AY$46,2,FALSE)</f>
        <v xml:space="preserve">Juliana Beltrán Díaz </v>
      </c>
      <c r="E83" s="6" t="str">
        <f>VLOOKUP(Tabla138[[#This Row],[ID_PARTIDO]],Original!$AT$1:$AY$46,3,FALSE)</f>
        <v xml:space="preserve">Jonatan Nicolas Marmolejo Lopez </v>
      </c>
      <c r="F83" s="6" t="str">
        <f>VLOOKUP(Tabla138[[#This Row],[ID_PARTIDO]],Original!$AT$1:$AY$46,4,FALSE)</f>
        <v xml:space="preserve">Santiago Gutiérrez de Piñeres Barbosa  </v>
      </c>
      <c r="G83" s="6" t="str">
        <f>VLOOKUP(Tabla138[[#This Row],[ID_PARTIDO]],Original!$AT$1:$AY$46,5,FALSE)</f>
        <v>Jaime Andres Castillo Alvarez</v>
      </c>
      <c r="H83" t="s">
        <v>7</v>
      </c>
      <c r="I83" t="s">
        <v>14</v>
      </c>
      <c r="J83" t="s">
        <v>7</v>
      </c>
      <c r="K83" t="s">
        <v>14</v>
      </c>
      <c r="L83">
        <v>1</v>
      </c>
      <c r="M83">
        <v>0</v>
      </c>
    </row>
    <row r="84" spans="1:13">
      <c r="A84">
        <v>18</v>
      </c>
      <c r="B84">
        <v>2</v>
      </c>
      <c r="C84">
        <v>10</v>
      </c>
      <c r="D84" s="6" t="str">
        <f>VLOOKUP(Tabla138[[#This Row],[ID_PARTIDO]],Original!$AT$1:$AY$46,2,FALSE)</f>
        <v xml:space="preserve">Juliana Beltrán Díaz </v>
      </c>
      <c r="E84" s="6" t="str">
        <f>VLOOKUP(Tabla138[[#This Row],[ID_PARTIDO]],Original!$AT$1:$AY$46,3,FALSE)</f>
        <v xml:space="preserve">Jonatan Nicolas Marmolejo Lopez </v>
      </c>
      <c r="F84" s="6" t="str">
        <f>VLOOKUP(Tabla138[[#This Row],[ID_PARTIDO]],Original!$AT$1:$AY$46,4,FALSE)</f>
        <v xml:space="preserve">Santiago Gutiérrez de Piñeres Barbosa  </v>
      </c>
      <c r="G84" s="6" t="str">
        <f>VLOOKUP(Tabla138[[#This Row],[ID_PARTIDO]],Original!$AT$1:$AY$46,5,FALSE)</f>
        <v>Jaime Andres Castillo Alvarez</v>
      </c>
      <c r="H84" t="s">
        <v>7</v>
      </c>
      <c r="I84" t="s">
        <v>14</v>
      </c>
      <c r="J84" t="s">
        <v>7</v>
      </c>
      <c r="K84" t="s">
        <v>14</v>
      </c>
      <c r="L84">
        <v>0</v>
      </c>
      <c r="M84">
        <v>1</v>
      </c>
    </row>
    <row r="85" spans="1:13">
      <c r="A85">
        <v>14</v>
      </c>
      <c r="B85">
        <v>2</v>
      </c>
      <c r="C85">
        <v>1</v>
      </c>
      <c r="D85" s="6" t="str">
        <f>VLOOKUP(Tabla138[[#This Row],[ID_PARTIDO]],Original!$AT$1:$AY$46,2,FALSE)</f>
        <v xml:space="preserve">María José Cifuentes </v>
      </c>
      <c r="E85" s="6" t="str">
        <f>VLOOKUP(Tabla138[[#This Row],[ID_PARTIDO]],Original!$AT$1:$AY$46,3,FALSE)</f>
        <v>Rafael Andres Salcedo Valdivieso</v>
      </c>
      <c r="F85" s="6" t="str">
        <f>VLOOKUP(Tabla138[[#This Row],[ID_PARTIDO]],Original!$AT$1:$AY$46,4,FALSE)</f>
        <v>Luis Mario Ramirez Muñoz</v>
      </c>
      <c r="G85" s="6" t="str">
        <f>VLOOKUP(Tabla138[[#This Row],[ID_PARTIDO]],Original!$AT$1:$AY$46,5,FALSE)</f>
        <v>César Camilo Díaz Cufiño</v>
      </c>
      <c r="H85" t="s">
        <v>14</v>
      </c>
      <c r="I85" t="s">
        <v>7</v>
      </c>
      <c r="J85" t="s">
        <v>14</v>
      </c>
      <c r="K85" t="s">
        <v>7</v>
      </c>
      <c r="L85">
        <v>0</v>
      </c>
      <c r="M85">
        <v>1</v>
      </c>
    </row>
    <row r="86" spans="1:13">
      <c r="A86">
        <v>14</v>
      </c>
      <c r="B86">
        <v>2</v>
      </c>
      <c r="C86">
        <v>2</v>
      </c>
      <c r="D86" s="6" t="str">
        <f>VLOOKUP(Tabla138[[#This Row],[ID_PARTIDO]],Original!$AT$1:$AY$46,2,FALSE)</f>
        <v xml:space="preserve">María José Cifuentes </v>
      </c>
      <c r="E86" s="6" t="str">
        <f>VLOOKUP(Tabla138[[#This Row],[ID_PARTIDO]],Original!$AT$1:$AY$46,3,FALSE)</f>
        <v>Rafael Andres Salcedo Valdivieso</v>
      </c>
      <c r="F86" s="6" t="str">
        <f>VLOOKUP(Tabla138[[#This Row],[ID_PARTIDO]],Original!$AT$1:$AY$46,4,FALSE)</f>
        <v>Luis Mario Ramirez Muñoz</v>
      </c>
      <c r="G86" s="6" t="str">
        <f>VLOOKUP(Tabla138[[#This Row],[ID_PARTIDO]],Original!$AT$1:$AY$46,5,FALSE)</f>
        <v>César Camilo Díaz Cufiño</v>
      </c>
      <c r="H86" t="s">
        <v>14</v>
      </c>
      <c r="I86" t="s">
        <v>7</v>
      </c>
      <c r="J86" t="s">
        <v>14</v>
      </c>
      <c r="K86" t="s">
        <v>7</v>
      </c>
      <c r="L86">
        <v>1</v>
      </c>
      <c r="M86">
        <v>0</v>
      </c>
    </row>
    <row r="87" spans="1:13">
      <c r="A87">
        <v>14</v>
      </c>
      <c r="B87">
        <v>2</v>
      </c>
      <c r="C87">
        <v>3</v>
      </c>
      <c r="D87" s="6" t="str">
        <f>VLOOKUP(Tabla138[[#This Row],[ID_PARTIDO]],Original!$AT$1:$AY$46,2,FALSE)</f>
        <v xml:space="preserve">María José Cifuentes </v>
      </c>
      <c r="E87" s="6" t="str">
        <f>VLOOKUP(Tabla138[[#This Row],[ID_PARTIDO]],Original!$AT$1:$AY$46,3,FALSE)</f>
        <v>Rafael Andres Salcedo Valdivieso</v>
      </c>
      <c r="F87" s="6" t="str">
        <f>VLOOKUP(Tabla138[[#This Row],[ID_PARTIDO]],Original!$AT$1:$AY$46,4,FALSE)</f>
        <v>Luis Mario Ramirez Muñoz</v>
      </c>
      <c r="G87" s="6" t="str">
        <f>VLOOKUP(Tabla138[[#This Row],[ID_PARTIDO]],Original!$AT$1:$AY$46,5,FALSE)</f>
        <v>César Camilo Díaz Cufiño</v>
      </c>
      <c r="H87" t="s">
        <v>14</v>
      </c>
      <c r="I87" t="s">
        <v>7</v>
      </c>
      <c r="J87" t="s">
        <v>14</v>
      </c>
      <c r="K87" t="s">
        <v>7</v>
      </c>
      <c r="L87">
        <v>1</v>
      </c>
      <c r="M87">
        <v>0</v>
      </c>
    </row>
    <row r="88" spans="1:13">
      <c r="A88">
        <v>14</v>
      </c>
      <c r="B88">
        <v>2</v>
      </c>
      <c r="C88">
        <v>4</v>
      </c>
      <c r="D88" s="6" t="str">
        <f>VLOOKUP(Tabla138[[#This Row],[ID_PARTIDO]],Original!$AT$1:$AY$46,2,FALSE)</f>
        <v xml:space="preserve">María José Cifuentes </v>
      </c>
      <c r="E88" s="6" t="str">
        <f>VLOOKUP(Tabla138[[#This Row],[ID_PARTIDO]],Original!$AT$1:$AY$46,3,FALSE)</f>
        <v>Rafael Andres Salcedo Valdivieso</v>
      </c>
      <c r="F88" s="6" t="str">
        <f>VLOOKUP(Tabla138[[#This Row],[ID_PARTIDO]],Original!$AT$1:$AY$46,4,FALSE)</f>
        <v>Luis Mario Ramirez Muñoz</v>
      </c>
      <c r="G88" s="6" t="str">
        <f>VLOOKUP(Tabla138[[#This Row],[ID_PARTIDO]],Original!$AT$1:$AY$46,5,FALSE)</f>
        <v>César Camilo Díaz Cufiño</v>
      </c>
      <c r="H88" t="s">
        <v>14</v>
      </c>
      <c r="I88" t="s">
        <v>7</v>
      </c>
      <c r="J88" t="s">
        <v>14</v>
      </c>
      <c r="K88" t="s">
        <v>7</v>
      </c>
      <c r="L88">
        <v>1</v>
      </c>
      <c r="M88">
        <v>0</v>
      </c>
    </row>
    <row r="89" spans="1:13">
      <c r="A89">
        <v>14</v>
      </c>
      <c r="B89">
        <v>2</v>
      </c>
      <c r="C89">
        <v>5</v>
      </c>
      <c r="D89" s="6" t="str">
        <f>VLOOKUP(Tabla138[[#This Row],[ID_PARTIDO]],Original!$AT$1:$AY$46,2,FALSE)</f>
        <v xml:space="preserve">María José Cifuentes </v>
      </c>
      <c r="E89" s="6" t="str">
        <f>VLOOKUP(Tabla138[[#This Row],[ID_PARTIDO]],Original!$AT$1:$AY$46,3,FALSE)</f>
        <v>Rafael Andres Salcedo Valdivieso</v>
      </c>
      <c r="F89" s="6" t="str">
        <f>VLOOKUP(Tabla138[[#This Row],[ID_PARTIDO]],Original!$AT$1:$AY$46,4,FALSE)</f>
        <v>Luis Mario Ramirez Muñoz</v>
      </c>
      <c r="G89" s="6" t="str">
        <f>VLOOKUP(Tabla138[[#This Row],[ID_PARTIDO]],Original!$AT$1:$AY$46,5,FALSE)</f>
        <v>César Camilo Díaz Cufiño</v>
      </c>
      <c r="H89" t="s">
        <v>14</v>
      </c>
      <c r="I89" t="s">
        <v>7</v>
      </c>
      <c r="J89" t="s">
        <v>14</v>
      </c>
      <c r="K89" t="s">
        <v>7</v>
      </c>
      <c r="L89">
        <v>1</v>
      </c>
      <c r="M89">
        <v>0</v>
      </c>
    </row>
    <row r="90" spans="1:13">
      <c r="A90">
        <v>14</v>
      </c>
      <c r="B90">
        <v>2</v>
      </c>
      <c r="C90">
        <v>6</v>
      </c>
      <c r="D90" s="6" t="str">
        <f>VLOOKUP(Tabla138[[#This Row],[ID_PARTIDO]],Original!$AT$1:$AY$46,2,FALSE)</f>
        <v xml:space="preserve">María José Cifuentes </v>
      </c>
      <c r="E90" s="6" t="str">
        <f>VLOOKUP(Tabla138[[#This Row],[ID_PARTIDO]],Original!$AT$1:$AY$46,3,FALSE)</f>
        <v>Rafael Andres Salcedo Valdivieso</v>
      </c>
      <c r="F90" s="6" t="str">
        <f>VLOOKUP(Tabla138[[#This Row],[ID_PARTIDO]],Original!$AT$1:$AY$46,4,FALSE)</f>
        <v>Luis Mario Ramirez Muñoz</v>
      </c>
      <c r="G90" s="6" t="str">
        <f>VLOOKUP(Tabla138[[#This Row],[ID_PARTIDO]],Original!$AT$1:$AY$46,5,FALSE)</f>
        <v>César Camilo Díaz Cufiño</v>
      </c>
      <c r="H90" t="s">
        <v>14</v>
      </c>
      <c r="I90" t="s">
        <v>7</v>
      </c>
      <c r="J90" t="s">
        <v>14</v>
      </c>
      <c r="K90" t="s">
        <v>7</v>
      </c>
      <c r="L90">
        <v>1</v>
      </c>
      <c r="M90">
        <v>0</v>
      </c>
    </row>
    <row r="91" spans="1:13">
      <c r="A91">
        <v>14</v>
      </c>
      <c r="B91">
        <v>2</v>
      </c>
      <c r="C91">
        <v>7</v>
      </c>
      <c r="D91" s="6" t="str">
        <f>VLOOKUP(Tabla138[[#This Row],[ID_PARTIDO]],Original!$AT$1:$AY$46,2,FALSE)</f>
        <v xml:space="preserve">María José Cifuentes </v>
      </c>
      <c r="E91" s="6" t="str">
        <f>VLOOKUP(Tabla138[[#This Row],[ID_PARTIDO]],Original!$AT$1:$AY$46,3,FALSE)</f>
        <v>Rafael Andres Salcedo Valdivieso</v>
      </c>
      <c r="F91" s="6" t="str">
        <f>VLOOKUP(Tabla138[[#This Row],[ID_PARTIDO]],Original!$AT$1:$AY$46,4,FALSE)</f>
        <v>Luis Mario Ramirez Muñoz</v>
      </c>
      <c r="G91" s="6" t="str">
        <f>VLOOKUP(Tabla138[[#This Row],[ID_PARTIDO]],Original!$AT$1:$AY$46,5,FALSE)</f>
        <v>César Camilo Díaz Cufiño</v>
      </c>
      <c r="H91" t="s">
        <v>14</v>
      </c>
      <c r="I91" t="s">
        <v>7</v>
      </c>
      <c r="J91" t="s">
        <v>14</v>
      </c>
      <c r="K91" t="s">
        <v>7</v>
      </c>
      <c r="L91">
        <v>0</v>
      </c>
      <c r="M91">
        <v>1</v>
      </c>
    </row>
    <row r="92" spans="1:13">
      <c r="A92">
        <v>14</v>
      </c>
      <c r="B92">
        <v>2</v>
      </c>
      <c r="C92">
        <v>8</v>
      </c>
      <c r="D92" s="6" t="str">
        <f>VLOOKUP(Tabla138[[#This Row],[ID_PARTIDO]],Original!$AT$1:$AY$46,2,FALSE)</f>
        <v xml:space="preserve">María José Cifuentes </v>
      </c>
      <c r="E92" s="6" t="str">
        <f>VLOOKUP(Tabla138[[#This Row],[ID_PARTIDO]],Original!$AT$1:$AY$46,3,FALSE)</f>
        <v>Rafael Andres Salcedo Valdivieso</v>
      </c>
      <c r="F92" s="6" t="str">
        <f>VLOOKUP(Tabla138[[#This Row],[ID_PARTIDO]],Original!$AT$1:$AY$46,4,FALSE)</f>
        <v>Luis Mario Ramirez Muñoz</v>
      </c>
      <c r="G92" s="6" t="str">
        <f>VLOOKUP(Tabla138[[#This Row],[ID_PARTIDO]],Original!$AT$1:$AY$46,5,FALSE)</f>
        <v>César Camilo Díaz Cufiño</v>
      </c>
      <c r="H92" t="s">
        <v>14</v>
      </c>
      <c r="I92" t="s">
        <v>7</v>
      </c>
      <c r="J92" t="s">
        <v>14</v>
      </c>
      <c r="K92" t="s">
        <v>7</v>
      </c>
      <c r="L92">
        <v>0</v>
      </c>
      <c r="M92">
        <v>1</v>
      </c>
    </row>
    <row r="93" spans="1:13">
      <c r="A93">
        <v>14</v>
      </c>
      <c r="B93">
        <v>2</v>
      </c>
      <c r="C93">
        <v>9</v>
      </c>
      <c r="D93" s="6" t="str">
        <f>VLOOKUP(Tabla138[[#This Row],[ID_PARTIDO]],Original!$AT$1:$AY$46,2,FALSE)</f>
        <v xml:space="preserve">María José Cifuentes </v>
      </c>
      <c r="E93" s="6" t="str">
        <f>VLOOKUP(Tabla138[[#This Row],[ID_PARTIDO]],Original!$AT$1:$AY$46,3,FALSE)</f>
        <v>Rafael Andres Salcedo Valdivieso</v>
      </c>
      <c r="F93" s="6" t="str">
        <f>VLOOKUP(Tabla138[[#This Row],[ID_PARTIDO]],Original!$AT$1:$AY$46,4,FALSE)</f>
        <v>Luis Mario Ramirez Muñoz</v>
      </c>
      <c r="G93" s="6" t="str">
        <f>VLOOKUP(Tabla138[[#This Row],[ID_PARTIDO]],Original!$AT$1:$AY$46,5,FALSE)</f>
        <v>César Camilo Díaz Cufiño</v>
      </c>
      <c r="H93" t="s">
        <v>14</v>
      </c>
      <c r="I93" t="s">
        <v>7</v>
      </c>
      <c r="J93" t="s">
        <v>14</v>
      </c>
      <c r="K93" t="s">
        <v>7</v>
      </c>
      <c r="L93">
        <v>0</v>
      </c>
      <c r="M93">
        <v>1</v>
      </c>
    </row>
    <row r="94" spans="1:13">
      <c r="A94">
        <v>14</v>
      </c>
      <c r="B94">
        <v>2</v>
      </c>
      <c r="C94">
        <v>10</v>
      </c>
      <c r="D94" s="6" t="str">
        <f>VLOOKUP(Tabla138[[#This Row],[ID_PARTIDO]],Original!$AT$1:$AY$46,2,FALSE)</f>
        <v xml:space="preserve">María José Cifuentes </v>
      </c>
      <c r="E94" s="6" t="str">
        <f>VLOOKUP(Tabla138[[#This Row],[ID_PARTIDO]],Original!$AT$1:$AY$46,3,FALSE)</f>
        <v>Rafael Andres Salcedo Valdivieso</v>
      </c>
      <c r="F94" s="6" t="str">
        <f>VLOOKUP(Tabla138[[#This Row],[ID_PARTIDO]],Original!$AT$1:$AY$46,4,FALSE)</f>
        <v>Luis Mario Ramirez Muñoz</v>
      </c>
      <c r="G94" s="6" t="str">
        <f>VLOOKUP(Tabla138[[#This Row],[ID_PARTIDO]],Original!$AT$1:$AY$46,5,FALSE)</f>
        <v>César Camilo Díaz Cufiño</v>
      </c>
      <c r="H94" t="s">
        <v>14</v>
      </c>
      <c r="I94" t="s">
        <v>7</v>
      </c>
      <c r="J94" t="s">
        <v>14</v>
      </c>
      <c r="K94" t="s">
        <v>7</v>
      </c>
      <c r="L94">
        <v>1</v>
      </c>
      <c r="M94">
        <v>0</v>
      </c>
    </row>
    <row r="95" spans="1:13">
      <c r="A95">
        <v>14</v>
      </c>
      <c r="B95">
        <v>2</v>
      </c>
      <c r="C95">
        <v>11</v>
      </c>
      <c r="D95" s="6" t="str">
        <f>VLOOKUP(Tabla138[[#This Row],[ID_PARTIDO]],Original!$AT$1:$AY$46,2,FALSE)</f>
        <v xml:space="preserve">María José Cifuentes </v>
      </c>
      <c r="E95" s="6" t="str">
        <f>VLOOKUP(Tabla138[[#This Row],[ID_PARTIDO]],Original!$AT$1:$AY$46,3,FALSE)</f>
        <v>Rafael Andres Salcedo Valdivieso</v>
      </c>
      <c r="F95" s="6" t="str">
        <f>VLOOKUP(Tabla138[[#This Row],[ID_PARTIDO]],Original!$AT$1:$AY$46,4,FALSE)</f>
        <v>Luis Mario Ramirez Muñoz</v>
      </c>
      <c r="G95" s="6" t="str">
        <f>VLOOKUP(Tabla138[[#This Row],[ID_PARTIDO]],Original!$AT$1:$AY$46,5,FALSE)</f>
        <v>César Camilo Díaz Cufiño</v>
      </c>
      <c r="H95" t="s">
        <v>14</v>
      </c>
      <c r="I95" t="s">
        <v>7</v>
      </c>
      <c r="J95" t="s">
        <v>14</v>
      </c>
      <c r="K95" t="s">
        <v>7</v>
      </c>
      <c r="L95">
        <v>1</v>
      </c>
      <c r="M95">
        <v>0</v>
      </c>
    </row>
    <row r="96" spans="1:13">
      <c r="A96">
        <v>16</v>
      </c>
      <c r="B96">
        <v>2</v>
      </c>
      <c r="C96">
        <v>1</v>
      </c>
      <c r="D96" s="6" t="str">
        <f>VLOOKUP(Tabla138[[#This Row],[ID_PARTIDO]],Original!$AT$1:$AY$46,2,FALSE)</f>
        <v>Santiago Peña Beltran</v>
      </c>
      <c r="E96" s="6" t="str">
        <f>VLOOKUP(Tabla138[[#This Row],[ID_PARTIDO]],Original!$AT$1:$AY$46,3,FALSE)</f>
        <v>Samuel Andrés Rodríguez Ulloa</v>
      </c>
      <c r="F96" s="6" t="str">
        <f>VLOOKUP(Tabla138[[#This Row],[ID_PARTIDO]],Original!$AT$1:$AY$46,4,FALSE)</f>
        <v>Maria Fernanda Tamayo Lopez</v>
      </c>
      <c r="G96" s="6" t="str">
        <f>VLOOKUP(Tabla138[[#This Row],[ID_PARTIDO]],Original!$AT$1:$AY$46,5,FALSE)</f>
        <v xml:space="preserve">maria jose martinez villabona </v>
      </c>
      <c r="H96" t="s">
        <v>14</v>
      </c>
      <c r="I96" t="s">
        <v>7</v>
      </c>
      <c r="J96" t="s">
        <v>7</v>
      </c>
      <c r="K96" t="s">
        <v>14</v>
      </c>
      <c r="L96">
        <v>1</v>
      </c>
      <c r="M96">
        <v>0</v>
      </c>
    </row>
    <row r="97" spans="1:13">
      <c r="A97">
        <v>16</v>
      </c>
      <c r="B97">
        <v>2</v>
      </c>
      <c r="C97">
        <v>2</v>
      </c>
      <c r="D97" s="6" t="str">
        <f>VLOOKUP(Tabla138[[#This Row],[ID_PARTIDO]],Original!$AT$1:$AY$46,2,FALSE)</f>
        <v>Santiago Peña Beltran</v>
      </c>
      <c r="E97" s="6" t="str">
        <f>VLOOKUP(Tabla138[[#This Row],[ID_PARTIDO]],Original!$AT$1:$AY$46,3,FALSE)</f>
        <v>Samuel Andrés Rodríguez Ulloa</v>
      </c>
      <c r="F97" s="6" t="str">
        <f>VLOOKUP(Tabla138[[#This Row],[ID_PARTIDO]],Original!$AT$1:$AY$46,4,FALSE)</f>
        <v>Maria Fernanda Tamayo Lopez</v>
      </c>
      <c r="G97" s="6" t="str">
        <f>VLOOKUP(Tabla138[[#This Row],[ID_PARTIDO]],Original!$AT$1:$AY$46,5,FALSE)</f>
        <v xml:space="preserve">maria jose martinez villabona </v>
      </c>
      <c r="H97" t="s">
        <v>14</v>
      </c>
      <c r="I97" t="s">
        <v>7</v>
      </c>
      <c r="J97" t="s">
        <v>7</v>
      </c>
      <c r="K97" t="s">
        <v>14</v>
      </c>
      <c r="L97">
        <v>0</v>
      </c>
      <c r="M97">
        <v>1</v>
      </c>
    </row>
    <row r="98" spans="1:13">
      <c r="A98">
        <v>16</v>
      </c>
      <c r="B98">
        <v>2</v>
      </c>
      <c r="C98">
        <v>3</v>
      </c>
      <c r="D98" s="6" t="str">
        <f>VLOOKUP(Tabla138[[#This Row],[ID_PARTIDO]],Original!$AT$1:$AY$46,2,FALSE)</f>
        <v>Santiago Peña Beltran</v>
      </c>
      <c r="E98" s="6" t="str">
        <f>VLOOKUP(Tabla138[[#This Row],[ID_PARTIDO]],Original!$AT$1:$AY$46,3,FALSE)</f>
        <v>Samuel Andrés Rodríguez Ulloa</v>
      </c>
      <c r="F98" s="6" t="str">
        <f>VLOOKUP(Tabla138[[#This Row],[ID_PARTIDO]],Original!$AT$1:$AY$46,4,FALSE)</f>
        <v>Maria Fernanda Tamayo Lopez</v>
      </c>
      <c r="G98" s="6" t="str">
        <f>VLOOKUP(Tabla138[[#This Row],[ID_PARTIDO]],Original!$AT$1:$AY$46,5,FALSE)</f>
        <v xml:space="preserve">maria jose martinez villabona </v>
      </c>
      <c r="H98" t="s">
        <v>14</v>
      </c>
      <c r="I98" t="s">
        <v>7</v>
      </c>
      <c r="J98" t="s">
        <v>7</v>
      </c>
      <c r="K98" t="s">
        <v>14</v>
      </c>
      <c r="L98">
        <v>0</v>
      </c>
      <c r="M98">
        <v>1</v>
      </c>
    </row>
    <row r="99" spans="1:13">
      <c r="A99">
        <v>16</v>
      </c>
      <c r="B99">
        <v>2</v>
      </c>
      <c r="C99">
        <v>4</v>
      </c>
      <c r="D99" s="6" t="str">
        <f>VLOOKUP(Tabla138[[#This Row],[ID_PARTIDO]],Original!$AT$1:$AY$46,2,FALSE)</f>
        <v>Santiago Peña Beltran</v>
      </c>
      <c r="E99" s="6" t="str">
        <f>VLOOKUP(Tabla138[[#This Row],[ID_PARTIDO]],Original!$AT$1:$AY$46,3,FALSE)</f>
        <v>Samuel Andrés Rodríguez Ulloa</v>
      </c>
      <c r="F99" s="6" t="str">
        <f>VLOOKUP(Tabla138[[#This Row],[ID_PARTIDO]],Original!$AT$1:$AY$46,4,FALSE)</f>
        <v>Maria Fernanda Tamayo Lopez</v>
      </c>
      <c r="G99" s="6" t="str">
        <f>VLOOKUP(Tabla138[[#This Row],[ID_PARTIDO]],Original!$AT$1:$AY$46,5,FALSE)</f>
        <v xml:space="preserve">maria jose martinez villabona </v>
      </c>
      <c r="H99" t="s">
        <v>14</v>
      </c>
      <c r="I99" t="s">
        <v>7</v>
      </c>
      <c r="J99" t="s">
        <v>7</v>
      </c>
      <c r="K99" t="s">
        <v>14</v>
      </c>
      <c r="L99">
        <v>0</v>
      </c>
      <c r="M99">
        <v>1</v>
      </c>
    </row>
    <row r="100" spans="1:13">
      <c r="A100">
        <v>16</v>
      </c>
      <c r="B100">
        <v>2</v>
      </c>
      <c r="C100">
        <v>5</v>
      </c>
      <c r="D100" s="6" t="str">
        <f>VLOOKUP(Tabla138[[#This Row],[ID_PARTIDO]],Original!$AT$1:$AY$46,2,FALSE)</f>
        <v>Santiago Peña Beltran</v>
      </c>
      <c r="E100" s="6" t="str">
        <f>VLOOKUP(Tabla138[[#This Row],[ID_PARTIDO]],Original!$AT$1:$AY$46,3,FALSE)</f>
        <v>Samuel Andrés Rodríguez Ulloa</v>
      </c>
      <c r="F100" s="6" t="str">
        <f>VLOOKUP(Tabla138[[#This Row],[ID_PARTIDO]],Original!$AT$1:$AY$46,4,FALSE)</f>
        <v>Maria Fernanda Tamayo Lopez</v>
      </c>
      <c r="G100" s="6" t="str">
        <f>VLOOKUP(Tabla138[[#This Row],[ID_PARTIDO]],Original!$AT$1:$AY$46,5,FALSE)</f>
        <v xml:space="preserve">maria jose martinez villabona </v>
      </c>
      <c r="H100" t="s">
        <v>14</v>
      </c>
      <c r="I100" t="s">
        <v>7</v>
      </c>
      <c r="J100" t="s">
        <v>7</v>
      </c>
      <c r="K100" t="s">
        <v>14</v>
      </c>
      <c r="L100">
        <v>1</v>
      </c>
      <c r="M100">
        <v>0</v>
      </c>
    </row>
    <row r="101" spans="1:13">
      <c r="A101">
        <v>16</v>
      </c>
      <c r="B101">
        <v>2</v>
      </c>
      <c r="C101">
        <v>6</v>
      </c>
      <c r="D101" s="6" t="str">
        <f>VLOOKUP(Tabla138[[#This Row],[ID_PARTIDO]],Original!$AT$1:$AY$46,2,FALSE)</f>
        <v>Santiago Peña Beltran</v>
      </c>
      <c r="E101" s="6" t="str">
        <f>VLOOKUP(Tabla138[[#This Row],[ID_PARTIDO]],Original!$AT$1:$AY$46,3,FALSE)</f>
        <v>Samuel Andrés Rodríguez Ulloa</v>
      </c>
      <c r="F101" s="6" t="str">
        <f>VLOOKUP(Tabla138[[#This Row],[ID_PARTIDO]],Original!$AT$1:$AY$46,4,FALSE)</f>
        <v>Maria Fernanda Tamayo Lopez</v>
      </c>
      <c r="G101" s="6" t="str">
        <f>VLOOKUP(Tabla138[[#This Row],[ID_PARTIDO]],Original!$AT$1:$AY$46,5,FALSE)</f>
        <v xml:space="preserve">maria jose martinez villabona </v>
      </c>
      <c r="H101" t="s">
        <v>14</v>
      </c>
      <c r="I101" t="s">
        <v>7</v>
      </c>
      <c r="J101" t="s">
        <v>7</v>
      </c>
      <c r="K101" t="s">
        <v>14</v>
      </c>
      <c r="L101">
        <v>1</v>
      </c>
      <c r="M101">
        <v>0</v>
      </c>
    </row>
    <row r="102" spans="1:13">
      <c r="A102">
        <v>16</v>
      </c>
      <c r="B102">
        <v>2</v>
      </c>
      <c r="C102">
        <v>7</v>
      </c>
      <c r="D102" s="6" t="str">
        <f>VLOOKUP(Tabla138[[#This Row],[ID_PARTIDO]],Original!$AT$1:$AY$46,2,FALSE)</f>
        <v>Santiago Peña Beltran</v>
      </c>
      <c r="E102" s="6" t="str">
        <f>VLOOKUP(Tabla138[[#This Row],[ID_PARTIDO]],Original!$AT$1:$AY$46,3,FALSE)</f>
        <v>Samuel Andrés Rodríguez Ulloa</v>
      </c>
      <c r="F102" s="6" t="str">
        <f>VLOOKUP(Tabla138[[#This Row],[ID_PARTIDO]],Original!$AT$1:$AY$46,4,FALSE)</f>
        <v>Maria Fernanda Tamayo Lopez</v>
      </c>
      <c r="G102" s="6" t="str">
        <f>VLOOKUP(Tabla138[[#This Row],[ID_PARTIDO]],Original!$AT$1:$AY$46,5,FALSE)</f>
        <v xml:space="preserve">maria jose martinez villabona </v>
      </c>
      <c r="H102" t="s">
        <v>14</v>
      </c>
      <c r="I102" t="s">
        <v>7</v>
      </c>
      <c r="J102" t="s">
        <v>7</v>
      </c>
      <c r="K102" t="s">
        <v>14</v>
      </c>
      <c r="L102">
        <v>1</v>
      </c>
      <c r="M102">
        <v>0</v>
      </c>
    </row>
    <row r="103" spans="1:13">
      <c r="A103">
        <v>16</v>
      </c>
      <c r="B103">
        <v>2</v>
      </c>
      <c r="C103">
        <v>8</v>
      </c>
      <c r="D103" s="6" t="str">
        <f>VLOOKUP(Tabla138[[#This Row],[ID_PARTIDO]],Original!$AT$1:$AY$46,2,FALSE)</f>
        <v>Santiago Peña Beltran</v>
      </c>
      <c r="E103" s="6" t="str">
        <f>VLOOKUP(Tabla138[[#This Row],[ID_PARTIDO]],Original!$AT$1:$AY$46,3,FALSE)</f>
        <v>Samuel Andrés Rodríguez Ulloa</v>
      </c>
      <c r="F103" s="6" t="str">
        <f>VLOOKUP(Tabla138[[#This Row],[ID_PARTIDO]],Original!$AT$1:$AY$46,4,FALSE)</f>
        <v>Maria Fernanda Tamayo Lopez</v>
      </c>
      <c r="G103" s="6" t="str">
        <f>VLOOKUP(Tabla138[[#This Row],[ID_PARTIDO]],Original!$AT$1:$AY$46,5,FALSE)</f>
        <v xml:space="preserve">maria jose martinez villabona </v>
      </c>
      <c r="H103" t="s">
        <v>14</v>
      </c>
      <c r="I103" t="s">
        <v>7</v>
      </c>
      <c r="J103" t="s">
        <v>7</v>
      </c>
      <c r="K103" t="s">
        <v>14</v>
      </c>
      <c r="L103">
        <v>0</v>
      </c>
      <c r="M103">
        <v>1</v>
      </c>
    </row>
    <row r="104" spans="1:13">
      <c r="A104">
        <v>16</v>
      </c>
      <c r="B104">
        <v>2</v>
      </c>
      <c r="C104">
        <v>9</v>
      </c>
      <c r="D104" s="6" t="str">
        <f>VLOOKUP(Tabla138[[#This Row],[ID_PARTIDO]],Original!$AT$1:$AY$46,2,FALSE)</f>
        <v>Santiago Peña Beltran</v>
      </c>
      <c r="E104" s="6" t="str">
        <f>VLOOKUP(Tabla138[[#This Row],[ID_PARTIDO]],Original!$AT$1:$AY$46,3,FALSE)</f>
        <v>Samuel Andrés Rodríguez Ulloa</v>
      </c>
      <c r="F104" s="6" t="str">
        <f>VLOOKUP(Tabla138[[#This Row],[ID_PARTIDO]],Original!$AT$1:$AY$46,4,FALSE)</f>
        <v>Maria Fernanda Tamayo Lopez</v>
      </c>
      <c r="G104" s="6" t="str">
        <f>VLOOKUP(Tabla138[[#This Row],[ID_PARTIDO]],Original!$AT$1:$AY$46,5,FALSE)</f>
        <v xml:space="preserve">maria jose martinez villabona </v>
      </c>
      <c r="H104" t="s">
        <v>14</v>
      </c>
      <c r="I104" t="s">
        <v>7</v>
      </c>
      <c r="J104" t="s">
        <v>7</v>
      </c>
      <c r="K104" t="s">
        <v>14</v>
      </c>
      <c r="L104">
        <v>1</v>
      </c>
      <c r="M104">
        <v>0</v>
      </c>
    </row>
    <row r="105" spans="1:13">
      <c r="A105">
        <v>16</v>
      </c>
      <c r="B105">
        <v>2</v>
      </c>
      <c r="C105">
        <v>10</v>
      </c>
      <c r="D105" s="6" t="str">
        <f>VLOOKUP(Tabla138[[#This Row],[ID_PARTIDO]],Original!$AT$1:$AY$46,2,FALSE)</f>
        <v>Santiago Peña Beltran</v>
      </c>
      <c r="E105" s="6" t="str">
        <f>VLOOKUP(Tabla138[[#This Row],[ID_PARTIDO]],Original!$AT$1:$AY$46,3,FALSE)</f>
        <v>Samuel Andrés Rodríguez Ulloa</v>
      </c>
      <c r="F105" s="6" t="str">
        <f>VLOOKUP(Tabla138[[#This Row],[ID_PARTIDO]],Original!$AT$1:$AY$46,4,FALSE)</f>
        <v>Maria Fernanda Tamayo Lopez</v>
      </c>
      <c r="G105" s="6" t="str">
        <f>VLOOKUP(Tabla138[[#This Row],[ID_PARTIDO]],Original!$AT$1:$AY$46,5,FALSE)</f>
        <v xml:space="preserve">maria jose martinez villabona </v>
      </c>
      <c r="H105" t="s">
        <v>14</v>
      </c>
      <c r="I105" t="s">
        <v>7</v>
      </c>
      <c r="J105" t="s">
        <v>7</v>
      </c>
      <c r="K105" t="s">
        <v>14</v>
      </c>
      <c r="L105">
        <v>0</v>
      </c>
      <c r="M105">
        <v>1</v>
      </c>
    </row>
    <row r="106" spans="1:13">
      <c r="A106">
        <v>16</v>
      </c>
      <c r="B106">
        <v>2</v>
      </c>
      <c r="C106">
        <v>11</v>
      </c>
      <c r="D106" s="6" t="str">
        <f>VLOOKUP(Tabla138[[#This Row],[ID_PARTIDO]],Original!$AT$1:$AY$46,2,FALSE)</f>
        <v>Santiago Peña Beltran</v>
      </c>
      <c r="E106" s="6" t="str">
        <f>VLOOKUP(Tabla138[[#This Row],[ID_PARTIDO]],Original!$AT$1:$AY$46,3,FALSE)</f>
        <v>Samuel Andrés Rodríguez Ulloa</v>
      </c>
      <c r="F106" s="6" t="str">
        <f>VLOOKUP(Tabla138[[#This Row],[ID_PARTIDO]],Original!$AT$1:$AY$46,4,FALSE)</f>
        <v>Maria Fernanda Tamayo Lopez</v>
      </c>
      <c r="G106" s="6" t="str">
        <f>VLOOKUP(Tabla138[[#This Row],[ID_PARTIDO]],Original!$AT$1:$AY$46,5,FALSE)</f>
        <v xml:space="preserve">maria jose martinez villabona </v>
      </c>
      <c r="H106" t="s">
        <v>14</v>
      </c>
      <c r="I106" t="s">
        <v>7</v>
      </c>
      <c r="J106" t="s">
        <v>7</v>
      </c>
      <c r="K106" t="s">
        <v>14</v>
      </c>
      <c r="L106">
        <v>1</v>
      </c>
      <c r="M106">
        <v>0</v>
      </c>
    </row>
    <row r="107" spans="1:13">
      <c r="A107">
        <v>16</v>
      </c>
      <c r="B107">
        <v>2</v>
      </c>
      <c r="C107">
        <v>12</v>
      </c>
      <c r="D107" s="6" t="str">
        <f>VLOOKUP(Tabla138[[#This Row],[ID_PARTIDO]],Original!$AT$1:$AY$46,2,FALSE)</f>
        <v>Santiago Peña Beltran</v>
      </c>
      <c r="E107" s="6" t="str">
        <f>VLOOKUP(Tabla138[[#This Row],[ID_PARTIDO]],Original!$AT$1:$AY$46,3,FALSE)</f>
        <v>Samuel Andrés Rodríguez Ulloa</v>
      </c>
      <c r="F107" s="6" t="str">
        <f>VLOOKUP(Tabla138[[#This Row],[ID_PARTIDO]],Original!$AT$1:$AY$46,4,FALSE)</f>
        <v>Maria Fernanda Tamayo Lopez</v>
      </c>
      <c r="G107" s="6" t="str">
        <f>VLOOKUP(Tabla138[[#This Row],[ID_PARTIDO]],Original!$AT$1:$AY$46,5,FALSE)</f>
        <v xml:space="preserve">maria jose martinez villabona </v>
      </c>
      <c r="H107" t="s">
        <v>14</v>
      </c>
      <c r="I107" t="s">
        <v>7</v>
      </c>
      <c r="J107" t="s">
        <v>7</v>
      </c>
      <c r="K107" t="s">
        <v>14</v>
      </c>
      <c r="L107">
        <v>0</v>
      </c>
      <c r="M107">
        <v>1</v>
      </c>
    </row>
    <row r="108" spans="1:13">
      <c r="A108">
        <v>16</v>
      </c>
      <c r="B108">
        <v>2</v>
      </c>
      <c r="C108">
        <v>13</v>
      </c>
      <c r="D108" s="6" t="str">
        <f>VLOOKUP(Tabla138[[#This Row],[ID_PARTIDO]],Original!$AT$1:$AY$46,2,FALSE)</f>
        <v>Santiago Peña Beltran</v>
      </c>
      <c r="E108" s="6" t="str">
        <f>VLOOKUP(Tabla138[[#This Row],[ID_PARTIDO]],Original!$AT$1:$AY$46,3,FALSE)</f>
        <v>Samuel Andrés Rodríguez Ulloa</v>
      </c>
      <c r="F108" s="6" t="str">
        <f>VLOOKUP(Tabla138[[#This Row],[ID_PARTIDO]],Original!$AT$1:$AY$46,4,FALSE)</f>
        <v>Maria Fernanda Tamayo Lopez</v>
      </c>
      <c r="G108" s="6" t="str">
        <f>VLOOKUP(Tabla138[[#This Row],[ID_PARTIDO]],Original!$AT$1:$AY$46,5,FALSE)</f>
        <v xml:space="preserve">maria jose martinez villabona </v>
      </c>
      <c r="H108" t="s">
        <v>14</v>
      </c>
      <c r="I108" t="s">
        <v>7</v>
      </c>
      <c r="J108" t="s">
        <v>7</v>
      </c>
      <c r="K108" t="s">
        <v>14</v>
      </c>
      <c r="L108">
        <v>1</v>
      </c>
      <c r="M108">
        <v>0</v>
      </c>
    </row>
    <row r="109" spans="1:13">
      <c r="A109">
        <v>22</v>
      </c>
      <c r="B109">
        <v>2</v>
      </c>
      <c r="C109">
        <v>1</v>
      </c>
      <c r="D109" s="6" t="str">
        <f>VLOOKUP(Tabla138[[#This Row],[ID_PARTIDO]],Original!$AT$1:$AY$46,2,FALSE)</f>
        <v xml:space="preserve">Juliana Beltrán Díaz </v>
      </c>
      <c r="E109" s="6" t="str">
        <f>VLOOKUP(Tabla138[[#This Row],[ID_PARTIDO]],Original!$AT$1:$AY$46,3,FALSE)</f>
        <v>Valentina Jimenez Gomez</v>
      </c>
      <c r="F109" s="6" t="str">
        <f>VLOOKUP(Tabla138[[#This Row],[ID_PARTIDO]],Original!$AT$1:$AY$46,4,FALSE)</f>
        <v>Isabella Buitrago Hurtado</v>
      </c>
      <c r="G109" s="6" t="str">
        <f>VLOOKUP(Tabla138[[#This Row],[ID_PARTIDO]],Original!$AT$1:$AY$46,5,FALSE)</f>
        <v xml:space="preserve">Santiago Gutiérrez de Piñeres Barbosa  </v>
      </c>
      <c r="H109" t="s">
        <v>7</v>
      </c>
      <c r="I109" t="s">
        <v>14</v>
      </c>
      <c r="J109" t="s">
        <v>14</v>
      </c>
      <c r="K109" t="s">
        <v>7</v>
      </c>
      <c r="L109">
        <v>1</v>
      </c>
      <c r="M109">
        <v>0</v>
      </c>
    </row>
    <row r="110" spans="1:13">
      <c r="A110">
        <v>22</v>
      </c>
      <c r="B110">
        <v>2</v>
      </c>
      <c r="C110">
        <v>2</v>
      </c>
      <c r="D110" s="6" t="str">
        <f>VLOOKUP(Tabla138[[#This Row],[ID_PARTIDO]],Original!$AT$1:$AY$46,2,FALSE)</f>
        <v xml:space="preserve">Juliana Beltrán Díaz </v>
      </c>
      <c r="E110" s="6" t="str">
        <f>VLOOKUP(Tabla138[[#This Row],[ID_PARTIDO]],Original!$AT$1:$AY$46,3,FALSE)</f>
        <v>Valentina Jimenez Gomez</v>
      </c>
      <c r="F110" s="6" t="str">
        <f>VLOOKUP(Tabla138[[#This Row],[ID_PARTIDO]],Original!$AT$1:$AY$46,4,FALSE)</f>
        <v>Isabella Buitrago Hurtado</v>
      </c>
      <c r="G110" s="6" t="str">
        <f>VLOOKUP(Tabla138[[#This Row],[ID_PARTIDO]],Original!$AT$1:$AY$46,5,FALSE)</f>
        <v xml:space="preserve">Santiago Gutiérrez de Piñeres Barbosa  </v>
      </c>
      <c r="H110" t="s">
        <v>7</v>
      </c>
      <c r="I110" t="s">
        <v>14</v>
      </c>
      <c r="J110" t="s">
        <v>14</v>
      </c>
      <c r="K110" t="s">
        <v>7</v>
      </c>
      <c r="L110">
        <v>1</v>
      </c>
      <c r="M110">
        <v>0</v>
      </c>
    </row>
    <row r="111" spans="1:13">
      <c r="A111">
        <v>22</v>
      </c>
      <c r="B111">
        <v>2</v>
      </c>
      <c r="C111">
        <v>3</v>
      </c>
      <c r="D111" s="6" t="str">
        <f>VLOOKUP(Tabla138[[#This Row],[ID_PARTIDO]],Original!$AT$1:$AY$46,2,FALSE)</f>
        <v xml:space="preserve">Juliana Beltrán Díaz </v>
      </c>
      <c r="E111" s="6" t="str">
        <f>VLOOKUP(Tabla138[[#This Row],[ID_PARTIDO]],Original!$AT$1:$AY$46,3,FALSE)</f>
        <v>Valentina Jimenez Gomez</v>
      </c>
      <c r="F111" s="6" t="str">
        <f>VLOOKUP(Tabla138[[#This Row],[ID_PARTIDO]],Original!$AT$1:$AY$46,4,FALSE)</f>
        <v>Isabella Buitrago Hurtado</v>
      </c>
      <c r="G111" s="6" t="str">
        <f>VLOOKUP(Tabla138[[#This Row],[ID_PARTIDO]],Original!$AT$1:$AY$46,5,FALSE)</f>
        <v xml:space="preserve">Santiago Gutiérrez de Piñeres Barbosa  </v>
      </c>
      <c r="H111" t="s">
        <v>7</v>
      </c>
      <c r="I111" t="s">
        <v>14</v>
      </c>
      <c r="J111" t="s">
        <v>14</v>
      </c>
      <c r="K111" t="s">
        <v>7</v>
      </c>
      <c r="L111">
        <v>1</v>
      </c>
      <c r="M111">
        <v>0</v>
      </c>
    </row>
    <row r="112" spans="1:13">
      <c r="A112">
        <v>22</v>
      </c>
      <c r="B112">
        <v>2</v>
      </c>
      <c r="C112">
        <v>4</v>
      </c>
      <c r="D112" s="6" t="str">
        <f>VLOOKUP(Tabla138[[#This Row],[ID_PARTIDO]],Original!$AT$1:$AY$46,2,FALSE)</f>
        <v xml:space="preserve">Juliana Beltrán Díaz </v>
      </c>
      <c r="E112" s="6" t="str">
        <f>VLOOKUP(Tabla138[[#This Row],[ID_PARTIDO]],Original!$AT$1:$AY$46,3,FALSE)</f>
        <v>Valentina Jimenez Gomez</v>
      </c>
      <c r="F112" s="6" t="str">
        <f>VLOOKUP(Tabla138[[#This Row],[ID_PARTIDO]],Original!$AT$1:$AY$46,4,FALSE)</f>
        <v>Isabella Buitrago Hurtado</v>
      </c>
      <c r="G112" s="6" t="str">
        <f>VLOOKUP(Tabla138[[#This Row],[ID_PARTIDO]],Original!$AT$1:$AY$46,5,FALSE)</f>
        <v xml:space="preserve">Santiago Gutiérrez de Piñeres Barbosa  </v>
      </c>
      <c r="H112" t="s">
        <v>7</v>
      </c>
      <c r="I112" t="s">
        <v>14</v>
      </c>
      <c r="J112" t="s">
        <v>14</v>
      </c>
      <c r="K112" t="s">
        <v>7</v>
      </c>
      <c r="L112">
        <v>1</v>
      </c>
      <c r="M112">
        <v>0</v>
      </c>
    </row>
    <row r="113" spans="1:13">
      <c r="A113">
        <v>22</v>
      </c>
      <c r="B113">
        <v>2</v>
      </c>
      <c r="C113">
        <v>5</v>
      </c>
      <c r="D113" s="6" t="str">
        <f>VLOOKUP(Tabla138[[#This Row],[ID_PARTIDO]],Original!$AT$1:$AY$46,2,FALSE)</f>
        <v xml:space="preserve">Juliana Beltrán Díaz </v>
      </c>
      <c r="E113" s="6" t="str">
        <f>VLOOKUP(Tabla138[[#This Row],[ID_PARTIDO]],Original!$AT$1:$AY$46,3,FALSE)</f>
        <v>Valentina Jimenez Gomez</v>
      </c>
      <c r="F113" s="6" t="str">
        <f>VLOOKUP(Tabla138[[#This Row],[ID_PARTIDO]],Original!$AT$1:$AY$46,4,FALSE)</f>
        <v>Isabella Buitrago Hurtado</v>
      </c>
      <c r="G113" s="6" t="str">
        <f>VLOOKUP(Tabla138[[#This Row],[ID_PARTIDO]],Original!$AT$1:$AY$46,5,FALSE)</f>
        <v xml:space="preserve">Santiago Gutiérrez de Piñeres Barbosa  </v>
      </c>
      <c r="H113" t="s">
        <v>7</v>
      </c>
      <c r="I113" t="s">
        <v>14</v>
      </c>
      <c r="J113" t="s">
        <v>14</v>
      </c>
      <c r="K113" t="s">
        <v>7</v>
      </c>
      <c r="L113">
        <v>0</v>
      </c>
      <c r="M113">
        <v>1</v>
      </c>
    </row>
    <row r="114" spans="1:13">
      <c r="A114">
        <v>22</v>
      </c>
      <c r="B114">
        <v>2</v>
      </c>
      <c r="C114">
        <v>6</v>
      </c>
      <c r="D114" s="6" t="str">
        <f>VLOOKUP(Tabla138[[#This Row],[ID_PARTIDO]],Original!$AT$1:$AY$46,2,FALSE)</f>
        <v xml:space="preserve">Juliana Beltrán Díaz </v>
      </c>
      <c r="E114" s="6" t="str">
        <f>VLOOKUP(Tabla138[[#This Row],[ID_PARTIDO]],Original!$AT$1:$AY$46,3,FALSE)</f>
        <v>Valentina Jimenez Gomez</v>
      </c>
      <c r="F114" s="6" t="str">
        <f>VLOOKUP(Tabla138[[#This Row],[ID_PARTIDO]],Original!$AT$1:$AY$46,4,FALSE)</f>
        <v>Isabella Buitrago Hurtado</v>
      </c>
      <c r="G114" s="6" t="str">
        <f>VLOOKUP(Tabla138[[#This Row],[ID_PARTIDO]],Original!$AT$1:$AY$46,5,FALSE)</f>
        <v xml:space="preserve">Santiago Gutiérrez de Piñeres Barbosa  </v>
      </c>
      <c r="H114" t="s">
        <v>7</v>
      </c>
      <c r="I114" t="s">
        <v>14</v>
      </c>
      <c r="J114" t="s">
        <v>14</v>
      </c>
      <c r="K114" t="s">
        <v>7</v>
      </c>
      <c r="L114">
        <v>0</v>
      </c>
      <c r="M114">
        <v>1</v>
      </c>
    </row>
    <row r="115" spans="1:13">
      <c r="A115">
        <v>22</v>
      </c>
      <c r="B115">
        <v>2</v>
      </c>
      <c r="C115">
        <v>7</v>
      </c>
      <c r="D115" s="6" t="str">
        <f>VLOOKUP(Tabla138[[#This Row],[ID_PARTIDO]],Original!$AT$1:$AY$46,2,FALSE)</f>
        <v xml:space="preserve">Juliana Beltrán Díaz </v>
      </c>
      <c r="E115" s="6" t="str">
        <f>VLOOKUP(Tabla138[[#This Row],[ID_PARTIDO]],Original!$AT$1:$AY$46,3,FALSE)</f>
        <v>Valentina Jimenez Gomez</v>
      </c>
      <c r="F115" s="6" t="str">
        <f>VLOOKUP(Tabla138[[#This Row],[ID_PARTIDO]],Original!$AT$1:$AY$46,4,FALSE)</f>
        <v>Isabella Buitrago Hurtado</v>
      </c>
      <c r="G115" s="6" t="str">
        <f>VLOOKUP(Tabla138[[#This Row],[ID_PARTIDO]],Original!$AT$1:$AY$46,5,FALSE)</f>
        <v xml:space="preserve">Santiago Gutiérrez de Piñeres Barbosa  </v>
      </c>
      <c r="H115" t="s">
        <v>7</v>
      </c>
      <c r="I115" t="s">
        <v>14</v>
      </c>
      <c r="J115" t="s">
        <v>14</v>
      </c>
      <c r="K115" t="s">
        <v>7</v>
      </c>
      <c r="L115">
        <v>1</v>
      </c>
      <c r="M115">
        <v>0</v>
      </c>
    </row>
    <row r="116" spans="1:13">
      <c r="A116">
        <v>22</v>
      </c>
      <c r="B116">
        <v>2</v>
      </c>
      <c r="C116">
        <v>8</v>
      </c>
      <c r="D116" s="6" t="str">
        <f>VLOOKUP(Tabla138[[#This Row],[ID_PARTIDO]],Original!$AT$1:$AY$46,2,FALSE)</f>
        <v xml:space="preserve">Juliana Beltrán Díaz </v>
      </c>
      <c r="E116" s="6" t="str">
        <f>VLOOKUP(Tabla138[[#This Row],[ID_PARTIDO]],Original!$AT$1:$AY$46,3,FALSE)</f>
        <v>Valentina Jimenez Gomez</v>
      </c>
      <c r="F116" s="6" t="str">
        <f>VLOOKUP(Tabla138[[#This Row],[ID_PARTIDO]],Original!$AT$1:$AY$46,4,FALSE)</f>
        <v>Isabella Buitrago Hurtado</v>
      </c>
      <c r="G116" s="6" t="str">
        <f>VLOOKUP(Tabla138[[#This Row],[ID_PARTIDO]],Original!$AT$1:$AY$46,5,FALSE)</f>
        <v xml:space="preserve">Santiago Gutiérrez de Piñeres Barbosa  </v>
      </c>
      <c r="H116" t="s">
        <v>7</v>
      </c>
      <c r="I116" t="s">
        <v>14</v>
      </c>
      <c r="J116" t="s">
        <v>14</v>
      </c>
      <c r="K116" t="s">
        <v>7</v>
      </c>
      <c r="L116">
        <v>0</v>
      </c>
      <c r="M116">
        <v>1</v>
      </c>
    </row>
    <row r="117" spans="1:13">
      <c r="A117">
        <v>22</v>
      </c>
      <c r="B117">
        <v>2</v>
      </c>
      <c r="C117">
        <v>9</v>
      </c>
      <c r="D117" s="6" t="str">
        <f>VLOOKUP(Tabla138[[#This Row],[ID_PARTIDO]],Original!$AT$1:$AY$46,2,FALSE)</f>
        <v xml:space="preserve">Juliana Beltrán Díaz </v>
      </c>
      <c r="E117" s="6" t="str">
        <f>VLOOKUP(Tabla138[[#This Row],[ID_PARTIDO]],Original!$AT$1:$AY$46,3,FALSE)</f>
        <v>Valentina Jimenez Gomez</v>
      </c>
      <c r="F117" s="6" t="str">
        <f>VLOOKUP(Tabla138[[#This Row],[ID_PARTIDO]],Original!$AT$1:$AY$46,4,FALSE)</f>
        <v>Isabella Buitrago Hurtado</v>
      </c>
      <c r="G117" s="6" t="str">
        <f>VLOOKUP(Tabla138[[#This Row],[ID_PARTIDO]],Original!$AT$1:$AY$46,5,FALSE)</f>
        <v xml:space="preserve">Santiago Gutiérrez de Piñeres Barbosa  </v>
      </c>
      <c r="H117" t="s">
        <v>7</v>
      </c>
      <c r="I117" t="s">
        <v>14</v>
      </c>
      <c r="J117" t="s">
        <v>14</v>
      </c>
      <c r="K117" t="s">
        <v>7</v>
      </c>
      <c r="L117">
        <v>0</v>
      </c>
      <c r="M117">
        <v>1</v>
      </c>
    </row>
    <row r="118" spans="1:13">
      <c r="A118">
        <v>22</v>
      </c>
      <c r="B118">
        <v>2</v>
      </c>
      <c r="C118">
        <v>10</v>
      </c>
      <c r="D118" s="6" t="str">
        <f>VLOOKUP(Tabla138[[#This Row],[ID_PARTIDO]],Original!$AT$1:$AY$46,2,FALSE)</f>
        <v xml:space="preserve">Juliana Beltrán Díaz </v>
      </c>
      <c r="E118" s="6" t="str">
        <f>VLOOKUP(Tabla138[[#This Row],[ID_PARTIDO]],Original!$AT$1:$AY$46,3,FALSE)</f>
        <v>Valentina Jimenez Gomez</v>
      </c>
      <c r="F118" s="6" t="str">
        <f>VLOOKUP(Tabla138[[#This Row],[ID_PARTIDO]],Original!$AT$1:$AY$46,4,FALSE)</f>
        <v>Isabella Buitrago Hurtado</v>
      </c>
      <c r="G118" s="6" t="str">
        <f>VLOOKUP(Tabla138[[#This Row],[ID_PARTIDO]],Original!$AT$1:$AY$46,5,FALSE)</f>
        <v xml:space="preserve">Santiago Gutiérrez de Piñeres Barbosa  </v>
      </c>
      <c r="H118" t="s">
        <v>7</v>
      </c>
      <c r="I118" t="s">
        <v>14</v>
      </c>
      <c r="J118" t="s">
        <v>14</v>
      </c>
      <c r="K118" t="s">
        <v>7</v>
      </c>
      <c r="L118">
        <v>0</v>
      </c>
      <c r="M118">
        <v>1</v>
      </c>
    </row>
    <row r="119" spans="1:13">
      <c r="A119">
        <v>22</v>
      </c>
      <c r="B119">
        <v>2</v>
      </c>
      <c r="C119">
        <v>11</v>
      </c>
      <c r="D119" s="6" t="str">
        <f>VLOOKUP(Tabla138[[#This Row],[ID_PARTIDO]],Original!$AT$1:$AY$46,2,FALSE)</f>
        <v xml:space="preserve">Juliana Beltrán Díaz </v>
      </c>
      <c r="E119" s="6" t="str">
        <f>VLOOKUP(Tabla138[[#This Row],[ID_PARTIDO]],Original!$AT$1:$AY$46,3,FALSE)</f>
        <v>Valentina Jimenez Gomez</v>
      </c>
      <c r="F119" s="6" t="str">
        <f>VLOOKUP(Tabla138[[#This Row],[ID_PARTIDO]],Original!$AT$1:$AY$46,4,FALSE)</f>
        <v>Isabella Buitrago Hurtado</v>
      </c>
      <c r="G119" s="6" t="str">
        <f>VLOOKUP(Tabla138[[#This Row],[ID_PARTIDO]],Original!$AT$1:$AY$46,5,FALSE)</f>
        <v xml:space="preserve">Santiago Gutiérrez de Piñeres Barbosa  </v>
      </c>
      <c r="H119" t="s">
        <v>7</v>
      </c>
      <c r="I119" t="s">
        <v>14</v>
      </c>
      <c r="J119" t="s">
        <v>14</v>
      </c>
      <c r="K119" t="s">
        <v>7</v>
      </c>
      <c r="L119">
        <v>0</v>
      </c>
      <c r="M119">
        <v>1</v>
      </c>
    </row>
    <row r="120" spans="1:13">
      <c r="A120">
        <v>22</v>
      </c>
      <c r="B120">
        <v>2</v>
      </c>
      <c r="C120">
        <v>12</v>
      </c>
      <c r="D120" s="6" t="str">
        <f>VLOOKUP(Tabla138[[#This Row],[ID_PARTIDO]],Original!$AT$1:$AY$46,2,FALSE)</f>
        <v xml:space="preserve">Juliana Beltrán Díaz </v>
      </c>
      <c r="E120" s="6" t="str">
        <f>VLOOKUP(Tabla138[[#This Row],[ID_PARTIDO]],Original!$AT$1:$AY$46,3,FALSE)</f>
        <v>Valentina Jimenez Gomez</v>
      </c>
      <c r="F120" s="6" t="str">
        <f>VLOOKUP(Tabla138[[#This Row],[ID_PARTIDO]],Original!$AT$1:$AY$46,4,FALSE)</f>
        <v>Isabella Buitrago Hurtado</v>
      </c>
      <c r="G120" s="6" t="str">
        <f>VLOOKUP(Tabla138[[#This Row],[ID_PARTIDO]],Original!$AT$1:$AY$46,5,FALSE)</f>
        <v xml:space="preserve">Santiago Gutiérrez de Piñeres Barbosa  </v>
      </c>
      <c r="H120" t="s">
        <v>7</v>
      </c>
      <c r="I120" t="s">
        <v>14</v>
      </c>
      <c r="J120" t="s">
        <v>14</v>
      </c>
      <c r="K120" t="s">
        <v>7</v>
      </c>
      <c r="L120">
        <v>1</v>
      </c>
      <c r="M120">
        <v>0</v>
      </c>
    </row>
    <row r="121" spans="1:13">
      <c r="A121">
        <v>22</v>
      </c>
      <c r="B121">
        <v>2</v>
      </c>
      <c r="C121">
        <v>13</v>
      </c>
      <c r="D121" s="6" t="str">
        <f>VLOOKUP(Tabla138[[#This Row],[ID_PARTIDO]],Original!$AT$1:$AY$46,2,FALSE)</f>
        <v xml:space="preserve">Juliana Beltrán Díaz </v>
      </c>
      <c r="E121" s="6" t="str">
        <f>VLOOKUP(Tabla138[[#This Row],[ID_PARTIDO]],Original!$AT$1:$AY$46,3,FALSE)</f>
        <v>Valentina Jimenez Gomez</v>
      </c>
      <c r="F121" s="6" t="str">
        <f>VLOOKUP(Tabla138[[#This Row],[ID_PARTIDO]],Original!$AT$1:$AY$46,4,FALSE)</f>
        <v>Isabella Buitrago Hurtado</v>
      </c>
      <c r="G121" s="6" t="str">
        <f>VLOOKUP(Tabla138[[#This Row],[ID_PARTIDO]],Original!$AT$1:$AY$46,5,FALSE)</f>
        <v xml:space="preserve">Santiago Gutiérrez de Piñeres Barbosa  </v>
      </c>
      <c r="H121" t="s">
        <v>7</v>
      </c>
      <c r="I121" t="s">
        <v>14</v>
      </c>
      <c r="J121" t="s">
        <v>14</v>
      </c>
      <c r="K121" t="s">
        <v>7</v>
      </c>
      <c r="L121">
        <v>0</v>
      </c>
      <c r="M121">
        <v>1</v>
      </c>
    </row>
    <row r="122" spans="1:13">
      <c r="A122">
        <v>24</v>
      </c>
      <c r="B122">
        <v>2</v>
      </c>
      <c r="C122">
        <v>1</v>
      </c>
      <c r="D122" s="6" t="str">
        <f>VLOOKUP(Tabla138[[#This Row],[ID_PARTIDO]],Original!$AT$1:$AY$46,2,FALSE)</f>
        <v>Santiago Urrego Rodríguez</v>
      </c>
      <c r="E122" s="6" t="str">
        <f>VLOOKUP(Tabla138[[#This Row],[ID_PARTIDO]],Original!$AT$1:$AY$46,3,FALSE)</f>
        <v>Jorge Enrique Lugo Lopez</v>
      </c>
      <c r="F122" s="6" t="str">
        <f>VLOOKUP(Tabla138[[#This Row],[ID_PARTIDO]],Original!$AT$1:$AY$46,4,FALSE)</f>
        <v>César Camilo Díaz Cufiño</v>
      </c>
      <c r="G122" s="6" t="str">
        <f>VLOOKUP(Tabla138[[#This Row],[ID_PARTIDO]],Original!$AT$1:$AY$46,5,FALSE)</f>
        <v>Valentina Jimenez Gomez</v>
      </c>
      <c r="H122" t="s">
        <v>14</v>
      </c>
      <c r="I122" t="s">
        <v>7</v>
      </c>
      <c r="J122" t="s">
        <v>14</v>
      </c>
      <c r="K122" t="s">
        <v>7</v>
      </c>
      <c r="L122">
        <v>0</v>
      </c>
      <c r="M122">
        <v>1</v>
      </c>
    </row>
    <row r="123" spans="1:13">
      <c r="A123">
        <v>24</v>
      </c>
      <c r="B123">
        <v>2</v>
      </c>
      <c r="C123">
        <v>2</v>
      </c>
      <c r="D123" s="6" t="str">
        <f>VLOOKUP(Tabla138[[#This Row],[ID_PARTIDO]],Original!$AT$1:$AY$46,2,FALSE)</f>
        <v>Santiago Urrego Rodríguez</v>
      </c>
      <c r="E123" s="6" t="str">
        <f>VLOOKUP(Tabla138[[#This Row],[ID_PARTIDO]],Original!$AT$1:$AY$46,3,FALSE)</f>
        <v>Jorge Enrique Lugo Lopez</v>
      </c>
      <c r="F123" s="6" t="str">
        <f>VLOOKUP(Tabla138[[#This Row],[ID_PARTIDO]],Original!$AT$1:$AY$46,4,FALSE)</f>
        <v>César Camilo Díaz Cufiño</v>
      </c>
      <c r="G123" s="6" t="str">
        <f>VLOOKUP(Tabla138[[#This Row],[ID_PARTIDO]],Original!$AT$1:$AY$46,5,FALSE)</f>
        <v>Valentina Jimenez Gomez</v>
      </c>
      <c r="H123" t="s">
        <v>14</v>
      </c>
      <c r="I123" t="s">
        <v>7</v>
      </c>
      <c r="J123" t="s">
        <v>14</v>
      </c>
      <c r="K123" t="s">
        <v>7</v>
      </c>
      <c r="L123">
        <v>1</v>
      </c>
      <c r="M123">
        <v>0</v>
      </c>
    </row>
    <row r="124" spans="1:13">
      <c r="A124">
        <v>24</v>
      </c>
      <c r="B124">
        <v>2</v>
      </c>
      <c r="C124">
        <v>3</v>
      </c>
      <c r="D124" s="6" t="str">
        <f>VLOOKUP(Tabla138[[#This Row],[ID_PARTIDO]],Original!$AT$1:$AY$46,2,FALSE)</f>
        <v>Santiago Urrego Rodríguez</v>
      </c>
      <c r="E124" s="6" t="str">
        <f>VLOOKUP(Tabla138[[#This Row],[ID_PARTIDO]],Original!$AT$1:$AY$46,3,FALSE)</f>
        <v>Jorge Enrique Lugo Lopez</v>
      </c>
      <c r="F124" s="6" t="str">
        <f>VLOOKUP(Tabla138[[#This Row],[ID_PARTIDO]],Original!$AT$1:$AY$46,4,FALSE)</f>
        <v>César Camilo Díaz Cufiño</v>
      </c>
      <c r="G124" s="6" t="str">
        <f>VLOOKUP(Tabla138[[#This Row],[ID_PARTIDO]],Original!$AT$1:$AY$46,5,FALSE)</f>
        <v>Valentina Jimenez Gomez</v>
      </c>
      <c r="H124" t="s">
        <v>14</v>
      </c>
      <c r="I124" t="s">
        <v>7</v>
      </c>
      <c r="J124" t="s">
        <v>14</v>
      </c>
      <c r="K124" t="s">
        <v>7</v>
      </c>
      <c r="L124">
        <v>0</v>
      </c>
      <c r="M124">
        <v>1</v>
      </c>
    </row>
    <row r="125" spans="1:13">
      <c r="A125">
        <v>24</v>
      </c>
      <c r="B125">
        <v>2</v>
      </c>
      <c r="C125">
        <v>4</v>
      </c>
      <c r="D125" s="6" t="str">
        <f>VLOOKUP(Tabla138[[#This Row],[ID_PARTIDO]],Original!$AT$1:$AY$46,2,FALSE)</f>
        <v>Santiago Urrego Rodríguez</v>
      </c>
      <c r="E125" s="6" t="str">
        <f>VLOOKUP(Tabla138[[#This Row],[ID_PARTIDO]],Original!$AT$1:$AY$46,3,FALSE)</f>
        <v>Jorge Enrique Lugo Lopez</v>
      </c>
      <c r="F125" s="6" t="str">
        <f>VLOOKUP(Tabla138[[#This Row],[ID_PARTIDO]],Original!$AT$1:$AY$46,4,FALSE)</f>
        <v>César Camilo Díaz Cufiño</v>
      </c>
      <c r="G125" s="6" t="str">
        <f>VLOOKUP(Tabla138[[#This Row],[ID_PARTIDO]],Original!$AT$1:$AY$46,5,FALSE)</f>
        <v>Valentina Jimenez Gomez</v>
      </c>
      <c r="H125" t="s">
        <v>14</v>
      </c>
      <c r="I125" t="s">
        <v>7</v>
      </c>
      <c r="J125" t="s">
        <v>14</v>
      </c>
      <c r="K125" t="s">
        <v>7</v>
      </c>
      <c r="L125">
        <v>1</v>
      </c>
      <c r="M125">
        <v>0</v>
      </c>
    </row>
    <row r="126" spans="1:13">
      <c r="A126">
        <v>24</v>
      </c>
      <c r="B126">
        <v>2</v>
      </c>
      <c r="C126">
        <v>5</v>
      </c>
      <c r="D126" s="6" t="str">
        <f>VLOOKUP(Tabla138[[#This Row],[ID_PARTIDO]],Original!$AT$1:$AY$46,2,FALSE)</f>
        <v>Santiago Urrego Rodríguez</v>
      </c>
      <c r="E126" s="6" t="str">
        <f>VLOOKUP(Tabla138[[#This Row],[ID_PARTIDO]],Original!$AT$1:$AY$46,3,FALSE)</f>
        <v>Jorge Enrique Lugo Lopez</v>
      </c>
      <c r="F126" s="6" t="str">
        <f>VLOOKUP(Tabla138[[#This Row],[ID_PARTIDO]],Original!$AT$1:$AY$46,4,FALSE)</f>
        <v>César Camilo Díaz Cufiño</v>
      </c>
      <c r="G126" s="6" t="str">
        <f>VLOOKUP(Tabla138[[#This Row],[ID_PARTIDO]],Original!$AT$1:$AY$46,5,FALSE)</f>
        <v>Valentina Jimenez Gomez</v>
      </c>
      <c r="H126" t="s">
        <v>14</v>
      </c>
      <c r="I126" t="s">
        <v>7</v>
      </c>
      <c r="J126" t="s">
        <v>14</v>
      </c>
      <c r="K126" t="s">
        <v>7</v>
      </c>
      <c r="L126">
        <v>0</v>
      </c>
      <c r="M126">
        <v>1</v>
      </c>
    </row>
    <row r="127" spans="1:13">
      <c r="A127">
        <v>24</v>
      </c>
      <c r="B127">
        <v>2</v>
      </c>
      <c r="C127">
        <v>6</v>
      </c>
      <c r="D127" s="6" t="str">
        <f>VLOOKUP(Tabla138[[#This Row],[ID_PARTIDO]],Original!$AT$1:$AY$46,2,FALSE)</f>
        <v>Santiago Urrego Rodríguez</v>
      </c>
      <c r="E127" s="6" t="str">
        <f>VLOOKUP(Tabla138[[#This Row],[ID_PARTIDO]],Original!$AT$1:$AY$46,3,FALSE)</f>
        <v>Jorge Enrique Lugo Lopez</v>
      </c>
      <c r="F127" s="6" t="str">
        <f>VLOOKUP(Tabla138[[#This Row],[ID_PARTIDO]],Original!$AT$1:$AY$46,4,FALSE)</f>
        <v>César Camilo Díaz Cufiño</v>
      </c>
      <c r="G127" s="6" t="str">
        <f>VLOOKUP(Tabla138[[#This Row],[ID_PARTIDO]],Original!$AT$1:$AY$46,5,FALSE)</f>
        <v>Valentina Jimenez Gomez</v>
      </c>
      <c r="H127" t="s">
        <v>14</v>
      </c>
      <c r="I127" t="s">
        <v>7</v>
      </c>
      <c r="J127" t="s">
        <v>14</v>
      </c>
      <c r="K127" t="s">
        <v>7</v>
      </c>
      <c r="L127">
        <v>0</v>
      </c>
      <c r="M127">
        <v>1</v>
      </c>
    </row>
    <row r="128" spans="1:13">
      <c r="A128">
        <v>24</v>
      </c>
      <c r="B128">
        <v>2</v>
      </c>
      <c r="C128">
        <v>7</v>
      </c>
      <c r="D128" s="6" t="str">
        <f>VLOOKUP(Tabla138[[#This Row],[ID_PARTIDO]],Original!$AT$1:$AY$46,2,FALSE)</f>
        <v>Santiago Urrego Rodríguez</v>
      </c>
      <c r="E128" s="6" t="str">
        <f>VLOOKUP(Tabla138[[#This Row],[ID_PARTIDO]],Original!$AT$1:$AY$46,3,FALSE)</f>
        <v>Jorge Enrique Lugo Lopez</v>
      </c>
      <c r="F128" s="6" t="str">
        <f>VLOOKUP(Tabla138[[#This Row],[ID_PARTIDO]],Original!$AT$1:$AY$46,4,FALSE)</f>
        <v>César Camilo Díaz Cufiño</v>
      </c>
      <c r="G128" s="6" t="str">
        <f>VLOOKUP(Tabla138[[#This Row],[ID_PARTIDO]],Original!$AT$1:$AY$46,5,FALSE)</f>
        <v>Valentina Jimenez Gomez</v>
      </c>
      <c r="H128" t="s">
        <v>14</v>
      </c>
      <c r="I128" t="s">
        <v>7</v>
      </c>
      <c r="J128" t="s">
        <v>14</v>
      </c>
      <c r="K128" t="s">
        <v>7</v>
      </c>
      <c r="L128">
        <v>0</v>
      </c>
      <c r="M128">
        <v>1</v>
      </c>
    </row>
    <row r="129" spans="1:13">
      <c r="A129">
        <v>24</v>
      </c>
      <c r="B129">
        <v>2</v>
      </c>
      <c r="C129">
        <v>8</v>
      </c>
      <c r="D129" s="6" t="str">
        <f>VLOOKUP(Tabla138[[#This Row],[ID_PARTIDO]],Original!$AT$1:$AY$46,2,FALSE)</f>
        <v>Santiago Urrego Rodríguez</v>
      </c>
      <c r="E129" s="6" t="str">
        <f>VLOOKUP(Tabla138[[#This Row],[ID_PARTIDO]],Original!$AT$1:$AY$46,3,FALSE)</f>
        <v>Jorge Enrique Lugo Lopez</v>
      </c>
      <c r="F129" s="6" t="str">
        <f>VLOOKUP(Tabla138[[#This Row],[ID_PARTIDO]],Original!$AT$1:$AY$46,4,FALSE)</f>
        <v>César Camilo Díaz Cufiño</v>
      </c>
      <c r="G129" s="6" t="str">
        <f>VLOOKUP(Tabla138[[#This Row],[ID_PARTIDO]],Original!$AT$1:$AY$46,5,FALSE)</f>
        <v>Valentina Jimenez Gomez</v>
      </c>
      <c r="H129" t="s">
        <v>14</v>
      </c>
      <c r="I129" t="s">
        <v>7</v>
      </c>
      <c r="J129" t="s">
        <v>14</v>
      </c>
      <c r="K129" t="s">
        <v>7</v>
      </c>
      <c r="L129">
        <v>0</v>
      </c>
      <c r="M129">
        <v>1</v>
      </c>
    </row>
    <row r="130" spans="1:13">
      <c r="A130">
        <v>24</v>
      </c>
      <c r="B130">
        <v>2</v>
      </c>
      <c r="C130">
        <v>9</v>
      </c>
      <c r="D130" s="6" t="str">
        <f>VLOOKUP(Tabla138[[#This Row],[ID_PARTIDO]],Original!$AT$1:$AY$46,2,FALSE)</f>
        <v>Santiago Urrego Rodríguez</v>
      </c>
      <c r="E130" s="6" t="str">
        <f>VLOOKUP(Tabla138[[#This Row],[ID_PARTIDO]],Original!$AT$1:$AY$46,3,FALSE)</f>
        <v>Jorge Enrique Lugo Lopez</v>
      </c>
      <c r="F130" s="6" t="str">
        <f>VLOOKUP(Tabla138[[#This Row],[ID_PARTIDO]],Original!$AT$1:$AY$46,4,FALSE)</f>
        <v>César Camilo Díaz Cufiño</v>
      </c>
      <c r="G130" s="6" t="str">
        <f>VLOOKUP(Tabla138[[#This Row],[ID_PARTIDO]],Original!$AT$1:$AY$46,5,FALSE)</f>
        <v>Valentina Jimenez Gomez</v>
      </c>
      <c r="H130" t="s">
        <v>14</v>
      </c>
      <c r="I130" t="s">
        <v>7</v>
      </c>
      <c r="J130" t="s">
        <v>14</v>
      </c>
      <c r="K130" t="s">
        <v>7</v>
      </c>
      <c r="L130">
        <v>1</v>
      </c>
      <c r="M130">
        <v>0</v>
      </c>
    </row>
    <row r="131" spans="1:13">
      <c r="A131">
        <v>24</v>
      </c>
      <c r="B131">
        <v>2</v>
      </c>
      <c r="C131">
        <v>10</v>
      </c>
      <c r="D131" s="6" t="str">
        <f>VLOOKUP(Tabla138[[#This Row],[ID_PARTIDO]],Original!$AT$1:$AY$46,2,FALSE)</f>
        <v>Santiago Urrego Rodríguez</v>
      </c>
      <c r="E131" s="6" t="str">
        <f>VLOOKUP(Tabla138[[#This Row],[ID_PARTIDO]],Original!$AT$1:$AY$46,3,FALSE)</f>
        <v>Jorge Enrique Lugo Lopez</v>
      </c>
      <c r="F131" s="6" t="str">
        <f>VLOOKUP(Tabla138[[#This Row],[ID_PARTIDO]],Original!$AT$1:$AY$46,4,FALSE)</f>
        <v>César Camilo Díaz Cufiño</v>
      </c>
      <c r="G131" s="6" t="str">
        <f>VLOOKUP(Tabla138[[#This Row],[ID_PARTIDO]],Original!$AT$1:$AY$46,5,FALSE)</f>
        <v>Valentina Jimenez Gomez</v>
      </c>
      <c r="H131" t="s">
        <v>14</v>
      </c>
      <c r="I131" t="s">
        <v>7</v>
      </c>
      <c r="J131" t="s">
        <v>14</v>
      </c>
      <c r="K131" t="s">
        <v>7</v>
      </c>
      <c r="L131">
        <v>1</v>
      </c>
      <c r="M131">
        <v>0</v>
      </c>
    </row>
    <row r="132" spans="1:13">
      <c r="A132">
        <v>24</v>
      </c>
      <c r="B132">
        <v>2</v>
      </c>
      <c r="C132">
        <v>11</v>
      </c>
      <c r="D132" s="6" t="str">
        <f>VLOOKUP(Tabla138[[#This Row],[ID_PARTIDO]],Original!$AT$1:$AY$46,2,FALSE)</f>
        <v>Santiago Urrego Rodríguez</v>
      </c>
      <c r="E132" s="6" t="str">
        <f>VLOOKUP(Tabla138[[#This Row],[ID_PARTIDO]],Original!$AT$1:$AY$46,3,FALSE)</f>
        <v>Jorge Enrique Lugo Lopez</v>
      </c>
      <c r="F132" s="6" t="str">
        <f>VLOOKUP(Tabla138[[#This Row],[ID_PARTIDO]],Original!$AT$1:$AY$46,4,FALSE)</f>
        <v>César Camilo Díaz Cufiño</v>
      </c>
      <c r="G132" s="6" t="str">
        <f>VLOOKUP(Tabla138[[#This Row],[ID_PARTIDO]],Original!$AT$1:$AY$46,5,FALSE)</f>
        <v>Valentina Jimenez Gomez</v>
      </c>
      <c r="H132" t="s">
        <v>14</v>
      </c>
      <c r="I132" t="s">
        <v>7</v>
      </c>
      <c r="J132" t="s">
        <v>14</v>
      </c>
      <c r="K132" t="s">
        <v>7</v>
      </c>
      <c r="L132">
        <v>0</v>
      </c>
      <c r="M132">
        <v>1</v>
      </c>
    </row>
    <row r="133" spans="1:13">
      <c r="A133">
        <v>26</v>
      </c>
      <c r="B133">
        <v>2</v>
      </c>
      <c r="C133">
        <v>1</v>
      </c>
      <c r="D133" s="6" t="str">
        <f>VLOOKUP(Tabla138[[#This Row],[ID_PARTIDO]],Original!$AT$1:$AY$46,2,FALSE)</f>
        <v xml:space="preserve">Daniel Gutierrez </v>
      </c>
      <c r="E133" s="6" t="str">
        <f>VLOOKUP(Tabla138[[#This Row],[ID_PARTIDO]],Original!$AT$1:$AY$46,3,FALSE)</f>
        <v>Isabella Buitrago Hurtado</v>
      </c>
      <c r="F133" s="6" t="str">
        <f>VLOOKUP(Tabla138[[#This Row],[ID_PARTIDO]],Original!$AT$1:$AY$46,4,FALSE)</f>
        <v>Tomas Barrios Guevara</v>
      </c>
      <c r="G133" s="6" t="str">
        <f>VLOOKUP(Tabla138[[#This Row],[ID_PARTIDO]],Original!$AT$1:$AY$46,5,FALSE)</f>
        <v xml:space="preserve">Nicolas Navarro </v>
      </c>
      <c r="H133" t="s">
        <v>14</v>
      </c>
      <c r="I133" t="s">
        <v>7</v>
      </c>
      <c r="J133" t="s">
        <v>14</v>
      </c>
      <c r="K133" t="s">
        <v>7</v>
      </c>
      <c r="L133">
        <v>0</v>
      </c>
      <c r="M133">
        <v>1</v>
      </c>
    </row>
    <row r="134" spans="1:13">
      <c r="A134">
        <v>26</v>
      </c>
      <c r="B134">
        <v>2</v>
      </c>
      <c r="C134">
        <v>2</v>
      </c>
      <c r="D134" s="6" t="str">
        <f>VLOOKUP(Tabla138[[#This Row],[ID_PARTIDO]],Original!$AT$1:$AY$46,2,FALSE)</f>
        <v xml:space="preserve">Daniel Gutierrez </v>
      </c>
      <c r="E134" s="6" t="str">
        <f>VLOOKUP(Tabla138[[#This Row],[ID_PARTIDO]],Original!$AT$1:$AY$46,3,FALSE)</f>
        <v>Isabella Buitrago Hurtado</v>
      </c>
      <c r="F134" s="6" t="str">
        <f>VLOOKUP(Tabla138[[#This Row],[ID_PARTIDO]],Original!$AT$1:$AY$46,4,FALSE)</f>
        <v>Tomas Barrios Guevara</v>
      </c>
      <c r="G134" s="6" t="str">
        <f>VLOOKUP(Tabla138[[#This Row],[ID_PARTIDO]],Original!$AT$1:$AY$46,5,FALSE)</f>
        <v xml:space="preserve">Nicolas Navarro </v>
      </c>
      <c r="H134" t="s">
        <v>14</v>
      </c>
      <c r="I134" t="s">
        <v>7</v>
      </c>
      <c r="J134" t="s">
        <v>14</v>
      </c>
      <c r="K134" t="s">
        <v>7</v>
      </c>
      <c r="L134">
        <v>0</v>
      </c>
      <c r="M134">
        <v>1</v>
      </c>
    </row>
    <row r="135" spans="1:13">
      <c r="A135">
        <v>26</v>
      </c>
      <c r="B135">
        <v>2</v>
      </c>
      <c r="C135">
        <v>3</v>
      </c>
      <c r="D135" s="6" t="str">
        <f>VLOOKUP(Tabla138[[#This Row],[ID_PARTIDO]],Original!$AT$1:$AY$46,2,FALSE)</f>
        <v xml:space="preserve">Daniel Gutierrez </v>
      </c>
      <c r="E135" s="6" t="str">
        <f>VLOOKUP(Tabla138[[#This Row],[ID_PARTIDO]],Original!$AT$1:$AY$46,3,FALSE)</f>
        <v>Isabella Buitrago Hurtado</v>
      </c>
      <c r="F135" s="6" t="str">
        <f>VLOOKUP(Tabla138[[#This Row],[ID_PARTIDO]],Original!$AT$1:$AY$46,4,FALSE)</f>
        <v>Tomas Barrios Guevara</v>
      </c>
      <c r="G135" s="6" t="str">
        <f>VLOOKUP(Tabla138[[#This Row],[ID_PARTIDO]],Original!$AT$1:$AY$46,5,FALSE)</f>
        <v xml:space="preserve">Nicolas Navarro </v>
      </c>
      <c r="H135" t="s">
        <v>14</v>
      </c>
      <c r="I135" t="s">
        <v>7</v>
      </c>
      <c r="J135" t="s">
        <v>14</v>
      </c>
      <c r="K135" t="s">
        <v>7</v>
      </c>
      <c r="L135">
        <v>0</v>
      </c>
      <c r="M135">
        <v>1</v>
      </c>
    </row>
    <row r="136" spans="1:13">
      <c r="A136">
        <v>26</v>
      </c>
      <c r="B136">
        <v>2</v>
      </c>
      <c r="C136">
        <v>4</v>
      </c>
      <c r="D136" s="6" t="str">
        <f>VLOOKUP(Tabla138[[#This Row],[ID_PARTIDO]],Original!$AT$1:$AY$46,2,FALSE)</f>
        <v xml:space="preserve">Daniel Gutierrez </v>
      </c>
      <c r="E136" s="6" t="str">
        <f>VLOOKUP(Tabla138[[#This Row],[ID_PARTIDO]],Original!$AT$1:$AY$46,3,FALSE)</f>
        <v>Isabella Buitrago Hurtado</v>
      </c>
      <c r="F136" s="6" t="str">
        <f>VLOOKUP(Tabla138[[#This Row],[ID_PARTIDO]],Original!$AT$1:$AY$46,4,FALSE)</f>
        <v>Tomas Barrios Guevara</v>
      </c>
      <c r="G136" s="6" t="str">
        <f>VLOOKUP(Tabla138[[#This Row],[ID_PARTIDO]],Original!$AT$1:$AY$46,5,FALSE)</f>
        <v xml:space="preserve">Nicolas Navarro </v>
      </c>
      <c r="H136" t="s">
        <v>14</v>
      </c>
      <c r="I136" t="s">
        <v>7</v>
      </c>
      <c r="J136" t="s">
        <v>14</v>
      </c>
      <c r="K136" t="s">
        <v>7</v>
      </c>
      <c r="L136">
        <v>0</v>
      </c>
      <c r="M136">
        <v>1</v>
      </c>
    </row>
    <row r="137" spans="1:13">
      <c r="A137">
        <v>26</v>
      </c>
      <c r="B137">
        <v>2</v>
      </c>
      <c r="C137">
        <v>5</v>
      </c>
      <c r="D137" s="6" t="str">
        <f>VLOOKUP(Tabla138[[#This Row],[ID_PARTIDO]],Original!$AT$1:$AY$46,2,FALSE)</f>
        <v xml:space="preserve">Daniel Gutierrez </v>
      </c>
      <c r="E137" s="6" t="str">
        <f>VLOOKUP(Tabla138[[#This Row],[ID_PARTIDO]],Original!$AT$1:$AY$46,3,FALSE)</f>
        <v>Isabella Buitrago Hurtado</v>
      </c>
      <c r="F137" s="6" t="str">
        <f>VLOOKUP(Tabla138[[#This Row],[ID_PARTIDO]],Original!$AT$1:$AY$46,4,FALSE)</f>
        <v>Tomas Barrios Guevara</v>
      </c>
      <c r="G137" s="6" t="str">
        <f>VLOOKUP(Tabla138[[#This Row],[ID_PARTIDO]],Original!$AT$1:$AY$46,5,FALSE)</f>
        <v xml:space="preserve">Nicolas Navarro </v>
      </c>
      <c r="H137" t="s">
        <v>14</v>
      </c>
      <c r="I137" t="s">
        <v>7</v>
      </c>
      <c r="J137" t="s">
        <v>14</v>
      </c>
      <c r="K137" t="s">
        <v>7</v>
      </c>
      <c r="L137">
        <v>0</v>
      </c>
      <c r="M137">
        <v>1</v>
      </c>
    </row>
    <row r="138" spans="1:13">
      <c r="A138">
        <v>26</v>
      </c>
      <c r="B138">
        <v>2</v>
      </c>
      <c r="C138">
        <v>6</v>
      </c>
      <c r="D138" s="6" t="str">
        <f>VLOOKUP(Tabla138[[#This Row],[ID_PARTIDO]],Original!$AT$1:$AY$46,2,FALSE)</f>
        <v xml:space="preserve">Daniel Gutierrez </v>
      </c>
      <c r="E138" s="6" t="str">
        <f>VLOOKUP(Tabla138[[#This Row],[ID_PARTIDO]],Original!$AT$1:$AY$46,3,FALSE)</f>
        <v>Isabella Buitrago Hurtado</v>
      </c>
      <c r="F138" s="6" t="str">
        <f>VLOOKUP(Tabla138[[#This Row],[ID_PARTIDO]],Original!$AT$1:$AY$46,4,FALSE)</f>
        <v>Tomas Barrios Guevara</v>
      </c>
      <c r="G138" s="6" t="str">
        <f>VLOOKUP(Tabla138[[#This Row],[ID_PARTIDO]],Original!$AT$1:$AY$46,5,FALSE)</f>
        <v xml:space="preserve">Nicolas Navarro </v>
      </c>
      <c r="H138" t="s">
        <v>14</v>
      </c>
      <c r="I138" t="s">
        <v>7</v>
      </c>
      <c r="J138" t="s">
        <v>14</v>
      </c>
      <c r="K138" t="s">
        <v>7</v>
      </c>
      <c r="L138">
        <v>1</v>
      </c>
      <c r="M138">
        <v>0</v>
      </c>
    </row>
    <row r="139" spans="1:13">
      <c r="A139">
        <v>26</v>
      </c>
      <c r="B139">
        <v>2</v>
      </c>
      <c r="C139">
        <v>7</v>
      </c>
      <c r="D139" s="6" t="str">
        <f>VLOOKUP(Tabla138[[#This Row],[ID_PARTIDO]],Original!$AT$1:$AY$46,2,FALSE)</f>
        <v xml:space="preserve">Daniel Gutierrez </v>
      </c>
      <c r="E139" s="6" t="str">
        <f>VLOOKUP(Tabla138[[#This Row],[ID_PARTIDO]],Original!$AT$1:$AY$46,3,FALSE)</f>
        <v>Isabella Buitrago Hurtado</v>
      </c>
      <c r="F139" s="6" t="str">
        <f>VLOOKUP(Tabla138[[#This Row],[ID_PARTIDO]],Original!$AT$1:$AY$46,4,FALSE)</f>
        <v>Tomas Barrios Guevara</v>
      </c>
      <c r="G139" s="6" t="str">
        <f>VLOOKUP(Tabla138[[#This Row],[ID_PARTIDO]],Original!$AT$1:$AY$46,5,FALSE)</f>
        <v xml:space="preserve">Nicolas Navarro </v>
      </c>
      <c r="H139" t="s">
        <v>14</v>
      </c>
      <c r="I139" t="s">
        <v>7</v>
      </c>
      <c r="J139" t="s">
        <v>14</v>
      </c>
      <c r="K139" t="s">
        <v>7</v>
      </c>
      <c r="L139">
        <v>1</v>
      </c>
      <c r="M139">
        <v>0</v>
      </c>
    </row>
    <row r="140" spans="1:13">
      <c r="A140">
        <v>26</v>
      </c>
      <c r="B140">
        <v>2</v>
      </c>
      <c r="C140">
        <v>8</v>
      </c>
      <c r="D140" s="6" t="str">
        <f>VLOOKUP(Tabla138[[#This Row],[ID_PARTIDO]],Original!$AT$1:$AY$46,2,FALSE)</f>
        <v xml:space="preserve">Daniel Gutierrez </v>
      </c>
      <c r="E140" s="6" t="str">
        <f>VLOOKUP(Tabla138[[#This Row],[ID_PARTIDO]],Original!$AT$1:$AY$46,3,FALSE)</f>
        <v>Isabella Buitrago Hurtado</v>
      </c>
      <c r="F140" s="6" t="str">
        <f>VLOOKUP(Tabla138[[#This Row],[ID_PARTIDO]],Original!$AT$1:$AY$46,4,FALSE)</f>
        <v>Tomas Barrios Guevara</v>
      </c>
      <c r="G140" s="6" t="str">
        <f>VLOOKUP(Tabla138[[#This Row],[ID_PARTIDO]],Original!$AT$1:$AY$46,5,FALSE)</f>
        <v xml:space="preserve">Nicolas Navarro </v>
      </c>
      <c r="H140" t="s">
        <v>14</v>
      </c>
      <c r="I140" t="s">
        <v>7</v>
      </c>
      <c r="J140" t="s">
        <v>14</v>
      </c>
      <c r="K140" t="s">
        <v>7</v>
      </c>
      <c r="L140">
        <v>0</v>
      </c>
      <c r="M140">
        <v>1</v>
      </c>
    </row>
    <row r="141" spans="1:13">
      <c r="A141">
        <v>26</v>
      </c>
      <c r="B141">
        <v>2</v>
      </c>
      <c r="C141">
        <v>9</v>
      </c>
      <c r="D141" s="6" t="str">
        <f>VLOOKUP(Tabla138[[#This Row],[ID_PARTIDO]],Original!$AT$1:$AY$46,2,FALSE)</f>
        <v xml:space="preserve">Daniel Gutierrez </v>
      </c>
      <c r="E141" s="6" t="str">
        <f>VLOOKUP(Tabla138[[#This Row],[ID_PARTIDO]],Original!$AT$1:$AY$46,3,FALSE)</f>
        <v>Isabella Buitrago Hurtado</v>
      </c>
      <c r="F141" s="6" t="str">
        <f>VLOOKUP(Tabla138[[#This Row],[ID_PARTIDO]],Original!$AT$1:$AY$46,4,FALSE)</f>
        <v>Tomas Barrios Guevara</v>
      </c>
      <c r="G141" s="6" t="str">
        <f>VLOOKUP(Tabla138[[#This Row],[ID_PARTIDO]],Original!$AT$1:$AY$46,5,FALSE)</f>
        <v xml:space="preserve">Nicolas Navarro </v>
      </c>
      <c r="H141" t="s">
        <v>14</v>
      </c>
      <c r="I141" t="s">
        <v>7</v>
      </c>
      <c r="J141" t="s">
        <v>14</v>
      </c>
      <c r="K141" t="s">
        <v>7</v>
      </c>
      <c r="L141">
        <v>0</v>
      </c>
      <c r="M141">
        <v>1</v>
      </c>
    </row>
    <row r="142" spans="1:13">
      <c r="A142">
        <v>28</v>
      </c>
      <c r="B142">
        <v>2</v>
      </c>
      <c r="C142">
        <v>1</v>
      </c>
      <c r="D142" s="6" t="str">
        <f>VLOOKUP(Tabla138[[#This Row],[ID_PARTIDO]],Original!$AT$1:$AY$46,2,FALSE)</f>
        <v>Rafael Andres Salcedo Valdivieso</v>
      </c>
      <c r="E142" s="6" t="str">
        <f>VLOOKUP(Tabla138[[#This Row],[ID_PARTIDO]],Original!$AT$1:$AY$46,3,FALSE)</f>
        <v xml:space="preserve">Jonatan Nicolas Marmolejo Lopez </v>
      </c>
      <c r="F142" s="6" t="str">
        <f>VLOOKUP(Tabla138[[#This Row],[ID_PARTIDO]],Original!$AT$1:$AY$46,4,FALSE)</f>
        <v>David Santiago Medina Buitrago</v>
      </c>
      <c r="G142" s="6" t="str">
        <f>VLOOKUP(Tabla138[[#This Row],[ID_PARTIDO]],Original!$AT$1:$AY$46,5,FALSE)</f>
        <v>Valentina Alejandra Lopez Romero</v>
      </c>
      <c r="H142" t="s">
        <v>7</v>
      </c>
      <c r="I142" t="s">
        <v>14</v>
      </c>
      <c r="J142" t="s">
        <v>7</v>
      </c>
      <c r="K142" t="s">
        <v>14</v>
      </c>
      <c r="L142">
        <v>1</v>
      </c>
      <c r="M142">
        <v>0</v>
      </c>
    </row>
    <row r="143" spans="1:13">
      <c r="A143">
        <v>28</v>
      </c>
      <c r="B143">
        <v>2</v>
      </c>
      <c r="C143">
        <v>2</v>
      </c>
      <c r="D143" s="6" t="str">
        <f>VLOOKUP(Tabla138[[#This Row],[ID_PARTIDO]],Original!$AT$1:$AY$46,2,FALSE)</f>
        <v>Rafael Andres Salcedo Valdivieso</v>
      </c>
      <c r="E143" s="6" t="str">
        <f>VLOOKUP(Tabla138[[#This Row],[ID_PARTIDO]],Original!$AT$1:$AY$46,3,FALSE)</f>
        <v xml:space="preserve">Jonatan Nicolas Marmolejo Lopez </v>
      </c>
      <c r="F143" s="6" t="str">
        <f>VLOOKUP(Tabla138[[#This Row],[ID_PARTIDO]],Original!$AT$1:$AY$46,4,FALSE)</f>
        <v>David Santiago Medina Buitrago</v>
      </c>
      <c r="G143" s="6" t="str">
        <f>VLOOKUP(Tabla138[[#This Row],[ID_PARTIDO]],Original!$AT$1:$AY$46,5,FALSE)</f>
        <v>Valentina Alejandra Lopez Romero</v>
      </c>
      <c r="H143" t="s">
        <v>7</v>
      </c>
      <c r="I143" t="s">
        <v>14</v>
      </c>
      <c r="J143" t="s">
        <v>7</v>
      </c>
      <c r="K143" t="s">
        <v>14</v>
      </c>
      <c r="L143">
        <v>1</v>
      </c>
      <c r="M143">
        <v>0</v>
      </c>
    </row>
    <row r="144" spans="1:13">
      <c r="A144">
        <v>28</v>
      </c>
      <c r="B144">
        <v>2</v>
      </c>
      <c r="C144">
        <v>3</v>
      </c>
      <c r="D144" s="6" t="str">
        <f>VLOOKUP(Tabla138[[#This Row],[ID_PARTIDO]],Original!$AT$1:$AY$46,2,FALSE)</f>
        <v>Rafael Andres Salcedo Valdivieso</v>
      </c>
      <c r="E144" s="6" t="str">
        <f>VLOOKUP(Tabla138[[#This Row],[ID_PARTIDO]],Original!$AT$1:$AY$46,3,FALSE)</f>
        <v xml:space="preserve">Jonatan Nicolas Marmolejo Lopez </v>
      </c>
      <c r="F144" s="6" t="str">
        <f>VLOOKUP(Tabla138[[#This Row],[ID_PARTIDO]],Original!$AT$1:$AY$46,4,FALSE)</f>
        <v>David Santiago Medina Buitrago</v>
      </c>
      <c r="G144" s="6" t="str">
        <f>VLOOKUP(Tabla138[[#This Row],[ID_PARTIDO]],Original!$AT$1:$AY$46,5,FALSE)</f>
        <v>Valentina Alejandra Lopez Romero</v>
      </c>
      <c r="H144" t="s">
        <v>7</v>
      </c>
      <c r="I144" t="s">
        <v>14</v>
      </c>
      <c r="J144" t="s">
        <v>7</v>
      </c>
      <c r="K144" t="s">
        <v>14</v>
      </c>
      <c r="L144">
        <v>0</v>
      </c>
      <c r="M144">
        <v>1</v>
      </c>
    </row>
    <row r="145" spans="1:13">
      <c r="A145">
        <v>28</v>
      </c>
      <c r="B145">
        <v>2</v>
      </c>
      <c r="C145">
        <v>4</v>
      </c>
      <c r="D145" s="6" t="str">
        <f>VLOOKUP(Tabla138[[#This Row],[ID_PARTIDO]],Original!$AT$1:$AY$46,2,FALSE)</f>
        <v>Rafael Andres Salcedo Valdivieso</v>
      </c>
      <c r="E145" s="6" t="str">
        <f>VLOOKUP(Tabla138[[#This Row],[ID_PARTIDO]],Original!$AT$1:$AY$46,3,FALSE)</f>
        <v xml:space="preserve">Jonatan Nicolas Marmolejo Lopez </v>
      </c>
      <c r="F145" s="6" t="str">
        <f>VLOOKUP(Tabla138[[#This Row],[ID_PARTIDO]],Original!$AT$1:$AY$46,4,FALSE)</f>
        <v>David Santiago Medina Buitrago</v>
      </c>
      <c r="G145" s="6" t="str">
        <f>VLOOKUP(Tabla138[[#This Row],[ID_PARTIDO]],Original!$AT$1:$AY$46,5,FALSE)</f>
        <v>Valentina Alejandra Lopez Romero</v>
      </c>
      <c r="H145" t="s">
        <v>7</v>
      </c>
      <c r="I145" t="s">
        <v>14</v>
      </c>
      <c r="J145" t="s">
        <v>7</v>
      </c>
      <c r="K145" t="s">
        <v>14</v>
      </c>
      <c r="L145">
        <v>1</v>
      </c>
      <c r="M145">
        <v>0</v>
      </c>
    </row>
    <row r="146" spans="1:13">
      <c r="A146">
        <v>28</v>
      </c>
      <c r="B146">
        <v>2</v>
      </c>
      <c r="C146">
        <v>5</v>
      </c>
      <c r="D146" s="6" t="str">
        <f>VLOOKUP(Tabla138[[#This Row],[ID_PARTIDO]],Original!$AT$1:$AY$46,2,FALSE)</f>
        <v>Rafael Andres Salcedo Valdivieso</v>
      </c>
      <c r="E146" s="6" t="str">
        <f>VLOOKUP(Tabla138[[#This Row],[ID_PARTIDO]],Original!$AT$1:$AY$46,3,FALSE)</f>
        <v xml:space="preserve">Jonatan Nicolas Marmolejo Lopez </v>
      </c>
      <c r="F146" s="6" t="str">
        <f>VLOOKUP(Tabla138[[#This Row],[ID_PARTIDO]],Original!$AT$1:$AY$46,4,FALSE)</f>
        <v>David Santiago Medina Buitrago</v>
      </c>
      <c r="G146" s="6" t="str">
        <f>VLOOKUP(Tabla138[[#This Row],[ID_PARTIDO]],Original!$AT$1:$AY$46,5,FALSE)</f>
        <v>Valentina Alejandra Lopez Romero</v>
      </c>
      <c r="H146" t="s">
        <v>7</v>
      </c>
      <c r="I146" t="s">
        <v>14</v>
      </c>
      <c r="J146" t="s">
        <v>7</v>
      </c>
      <c r="K146" t="s">
        <v>14</v>
      </c>
      <c r="L146">
        <v>0</v>
      </c>
      <c r="M146">
        <v>1</v>
      </c>
    </row>
    <row r="147" spans="1:13">
      <c r="A147">
        <v>28</v>
      </c>
      <c r="B147">
        <v>2</v>
      </c>
      <c r="C147">
        <v>6</v>
      </c>
      <c r="D147" s="6" t="str">
        <f>VLOOKUP(Tabla138[[#This Row],[ID_PARTIDO]],Original!$AT$1:$AY$46,2,FALSE)</f>
        <v>Rafael Andres Salcedo Valdivieso</v>
      </c>
      <c r="E147" s="6" t="str">
        <f>VLOOKUP(Tabla138[[#This Row],[ID_PARTIDO]],Original!$AT$1:$AY$46,3,FALSE)</f>
        <v xml:space="preserve">Jonatan Nicolas Marmolejo Lopez </v>
      </c>
      <c r="F147" s="6" t="str">
        <f>VLOOKUP(Tabla138[[#This Row],[ID_PARTIDO]],Original!$AT$1:$AY$46,4,FALSE)</f>
        <v>David Santiago Medina Buitrago</v>
      </c>
      <c r="G147" s="6" t="str">
        <f>VLOOKUP(Tabla138[[#This Row],[ID_PARTIDO]],Original!$AT$1:$AY$46,5,FALSE)</f>
        <v>Valentina Alejandra Lopez Romero</v>
      </c>
      <c r="H147" t="s">
        <v>7</v>
      </c>
      <c r="I147" t="s">
        <v>14</v>
      </c>
      <c r="J147" t="s">
        <v>7</v>
      </c>
      <c r="K147" t="s">
        <v>14</v>
      </c>
      <c r="L147">
        <v>1</v>
      </c>
      <c r="M147">
        <v>0</v>
      </c>
    </row>
    <row r="148" spans="1:13">
      <c r="A148">
        <v>28</v>
      </c>
      <c r="B148">
        <v>2</v>
      </c>
      <c r="C148">
        <v>7</v>
      </c>
      <c r="D148" s="6" t="str">
        <f>VLOOKUP(Tabla138[[#This Row],[ID_PARTIDO]],Original!$AT$1:$AY$46,2,FALSE)</f>
        <v>Rafael Andres Salcedo Valdivieso</v>
      </c>
      <c r="E148" s="6" t="str">
        <f>VLOOKUP(Tabla138[[#This Row],[ID_PARTIDO]],Original!$AT$1:$AY$46,3,FALSE)</f>
        <v xml:space="preserve">Jonatan Nicolas Marmolejo Lopez </v>
      </c>
      <c r="F148" s="6" t="str">
        <f>VLOOKUP(Tabla138[[#This Row],[ID_PARTIDO]],Original!$AT$1:$AY$46,4,FALSE)</f>
        <v>David Santiago Medina Buitrago</v>
      </c>
      <c r="G148" s="6" t="str">
        <f>VLOOKUP(Tabla138[[#This Row],[ID_PARTIDO]],Original!$AT$1:$AY$46,5,FALSE)</f>
        <v>Valentina Alejandra Lopez Romero</v>
      </c>
      <c r="H148" t="s">
        <v>7</v>
      </c>
      <c r="I148" t="s">
        <v>14</v>
      </c>
      <c r="J148" t="s">
        <v>7</v>
      </c>
      <c r="K148" t="s">
        <v>14</v>
      </c>
      <c r="L148">
        <v>1</v>
      </c>
      <c r="M148">
        <v>0</v>
      </c>
    </row>
    <row r="149" spans="1:13">
      <c r="A149">
        <v>28</v>
      </c>
      <c r="B149">
        <v>2</v>
      </c>
      <c r="C149">
        <v>8</v>
      </c>
      <c r="D149" s="6" t="str">
        <f>VLOOKUP(Tabla138[[#This Row],[ID_PARTIDO]],Original!$AT$1:$AY$46,2,FALSE)</f>
        <v>Rafael Andres Salcedo Valdivieso</v>
      </c>
      <c r="E149" s="6" t="str">
        <f>VLOOKUP(Tabla138[[#This Row],[ID_PARTIDO]],Original!$AT$1:$AY$46,3,FALSE)</f>
        <v xml:space="preserve">Jonatan Nicolas Marmolejo Lopez </v>
      </c>
      <c r="F149" s="6" t="str">
        <f>VLOOKUP(Tabla138[[#This Row],[ID_PARTIDO]],Original!$AT$1:$AY$46,4,FALSE)</f>
        <v>David Santiago Medina Buitrago</v>
      </c>
      <c r="G149" s="6" t="str">
        <f>VLOOKUP(Tabla138[[#This Row],[ID_PARTIDO]],Original!$AT$1:$AY$46,5,FALSE)</f>
        <v>Valentina Alejandra Lopez Romero</v>
      </c>
      <c r="H149" t="s">
        <v>7</v>
      </c>
      <c r="I149" t="s">
        <v>14</v>
      </c>
      <c r="J149" t="s">
        <v>7</v>
      </c>
      <c r="K149" t="s">
        <v>14</v>
      </c>
      <c r="L149">
        <v>1</v>
      </c>
      <c r="M149">
        <v>0</v>
      </c>
    </row>
    <row r="150" spans="1:13">
      <c r="A150">
        <v>28</v>
      </c>
      <c r="B150">
        <v>2</v>
      </c>
      <c r="C150">
        <v>9</v>
      </c>
      <c r="D150" s="6" t="str">
        <f>VLOOKUP(Tabla138[[#This Row],[ID_PARTIDO]],Original!$AT$1:$AY$46,2,FALSE)</f>
        <v>Rafael Andres Salcedo Valdivieso</v>
      </c>
      <c r="E150" s="6" t="str">
        <f>VLOOKUP(Tabla138[[#This Row],[ID_PARTIDO]],Original!$AT$1:$AY$46,3,FALSE)</f>
        <v xml:space="preserve">Jonatan Nicolas Marmolejo Lopez </v>
      </c>
      <c r="F150" s="6" t="str">
        <f>VLOOKUP(Tabla138[[#This Row],[ID_PARTIDO]],Original!$AT$1:$AY$46,4,FALSE)</f>
        <v>David Santiago Medina Buitrago</v>
      </c>
      <c r="G150" s="6" t="str">
        <f>VLOOKUP(Tabla138[[#This Row],[ID_PARTIDO]],Original!$AT$1:$AY$46,5,FALSE)</f>
        <v>Valentina Alejandra Lopez Romero</v>
      </c>
      <c r="H150" t="s">
        <v>7</v>
      </c>
      <c r="I150" t="s">
        <v>14</v>
      </c>
      <c r="J150" t="s">
        <v>7</v>
      </c>
      <c r="K150" t="s">
        <v>14</v>
      </c>
      <c r="L150">
        <v>1</v>
      </c>
      <c r="M150">
        <v>0</v>
      </c>
    </row>
    <row r="151" spans="1:13">
      <c r="A151">
        <v>32</v>
      </c>
      <c r="B151">
        <v>2</v>
      </c>
      <c r="C151">
        <v>1</v>
      </c>
      <c r="D151" s="6" t="str">
        <f>VLOOKUP(Tabla138[[#This Row],[ID_PARTIDO]],Original!$AT$1:$AY$46,2,FALSE)</f>
        <v>Cristian Stevan Soto Zapata</v>
      </c>
      <c r="E151" s="6" t="str">
        <f>VLOOKUP(Tabla138[[#This Row],[ID_PARTIDO]],Original!$AT$1:$AY$46,3,FALSE)</f>
        <v>Luis Jorge Garcia Camargo</v>
      </c>
      <c r="F151" s="6" t="str">
        <f>VLOOKUP(Tabla138[[#This Row],[ID_PARTIDO]],Original!$AT$1:$AY$46,4,FALSE)</f>
        <v xml:space="preserve">juan miguel venegas garzón </v>
      </c>
      <c r="G151" s="6" t="str">
        <f>VLOOKUP(Tabla138[[#This Row],[ID_PARTIDO]],Original!$AT$1:$AY$46,5,FALSE)</f>
        <v xml:space="preserve">Sergio Andrés López Rodríguez </v>
      </c>
      <c r="H151" t="s">
        <v>14</v>
      </c>
      <c r="I151" t="s">
        <v>7</v>
      </c>
      <c r="J151" t="s">
        <v>7</v>
      </c>
      <c r="K151" t="s">
        <v>14</v>
      </c>
      <c r="L151">
        <v>0</v>
      </c>
      <c r="M151">
        <v>1</v>
      </c>
    </row>
    <row r="152" spans="1:13">
      <c r="A152">
        <v>32</v>
      </c>
      <c r="B152">
        <v>2</v>
      </c>
      <c r="C152">
        <v>2</v>
      </c>
      <c r="D152" s="6" t="str">
        <f>VLOOKUP(Tabla138[[#This Row],[ID_PARTIDO]],Original!$AT$1:$AY$46,2,FALSE)</f>
        <v>Cristian Stevan Soto Zapata</v>
      </c>
      <c r="E152" s="6" t="str">
        <f>VLOOKUP(Tabla138[[#This Row],[ID_PARTIDO]],Original!$AT$1:$AY$46,3,FALSE)</f>
        <v>Luis Jorge Garcia Camargo</v>
      </c>
      <c r="F152" s="6" t="str">
        <f>VLOOKUP(Tabla138[[#This Row],[ID_PARTIDO]],Original!$AT$1:$AY$46,4,FALSE)</f>
        <v xml:space="preserve">juan miguel venegas garzón </v>
      </c>
      <c r="G152" s="6" t="str">
        <f>VLOOKUP(Tabla138[[#This Row],[ID_PARTIDO]],Original!$AT$1:$AY$46,5,FALSE)</f>
        <v xml:space="preserve">Sergio Andrés López Rodríguez </v>
      </c>
      <c r="H152" t="s">
        <v>14</v>
      </c>
      <c r="I152" t="s">
        <v>7</v>
      </c>
      <c r="J152" t="s">
        <v>7</v>
      </c>
      <c r="K152" t="s">
        <v>14</v>
      </c>
      <c r="L152">
        <v>1</v>
      </c>
      <c r="M152">
        <v>0</v>
      </c>
    </row>
    <row r="153" spans="1:13">
      <c r="A153">
        <v>32</v>
      </c>
      <c r="B153">
        <v>2</v>
      </c>
      <c r="C153">
        <v>3</v>
      </c>
      <c r="D153" s="6" t="str">
        <f>VLOOKUP(Tabla138[[#This Row],[ID_PARTIDO]],Original!$AT$1:$AY$46,2,FALSE)</f>
        <v>Cristian Stevan Soto Zapata</v>
      </c>
      <c r="E153" s="6" t="str">
        <f>VLOOKUP(Tabla138[[#This Row],[ID_PARTIDO]],Original!$AT$1:$AY$46,3,FALSE)</f>
        <v>Luis Jorge Garcia Camargo</v>
      </c>
      <c r="F153" s="6" t="str">
        <f>VLOOKUP(Tabla138[[#This Row],[ID_PARTIDO]],Original!$AT$1:$AY$46,4,FALSE)</f>
        <v xml:space="preserve">juan miguel venegas garzón </v>
      </c>
      <c r="G153" s="6" t="str">
        <f>VLOOKUP(Tabla138[[#This Row],[ID_PARTIDO]],Original!$AT$1:$AY$46,5,FALSE)</f>
        <v xml:space="preserve">Sergio Andrés López Rodríguez </v>
      </c>
      <c r="H153" t="s">
        <v>14</v>
      </c>
      <c r="I153" t="s">
        <v>7</v>
      </c>
      <c r="J153" t="s">
        <v>7</v>
      </c>
      <c r="K153" t="s">
        <v>14</v>
      </c>
      <c r="L153">
        <v>0</v>
      </c>
      <c r="M153">
        <v>1</v>
      </c>
    </row>
    <row r="154" spans="1:13">
      <c r="A154">
        <v>32</v>
      </c>
      <c r="B154">
        <v>2</v>
      </c>
      <c r="C154">
        <v>4</v>
      </c>
      <c r="D154" s="6" t="str">
        <f>VLOOKUP(Tabla138[[#This Row],[ID_PARTIDO]],Original!$AT$1:$AY$46,2,FALSE)</f>
        <v>Cristian Stevan Soto Zapata</v>
      </c>
      <c r="E154" s="6" t="str">
        <f>VLOOKUP(Tabla138[[#This Row],[ID_PARTIDO]],Original!$AT$1:$AY$46,3,FALSE)</f>
        <v>Luis Jorge Garcia Camargo</v>
      </c>
      <c r="F154" s="6" t="str">
        <f>VLOOKUP(Tabla138[[#This Row],[ID_PARTIDO]],Original!$AT$1:$AY$46,4,FALSE)</f>
        <v xml:space="preserve">juan miguel venegas garzón </v>
      </c>
      <c r="G154" s="6" t="str">
        <f>VLOOKUP(Tabla138[[#This Row],[ID_PARTIDO]],Original!$AT$1:$AY$46,5,FALSE)</f>
        <v xml:space="preserve">Sergio Andrés López Rodríguez </v>
      </c>
      <c r="H154" t="s">
        <v>14</v>
      </c>
      <c r="I154" t="s">
        <v>7</v>
      </c>
      <c r="J154" t="s">
        <v>7</v>
      </c>
      <c r="K154" t="s">
        <v>14</v>
      </c>
      <c r="L154">
        <v>1</v>
      </c>
      <c r="M154">
        <v>0</v>
      </c>
    </row>
    <row r="155" spans="1:13">
      <c r="A155">
        <v>32</v>
      </c>
      <c r="B155">
        <v>2</v>
      </c>
      <c r="C155">
        <v>5</v>
      </c>
      <c r="D155" s="6" t="str">
        <f>VLOOKUP(Tabla138[[#This Row],[ID_PARTIDO]],Original!$AT$1:$AY$46,2,FALSE)</f>
        <v>Cristian Stevan Soto Zapata</v>
      </c>
      <c r="E155" s="6" t="str">
        <f>VLOOKUP(Tabla138[[#This Row],[ID_PARTIDO]],Original!$AT$1:$AY$46,3,FALSE)</f>
        <v>Luis Jorge Garcia Camargo</v>
      </c>
      <c r="F155" s="6" t="str">
        <f>VLOOKUP(Tabla138[[#This Row],[ID_PARTIDO]],Original!$AT$1:$AY$46,4,FALSE)</f>
        <v xml:space="preserve">juan miguel venegas garzón </v>
      </c>
      <c r="G155" s="6" t="str">
        <f>VLOOKUP(Tabla138[[#This Row],[ID_PARTIDO]],Original!$AT$1:$AY$46,5,FALSE)</f>
        <v xml:space="preserve">Sergio Andrés López Rodríguez </v>
      </c>
      <c r="H155" t="s">
        <v>14</v>
      </c>
      <c r="I155" t="s">
        <v>7</v>
      </c>
      <c r="J155" t="s">
        <v>7</v>
      </c>
      <c r="K155" t="s">
        <v>14</v>
      </c>
      <c r="L155">
        <v>0</v>
      </c>
      <c r="M155">
        <v>1</v>
      </c>
    </row>
    <row r="156" spans="1:13">
      <c r="A156">
        <v>32</v>
      </c>
      <c r="B156">
        <v>2</v>
      </c>
      <c r="C156">
        <v>6</v>
      </c>
      <c r="D156" s="6" t="str">
        <f>VLOOKUP(Tabla138[[#This Row],[ID_PARTIDO]],Original!$AT$1:$AY$46,2,FALSE)</f>
        <v>Cristian Stevan Soto Zapata</v>
      </c>
      <c r="E156" s="6" t="str">
        <f>VLOOKUP(Tabla138[[#This Row],[ID_PARTIDO]],Original!$AT$1:$AY$46,3,FALSE)</f>
        <v>Luis Jorge Garcia Camargo</v>
      </c>
      <c r="F156" s="6" t="str">
        <f>VLOOKUP(Tabla138[[#This Row],[ID_PARTIDO]],Original!$AT$1:$AY$46,4,FALSE)</f>
        <v xml:space="preserve">juan miguel venegas garzón </v>
      </c>
      <c r="G156" s="6" t="str">
        <f>VLOOKUP(Tabla138[[#This Row],[ID_PARTIDO]],Original!$AT$1:$AY$46,5,FALSE)</f>
        <v xml:space="preserve">Sergio Andrés López Rodríguez </v>
      </c>
      <c r="H156" t="s">
        <v>14</v>
      </c>
      <c r="I156" t="s">
        <v>7</v>
      </c>
      <c r="J156" t="s">
        <v>7</v>
      </c>
      <c r="K156" t="s">
        <v>14</v>
      </c>
      <c r="L156">
        <v>1</v>
      </c>
      <c r="M156">
        <v>0</v>
      </c>
    </row>
    <row r="157" spans="1:13">
      <c r="A157">
        <v>32</v>
      </c>
      <c r="B157">
        <v>2</v>
      </c>
      <c r="C157">
        <v>7</v>
      </c>
      <c r="D157" s="6" t="str">
        <f>VLOOKUP(Tabla138[[#This Row],[ID_PARTIDO]],Original!$AT$1:$AY$46,2,FALSE)</f>
        <v>Cristian Stevan Soto Zapata</v>
      </c>
      <c r="E157" s="6" t="str">
        <f>VLOOKUP(Tabla138[[#This Row],[ID_PARTIDO]],Original!$AT$1:$AY$46,3,FALSE)</f>
        <v>Luis Jorge Garcia Camargo</v>
      </c>
      <c r="F157" s="6" t="str">
        <f>VLOOKUP(Tabla138[[#This Row],[ID_PARTIDO]],Original!$AT$1:$AY$46,4,FALSE)</f>
        <v xml:space="preserve">juan miguel venegas garzón </v>
      </c>
      <c r="G157" s="6" t="str">
        <f>VLOOKUP(Tabla138[[#This Row],[ID_PARTIDO]],Original!$AT$1:$AY$46,5,FALSE)</f>
        <v xml:space="preserve">Sergio Andrés López Rodríguez </v>
      </c>
      <c r="H157" t="s">
        <v>14</v>
      </c>
      <c r="I157" t="s">
        <v>7</v>
      </c>
      <c r="J157" t="s">
        <v>7</v>
      </c>
      <c r="K157" t="s">
        <v>14</v>
      </c>
      <c r="L157">
        <v>0</v>
      </c>
      <c r="M157">
        <v>1</v>
      </c>
    </row>
    <row r="158" spans="1:13">
      <c r="A158">
        <v>32</v>
      </c>
      <c r="B158">
        <v>2</v>
      </c>
      <c r="C158">
        <v>8</v>
      </c>
      <c r="D158" s="6" t="str">
        <f>VLOOKUP(Tabla138[[#This Row],[ID_PARTIDO]],Original!$AT$1:$AY$46,2,FALSE)</f>
        <v>Cristian Stevan Soto Zapata</v>
      </c>
      <c r="E158" s="6" t="str">
        <f>VLOOKUP(Tabla138[[#This Row],[ID_PARTIDO]],Original!$AT$1:$AY$46,3,FALSE)</f>
        <v>Luis Jorge Garcia Camargo</v>
      </c>
      <c r="F158" s="6" t="str">
        <f>VLOOKUP(Tabla138[[#This Row],[ID_PARTIDO]],Original!$AT$1:$AY$46,4,FALSE)</f>
        <v xml:space="preserve">juan miguel venegas garzón </v>
      </c>
      <c r="G158" s="6" t="str">
        <f>VLOOKUP(Tabla138[[#This Row],[ID_PARTIDO]],Original!$AT$1:$AY$46,5,FALSE)</f>
        <v xml:space="preserve">Sergio Andrés López Rodríguez </v>
      </c>
      <c r="H158" t="s">
        <v>14</v>
      </c>
      <c r="I158" t="s">
        <v>7</v>
      </c>
      <c r="J158" t="s">
        <v>7</v>
      </c>
      <c r="K158" t="s">
        <v>14</v>
      </c>
      <c r="L158">
        <v>0</v>
      </c>
      <c r="M158">
        <v>1</v>
      </c>
    </row>
    <row r="159" spans="1:13">
      <c r="A159">
        <v>32</v>
      </c>
      <c r="B159">
        <v>2</v>
      </c>
      <c r="C159">
        <v>9</v>
      </c>
      <c r="D159" s="6" t="str">
        <f>VLOOKUP(Tabla138[[#This Row],[ID_PARTIDO]],Original!$AT$1:$AY$46,2,FALSE)</f>
        <v>Cristian Stevan Soto Zapata</v>
      </c>
      <c r="E159" s="6" t="str">
        <f>VLOOKUP(Tabla138[[#This Row],[ID_PARTIDO]],Original!$AT$1:$AY$46,3,FALSE)</f>
        <v>Luis Jorge Garcia Camargo</v>
      </c>
      <c r="F159" s="6" t="str">
        <f>VLOOKUP(Tabla138[[#This Row],[ID_PARTIDO]],Original!$AT$1:$AY$46,4,FALSE)</f>
        <v xml:space="preserve">juan miguel venegas garzón </v>
      </c>
      <c r="G159" s="6" t="str">
        <f>VLOOKUP(Tabla138[[#This Row],[ID_PARTIDO]],Original!$AT$1:$AY$46,5,FALSE)</f>
        <v xml:space="preserve">Sergio Andrés López Rodríguez </v>
      </c>
      <c r="H159" t="s">
        <v>14</v>
      </c>
      <c r="I159" t="s">
        <v>7</v>
      </c>
      <c r="J159" t="s">
        <v>7</v>
      </c>
      <c r="K159" t="s">
        <v>14</v>
      </c>
      <c r="L159">
        <v>1</v>
      </c>
      <c r="M159">
        <v>0</v>
      </c>
    </row>
    <row r="160" spans="1:13">
      <c r="A160">
        <v>32</v>
      </c>
      <c r="B160">
        <v>2</v>
      </c>
      <c r="C160">
        <v>10</v>
      </c>
      <c r="D160" s="6" t="str">
        <f>VLOOKUP(Tabla138[[#This Row],[ID_PARTIDO]],Original!$AT$1:$AY$46,2,FALSE)</f>
        <v>Cristian Stevan Soto Zapata</v>
      </c>
      <c r="E160" s="6" t="str">
        <f>VLOOKUP(Tabla138[[#This Row],[ID_PARTIDO]],Original!$AT$1:$AY$46,3,FALSE)</f>
        <v>Luis Jorge Garcia Camargo</v>
      </c>
      <c r="F160" s="6" t="str">
        <f>VLOOKUP(Tabla138[[#This Row],[ID_PARTIDO]],Original!$AT$1:$AY$46,4,FALSE)</f>
        <v xml:space="preserve">juan miguel venegas garzón </v>
      </c>
      <c r="G160" s="6" t="str">
        <f>VLOOKUP(Tabla138[[#This Row],[ID_PARTIDO]],Original!$AT$1:$AY$46,5,FALSE)</f>
        <v xml:space="preserve">Sergio Andrés López Rodríguez </v>
      </c>
      <c r="H160" t="s">
        <v>14</v>
      </c>
      <c r="I160" t="s">
        <v>7</v>
      </c>
      <c r="J160" t="s">
        <v>7</v>
      </c>
      <c r="K160" t="s">
        <v>14</v>
      </c>
      <c r="L160">
        <v>1</v>
      </c>
      <c r="M160">
        <v>0</v>
      </c>
    </row>
    <row r="161" spans="1:13">
      <c r="A161">
        <v>32</v>
      </c>
      <c r="B161">
        <v>2</v>
      </c>
      <c r="C161">
        <v>11</v>
      </c>
      <c r="D161" s="6" t="str">
        <f>VLOOKUP(Tabla138[[#This Row],[ID_PARTIDO]],Original!$AT$1:$AY$46,2,FALSE)</f>
        <v>Cristian Stevan Soto Zapata</v>
      </c>
      <c r="E161" s="6" t="str">
        <f>VLOOKUP(Tabla138[[#This Row],[ID_PARTIDO]],Original!$AT$1:$AY$46,3,FALSE)</f>
        <v>Luis Jorge Garcia Camargo</v>
      </c>
      <c r="F161" s="6" t="str">
        <f>VLOOKUP(Tabla138[[#This Row],[ID_PARTIDO]],Original!$AT$1:$AY$46,4,FALSE)</f>
        <v xml:space="preserve">juan miguel venegas garzón </v>
      </c>
      <c r="G161" s="6" t="str">
        <f>VLOOKUP(Tabla138[[#This Row],[ID_PARTIDO]],Original!$AT$1:$AY$46,5,FALSE)</f>
        <v xml:space="preserve">Sergio Andrés López Rodríguez </v>
      </c>
      <c r="H161" t="s">
        <v>14</v>
      </c>
      <c r="I161" t="s">
        <v>7</v>
      </c>
      <c r="J161" t="s">
        <v>7</v>
      </c>
      <c r="K161" t="s">
        <v>14</v>
      </c>
      <c r="L161">
        <v>1</v>
      </c>
      <c r="M161">
        <v>0</v>
      </c>
    </row>
    <row r="162" spans="1:13">
      <c r="A162">
        <v>32</v>
      </c>
      <c r="B162">
        <v>2</v>
      </c>
      <c r="C162">
        <v>12</v>
      </c>
      <c r="D162" s="6" t="str">
        <f>VLOOKUP(Tabla138[[#This Row],[ID_PARTIDO]],Original!$AT$1:$AY$46,2,FALSE)</f>
        <v>Cristian Stevan Soto Zapata</v>
      </c>
      <c r="E162" s="6" t="str">
        <f>VLOOKUP(Tabla138[[#This Row],[ID_PARTIDO]],Original!$AT$1:$AY$46,3,FALSE)</f>
        <v>Luis Jorge Garcia Camargo</v>
      </c>
      <c r="F162" s="6" t="str">
        <f>VLOOKUP(Tabla138[[#This Row],[ID_PARTIDO]],Original!$AT$1:$AY$46,4,FALSE)</f>
        <v xml:space="preserve">juan miguel venegas garzón </v>
      </c>
      <c r="G162" s="6" t="str">
        <f>VLOOKUP(Tabla138[[#This Row],[ID_PARTIDO]],Original!$AT$1:$AY$46,5,FALSE)</f>
        <v xml:space="preserve">Sergio Andrés López Rodríguez </v>
      </c>
      <c r="H162" t="s">
        <v>14</v>
      </c>
      <c r="I162" t="s">
        <v>7</v>
      </c>
      <c r="J162" t="s">
        <v>7</v>
      </c>
      <c r="K162" t="s">
        <v>14</v>
      </c>
      <c r="L162">
        <v>1</v>
      </c>
      <c r="M162">
        <v>0</v>
      </c>
    </row>
    <row r="163" spans="1:13">
      <c r="A163">
        <v>34</v>
      </c>
      <c r="B163">
        <v>2</v>
      </c>
      <c r="C163">
        <v>1</v>
      </c>
      <c r="D163" s="6" t="str">
        <f>VLOOKUP(Tabla138[[#This Row],[ID_PARTIDO]],Original!$AT$1:$AY$46,2,FALSE)</f>
        <v>Santiago Navarro Cuy</v>
      </c>
      <c r="E163" s="6" t="str">
        <f>VLOOKUP(Tabla138[[#This Row],[ID_PARTIDO]],Original!$AT$1:$AY$46,3,FALSE)</f>
        <v>sara juliana solano boada</v>
      </c>
      <c r="F163" s="6" t="str">
        <f>VLOOKUP(Tabla138[[#This Row],[ID_PARTIDO]],Original!$AT$1:$AY$46,4,FALSE)</f>
        <v>Nikol sofia avendaño</v>
      </c>
      <c r="G163" s="6" t="str">
        <f>VLOOKUP(Tabla138[[#This Row],[ID_PARTIDO]],Original!$AT$1:$AY$46,5,FALSE)</f>
        <v>Samuel Andrés Rodríguez Ulloa</v>
      </c>
      <c r="H163" t="s">
        <v>14</v>
      </c>
      <c r="I163" t="s">
        <v>7</v>
      </c>
      <c r="J163" t="s">
        <v>14</v>
      </c>
      <c r="K163" t="s">
        <v>7</v>
      </c>
      <c r="L163">
        <v>0</v>
      </c>
      <c r="M163">
        <v>1</v>
      </c>
    </row>
    <row r="164" spans="1:13">
      <c r="A164">
        <v>34</v>
      </c>
      <c r="B164">
        <v>2</v>
      </c>
      <c r="C164">
        <v>2</v>
      </c>
      <c r="D164" s="6" t="str">
        <f>VLOOKUP(Tabla138[[#This Row],[ID_PARTIDO]],Original!$AT$1:$AY$46,2,FALSE)</f>
        <v>Santiago Navarro Cuy</v>
      </c>
      <c r="E164" s="6" t="str">
        <f>VLOOKUP(Tabla138[[#This Row],[ID_PARTIDO]],Original!$AT$1:$AY$46,3,FALSE)</f>
        <v>sara juliana solano boada</v>
      </c>
      <c r="F164" s="6" t="str">
        <f>VLOOKUP(Tabla138[[#This Row],[ID_PARTIDO]],Original!$AT$1:$AY$46,4,FALSE)</f>
        <v>Nikol sofia avendaño</v>
      </c>
      <c r="G164" s="6" t="str">
        <f>VLOOKUP(Tabla138[[#This Row],[ID_PARTIDO]],Original!$AT$1:$AY$46,5,FALSE)</f>
        <v>Samuel Andrés Rodríguez Ulloa</v>
      </c>
      <c r="H164" t="s">
        <v>14</v>
      </c>
      <c r="I164" t="s">
        <v>7</v>
      </c>
      <c r="J164" t="s">
        <v>14</v>
      </c>
      <c r="K164" t="s">
        <v>7</v>
      </c>
      <c r="L164">
        <v>0</v>
      </c>
      <c r="M164">
        <v>1</v>
      </c>
    </row>
    <row r="165" spans="1:13">
      <c r="A165">
        <v>34</v>
      </c>
      <c r="B165">
        <v>2</v>
      </c>
      <c r="C165">
        <v>3</v>
      </c>
      <c r="D165" s="6" t="str">
        <f>VLOOKUP(Tabla138[[#This Row],[ID_PARTIDO]],Original!$AT$1:$AY$46,2,FALSE)</f>
        <v>Santiago Navarro Cuy</v>
      </c>
      <c r="E165" s="6" t="str">
        <f>VLOOKUP(Tabla138[[#This Row],[ID_PARTIDO]],Original!$AT$1:$AY$46,3,FALSE)</f>
        <v>sara juliana solano boada</v>
      </c>
      <c r="F165" s="6" t="str">
        <f>VLOOKUP(Tabla138[[#This Row],[ID_PARTIDO]],Original!$AT$1:$AY$46,4,FALSE)</f>
        <v>Nikol sofia avendaño</v>
      </c>
      <c r="G165" s="6" t="str">
        <f>VLOOKUP(Tabla138[[#This Row],[ID_PARTIDO]],Original!$AT$1:$AY$46,5,FALSE)</f>
        <v>Samuel Andrés Rodríguez Ulloa</v>
      </c>
      <c r="H165" t="s">
        <v>14</v>
      </c>
      <c r="I165" t="s">
        <v>7</v>
      </c>
      <c r="J165" t="s">
        <v>14</v>
      </c>
      <c r="K165" t="s">
        <v>7</v>
      </c>
      <c r="L165">
        <v>1</v>
      </c>
      <c r="M165">
        <v>0</v>
      </c>
    </row>
    <row r="166" spans="1:13">
      <c r="A166">
        <v>34</v>
      </c>
      <c r="B166">
        <v>2</v>
      </c>
      <c r="C166">
        <v>4</v>
      </c>
      <c r="D166" s="6" t="str">
        <f>VLOOKUP(Tabla138[[#This Row],[ID_PARTIDO]],Original!$AT$1:$AY$46,2,FALSE)</f>
        <v>Santiago Navarro Cuy</v>
      </c>
      <c r="E166" s="6" t="str">
        <f>VLOOKUP(Tabla138[[#This Row],[ID_PARTIDO]],Original!$AT$1:$AY$46,3,FALSE)</f>
        <v>sara juliana solano boada</v>
      </c>
      <c r="F166" s="6" t="str">
        <f>VLOOKUP(Tabla138[[#This Row],[ID_PARTIDO]],Original!$AT$1:$AY$46,4,FALSE)</f>
        <v>Nikol sofia avendaño</v>
      </c>
      <c r="G166" s="6" t="str">
        <f>VLOOKUP(Tabla138[[#This Row],[ID_PARTIDO]],Original!$AT$1:$AY$46,5,FALSE)</f>
        <v>Samuel Andrés Rodríguez Ulloa</v>
      </c>
      <c r="H166" t="s">
        <v>14</v>
      </c>
      <c r="I166" t="s">
        <v>7</v>
      </c>
      <c r="J166" t="s">
        <v>14</v>
      </c>
      <c r="K166" t="s">
        <v>7</v>
      </c>
      <c r="L166">
        <v>1</v>
      </c>
      <c r="M166">
        <v>0</v>
      </c>
    </row>
    <row r="167" spans="1:13">
      <c r="A167">
        <v>34</v>
      </c>
      <c r="B167">
        <v>2</v>
      </c>
      <c r="C167">
        <v>5</v>
      </c>
      <c r="D167" s="6" t="str">
        <f>VLOOKUP(Tabla138[[#This Row],[ID_PARTIDO]],Original!$AT$1:$AY$46,2,FALSE)</f>
        <v>Santiago Navarro Cuy</v>
      </c>
      <c r="E167" s="6" t="str">
        <f>VLOOKUP(Tabla138[[#This Row],[ID_PARTIDO]],Original!$AT$1:$AY$46,3,FALSE)</f>
        <v>sara juliana solano boada</v>
      </c>
      <c r="F167" s="6" t="str">
        <f>VLOOKUP(Tabla138[[#This Row],[ID_PARTIDO]],Original!$AT$1:$AY$46,4,FALSE)</f>
        <v>Nikol sofia avendaño</v>
      </c>
      <c r="G167" s="6" t="str">
        <f>VLOOKUP(Tabla138[[#This Row],[ID_PARTIDO]],Original!$AT$1:$AY$46,5,FALSE)</f>
        <v>Samuel Andrés Rodríguez Ulloa</v>
      </c>
      <c r="H167" t="s">
        <v>14</v>
      </c>
      <c r="I167" t="s">
        <v>7</v>
      </c>
      <c r="J167" t="s">
        <v>14</v>
      </c>
      <c r="K167" t="s">
        <v>7</v>
      </c>
      <c r="L167">
        <v>0</v>
      </c>
      <c r="M167">
        <v>1</v>
      </c>
    </row>
    <row r="168" spans="1:13">
      <c r="A168">
        <v>34</v>
      </c>
      <c r="B168">
        <v>2</v>
      </c>
      <c r="C168">
        <v>6</v>
      </c>
      <c r="D168" s="6" t="str">
        <f>VLOOKUP(Tabla138[[#This Row],[ID_PARTIDO]],Original!$AT$1:$AY$46,2,FALSE)</f>
        <v>Santiago Navarro Cuy</v>
      </c>
      <c r="E168" s="6" t="str">
        <f>VLOOKUP(Tabla138[[#This Row],[ID_PARTIDO]],Original!$AT$1:$AY$46,3,FALSE)</f>
        <v>sara juliana solano boada</v>
      </c>
      <c r="F168" s="6" t="str">
        <f>VLOOKUP(Tabla138[[#This Row],[ID_PARTIDO]],Original!$AT$1:$AY$46,4,FALSE)</f>
        <v>Nikol sofia avendaño</v>
      </c>
      <c r="G168" s="6" t="str">
        <f>VLOOKUP(Tabla138[[#This Row],[ID_PARTIDO]],Original!$AT$1:$AY$46,5,FALSE)</f>
        <v>Samuel Andrés Rodríguez Ulloa</v>
      </c>
      <c r="H168" t="s">
        <v>14</v>
      </c>
      <c r="I168" t="s">
        <v>7</v>
      </c>
      <c r="J168" t="s">
        <v>14</v>
      </c>
      <c r="K168" t="s">
        <v>7</v>
      </c>
      <c r="L168">
        <v>1</v>
      </c>
      <c r="M168">
        <v>0</v>
      </c>
    </row>
    <row r="169" spans="1:13">
      <c r="A169">
        <v>34</v>
      </c>
      <c r="B169">
        <v>2</v>
      </c>
      <c r="C169">
        <v>7</v>
      </c>
      <c r="D169" s="6" t="str">
        <f>VLOOKUP(Tabla138[[#This Row],[ID_PARTIDO]],Original!$AT$1:$AY$46,2,FALSE)</f>
        <v>Santiago Navarro Cuy</v>
      </c>
      <c r="E169" s="6" t="str">
        <f>VLOOKUP(Tabla138[[#This Row],[ID_PARTIDO]],Original!$AT$1:$AY$46,3,FALSE)</f>
        <v>sara juliana solano boada</v>
      </c>
      <c r="F169" s="6" t="str">
        <f>VLOOKUP(Tabla138[[#This Row],[ID_PARTIDO]],Original!$AT$1:$AY$46,4,FALSE)</f>
        <v>Nikol sofia avendaño</v>
      </c>
      <c r="G169" s="6" t="str">
        <f>VLOOKUP(Tabla138[[#This Row],[ID_PARTIDO]],Original!$AT$1:$AY$46,5,FALSE)</f>
        <v>Samuel Andrés Rodríguez Ulloa</v>
      </c>
      <c r="H169" t="s">
        <v>14</v>
      </c>
      <c r="I169" t="s">
        <v>7</v>
      </c>
      <c r="J169" t="s">
        <v>14</v>
      </c>
      <c r="K169" t="s">
        <v>7</v>
      </c>
      <c r="L169">
        <v>0</v>
      </c>
      <c r="M169">
        <v>1</v>
      </c>
    </row>
    <row r="170" spans="1:13">
      <c r="A170">
        <v>34</v>
      </c>
      <c r="B170">
        <v>2</v>
      </c>
      <c r="C170">
        <v>8</v>
      </c>
      <c r="D170" s="6" t="str">
        <f>VLOOKUP(Tabla138[[#This Row],[ID_PARTIDO]],Original!$AT$1:$AY$46,2,FALSE)</f>
        <v>Santiago Navarro Cuy</v>
      </c>
      <c r="E170" s="6" t="str">
        <f>VLOOKUP(Tabla138[[#This Row],[ID_PARTIDO]],Original!$AT$1:$AY$46,3,FALSE)</f>
        <v>sara juliana solano boada</v>
      </c>
      <c r="F170" s="6" t="str">
        <f>VLOOKUP(Tabla138[[#This Row],[ID_PARTIDO]],Original!$AT$1:$AY$46,4,FALSE)</f>
        <v>Nikol sofia avendaño</v>
      </c>
      <c r="G170" s="6" t="str">
        <f>VLOOKUP(Tabla138[[#This Row],[ID_PARTIDO]],Original!$AT$1:$AY$46,5,FALSE)</f>
        <v>Samuel Andrés Rodríguez Ulloa</v>
      </c>
      <c r="H170" t="s">
        <v>14</v>
      </c>
      <c r="I170" t="s">
        <v>7</v>
      </c>
      <c r="J170" t="s">
        <v>14</v>
      </c>
      <c r="K170" t="s">
        <v>7</v>
      </c>
      <c r="L170">
        <v>0</v>
      </c>
      <c r="M170">
        <v>1</v>
      </c>
    </row>
    <row r="171" spans="1:13">
      <c r="A171">
        <v>34</v>
      </c>
      <c r="B171">
        <v>2</v>
      </c>
      <c r="C171">
        <v>9</v>
      </c>
      <c r="D171" s="6" t="str">
        <f>VLOOKUP(Tabla138[[#This Row],[ID_PARTIDO]],Original!$AT$1:$AY$46,2,FALSE)</f>
        <v>Santiago Navarro Cuy</v>
      </c>
      <c r="E171" s="6" t="str">
        <f>VLOOKUP(Tabla138[[#This Row],[ID_PARTIDO]],Original!$AT$1:$AY$46,3,FALSE)</f>
        <v>sara juliana solano boada</v>
      </c>
      <c r="F171" s="6" t="str">
        <f>VLOOKUP(Tabla138[[#This Row],[ID_PARTIDO]],Original!$AT$1:$AY$46,4,FALSE)</f>
        <v>Nikol sofia avendaño</v>
      </c>
      <c r="G171" s="6" t="str">
        <f>VLOOKUP(Tabla138[[#This Row],[ID_PARTIDO]],Original!$AT$1:$AY$46,5,FALSE)</f>
        <v>Samuel Andrés Rodríguez Ulloa</v>
      </c>
      <c r="H171" t="s">
        <v>14</v>
      </c>
      <c r="I171" t="s">
        <v>7</v>
      </c>
      <c r="J171" t="s">
        <v>14</v>
      </c>
      <c r="K171" t="s">
        <v>7</v>
      </c>
      <c r="L171">
        <v>0</v>
      </c>
      <c r="M171">
        <v>1</v>
      </c>
    </row>
    <row r="172" spans="1:13">
      <c r="A172">
        <v>34</v>
      </c>
      <c r="B172">
        <v>2</v>
      </c>
      <c r="C172">
        <v>10</v>
      </c>
      <c r="D172" s="6" t="str">
        <f>VLOOKUP(Tabla138[[#This Row],[ID_PARTIDO]],Original!$AT$1:$AY$46,2,FALSE)</f>
        <v>Santiago Navarro Cuy</v>
      </c>
      <c r="E172" s="6" t="str">
        <f>VLOOKUP(Tabla138[[#This Row],[ID_PARTIDO]],Original!$AT$1:$AY$46,3,FALSE)</f>
        <v>sara juliana solano boada</v>
      </c>
      <c r="F172" s="6" t="str">
        <f>VLOOKUP(Tabla138[[#This Row],[ID_PARTIDO]],Original!$AT$1:$AY$46,4,FALSE)</f>
        <v>Nikol sofia avendaño</v>
      </c>
      <c r="G172" s="6" t="str">
        <f>VLOOKUP(Tabla138[[#This Row],[ID_PARTIDO]],Original!$AT$1:$AY$46,5,FALSE)</f>
        <v>Samuel Andrés Rodríguez Ulloa</v>
      </c>
      <c r="H172" t="s">
        <v>14</v>
      </c>
      <c r="I172" t="s">
        <v>7</v>
      </c>
      <c r="J172" t="s">
        <v>14</v>
      </c>
      <c r="K172" t="s">
        <v>7</v>
      </c>
      <c r="L172">
        <v>0</v>
      </c>
      <c r="M172">
        <v>1</v>
      </c>
    </row>
    <row r="173" spans="1:13">
      <c r="A173">
        <v>30</v>
      </c>
      <c r="B173">
        <v>2</v>
      </c>
      <c r="C173">
        <v>1</v>
      </c>
      <c r="D173" s="6" t="str">
        <f>VLOOKUP(Tabla138[[#This Row],[ID_PARTIDO]],Original!$AT$1:$AY$46,2,FALSE)</f>
        <v>Andrea Julieth Sosa Rodriguez</v>
      </c>
      <c r="E173" s="6" t="str">
        <f>VLOOKUP(Tabla138[[#This Row],[ID_PARTIDO]],Original!$AT$1:$AY$46,3,FALSE)</f>
        <v xml:space="preserve">juan miguel venegas garzón </v>
      </c>
      <c r="F173" s="6" t="str">
        <f>VLOOKUP(Tabla138[[#This Row],[ID_PARTIDO]],Original!$AT$1:$AY$46,4,FALSE)</f>
        <v>Juan Pablo Benitez Bernal</v>
      </c>
      <c r="G173" s="6" t="str">
        <f>VLOOKUP(Tabla138[[#This Row],[ID_PARTIDO]],Original!$AT$1:$AY$46,5,FALSE)</f>
        <v>César Camilo Díaz Cufiño</v>
      </c>
      <c r="H173" t="s">
        <v>14</v>
      </c>
      <c r="I173" t="s">
        <v>7</v>
      </c>
      <c r="J173" t="s">
        <v>14</v>
      </c>
      <c r="K173" t="s">
        <v>7</v>
      </c>
      <c r="L173">
        <v>0</v>
      </c>
      <c r="M173">
        <v>1</v>
      </c>
    </row>
    <row r="174" spans="1:13">
      <c r="A174">
        <v>30</v>
      </c>
      <c r="B174">
        <v>2</v>
      </c>
      <c r="C174">
        <v>2</v>
      </c>
      <c r="D174" s="6" t="str">
        <f>VLOOKUP(Tabla138[[#This Row],[ID_PARTIDO]],Original!$AT$1:$AY$46,2,FALSE)</f>
        <v>Andrea Julieth Sosa Rodriguez</v>
      </c>
      <c r="E174" s="6" t="str">
        <f>VLOOKUP(Tabla138[[#This Row],[ID_PARTIDO]],Original!$AT$1:$AY$46,3,FALSE)</f>
        <v xml:space="preserve">juan miguel venegas garzón </v>
      </c>
      <c r="F174" s="6" t="str">
        <f>VLOOKUP(Tabla138[[#This Row],[ID_PARTIDO]],Original!$AT$1:$AY$46,4,FALSE)</f>
        <v>Juan Pablo Benitez Bernal</v>
      </c>
      <c r="G174" s="6" t="str">
        <f>VLOOKUP(Tabla138[[#This Row],[ID_PARTIDO]],Original!$AT$1:$AY$46,5,FALSE)</f>
        <v>César Camilo Díaz Cufiño</v>
      </c>
      <c r="H174" t="s">
        <v>14</v>
      </c>
      <c r="I174" t="s">
        <v>7</v>
      </c>
      <c r="J174" t="s">
        <v>14</v>
      </c>
      <c r="K174" t="s">
        <v>7</v>
      </c>
      <c r="L174">
        <v>1</v>
      </c>
      <c r="M174">
        <v>0</v>
      </c>
    </row>
    <row r="175" spans="1:13">
      <c r="A175">
        <v>30</v>
      </c>
      <c r="B175">
        <v>2</v>
      </c>
      <c r="C175">
        <v>3</v>
      </c>
      <c r="D175" s="6" t="str">
        <f>VLOOKUP(Tabla138[[#This Row],[ID_PARTIDO]],Original!$AT$1:$AY$46,2,FALSE)</f>
        <v>Andrea Julieth Sosa Rodriguez</v>
      </c>
      <c r="E175" s="6" t="str">
        <f>VLOOKUP(Tabla138[[#This Row],[ID_PARTIDO]],Original!$AT$1:$AY$46,3,FALSE)</f>
        <v xml:space="preserve">juan miguel venegas garzón </v>
      </c>
      <c r="F175" s="6" t="str">
        <f>VLOOKUP(Tabla138[[#This Row],[ID_PARTIDO]],Original!$AT$1:$AY$46,4,FALSE)</f>
        <v>Juan Pablo Benitez Bernal</v>
      </c>
      <c r="G175" s="6" t="str">
        <f>VLOOKUP(Tabla138[[#This Row],[ID_PARTIDO]],Original!$AT$1:$AY$46,5,FALSE)</f>
        <v>César Camilo Díaz Cufiño</v>
      </c>
      <c r="H175" t="s">
        <v>14</v>
      </c>
      <c r="I175" t="s">
        <v>7</v>
      </c>
      <c r="J175" t="s">
        <v>14</v>
      </c>
      <c r="K175" t="s">
        <v>7</v>
      </c>
      <c r="L175">
        <v>1</v>
      </c>
      <c r="M175">
        <v>0</v>
      </c>
    </row>
    <row r="176" spans="1:13">
      <c r="A176">
        <v>30</v>
      </c>
      <c r="B176">
        <v>2</v>
      </c>
      <c r="C176">
        <v>4</v>
      </c>
      <c r="D176" s="6" t="str">
        <f>VLOOKUP(Tabla138[[#This Row],[ID_PARTIDO]],Original!$AT$1:$AY$46,2,FALSE)</f>
        <v>Andrea Julieth Sosa Rodriguez</v>
      </c>
      <c r="E176" s="6" t="str">
        <f>VLOOKUP(Tabla138[[#This Row],[ID_PARTIDO]],Original!$AT$1:$AY$46,3,FALSE)</f>
        <v xml:space="preserve">juan miguel venegas garzón </v>
      </c>
      <c r="F176" s="6" t="str">
        <f>VLOOKUP(Tabla138[[#This Row],[ID_PARTIDO]],Original!$AT$1:$AY$46,4,FALSE)</f>
        <v>Juan Pablo Benitez Bernal</v>
      </c>
      <c r="G176" s="6" t="str">
        <f>VLOOKUP(Tabla138[[#This Row],[ID_PARTIDO]],Original!$AT$1:$AY$46,5,FALSE)</f>
        <v>César Camilo Díaz Cufiño</v>
      </c>
      <c r="H176" t="s">
        <v>14</v>
      </c>
      <c r="I176" t="s">
        <v>7</v>
      </c>
      <c r="J176" t="s">
        <v>14</v>
      </c>
      <c r="K176" t="s">
        <v>7</v>
      </c>
      <c r="L176">
        <v>1</v>
      </c>
      <c r="M176">
        <v>0</v>
      </c>
    </row>
    <row r="177" spans="1:13">
      <c r="A177">
        <v>30</v>
      </c>
      <c r="B177">
        <v>2</v>
      </c>
      <c r="C177">
        <v>5</v>
      </c>
      <c r="D177" s="6" t="str">
        <f>VLOOKUP(Tabla138[[#This Row],[ID_PARTIDO]],Original!$AT$1:$AY$46,2,FALSE)</f>
        <v>Andrea Julieth Sosa Rodriguez</v>
      </c>
      <c r="E177" s="6" t="str">
        <f>VLOOKUP(Tabla138[[#This Row],[ID_PARTIDO]],Original!$AT$1:$AY$46,3,FALSE)</f>
        <v xml:space="preserve">juan miguel venegas garzón </v>
      </c>
      <c r="F177" s="6" t="str">
        <f>VLOOKUP(Tabla138[[#This Row],[ID_PARTIDO]],Original!$AT$1:$AY$46,4,FALSE)</f>
        <v>Juan Pablo Benitez Bernal</v>
      </c>
      <c r="G177" s="6" t="str">
        <f>VLOOKUP(Tabla138[[#This Row],[ID_PARTIDO]],Original!$AT$1:$AY$46,5,FALSE)</f>
        <v>César Camilo Díaz Cufiño</v>
      </c>
      <c r="H177" t="s">
        <v>14</v>
      </c>
      <c r="I177" t="s">
        <v>7</v>
      </c>
      <c r="J177" t="s">
        <v>14</v>
      </c>
      <c r="K177" t="s">
        <v>7</v>
      </c>
      <c r="L177">
        <v>0</v>
      </c>
      <c r="M177">
        <v>1</v>
      </c>
    </row>
    <row r="178" spans="1:13">
      <c r="A178">
        <v>30</v>
      </c>
      <c r="B178">
        <v>2</v>
      </c>
      <c r="C178">
        <v>6</v>
      </c>
      <c r="D178" s="6" t="str">
        <f>VLOOKUP(Tabla138[[#This Row],[ID_PARTIDO]],Original!$AT$1:$AY$46,2,FALSE)</f>
        <v>Andrea Julieth Sosa Rodriguez</v>
      </c>
      <c r="E178" s="6" t="str">
        <f>VLOOKUP(Tabla138[[#This Row],[ID_PARTIDO]],Original!$AT$1:$AY$46,3,FALSE)</f>
        <v xml:space="preserve">juan miguel venegas garzón </v>
      </c>
      <c r="F178" s="6" t="str">
        <f>VLOOKUP(Tabla138[[#This Row],[ID_PARTIDO]],Original!$AT$1:$AY$46,4,FALSE)</f>
        <v>Juan Pablo Benitez Bernal</v>
      </c>
      <c r="G178" s="6" t="str">
        <f>VLOOKUP(Tabla138[[#This Row],[ID_PARTIDO]],Original!$AT$1:$AY$46,5,FALSE)</f>
        <v>César Camilo Díaz Cufiño</v>
      </c>
      <c r="H178" t="s">
        <v>14</v>
      </c>
      <c r="I178" t="s">
        <v>7</v>
      </c>
      <c r="J178" t="s">
        <v>14</v>
      </c>
      <c r="K178" t="s">
        <v>7</v>
      </c>
      <c r="L178">
        <v>0</v>
      </c>
      <c r="M178">
        <v>1</v>
      </c>
    </row>
    <row r="179" spans="1:13">
      <c r="A179">
        <v>30</v>
      </c>
      <c r="B179">
        <v>2</v>
      </c>
      <c r="C179">
        <v>7</v>
      </c>
      <c r="D179" s="6" t="str">
        <f>VLOOKUP(Tabla138[[#This Row],[ID_PARTIDO]],Original!$AT$1:$AY$46,2,FALSE)</f>
        <v>Andrea Julieth Sosa Rodriguez</v>
      </c>
      <c r="E179" s="6" t="str">
        <f>VLOOKUP(Tabla138[[#This Row],[ID_PARTIDO]],Original!$AT$1:$AY$46,3,FALSE)</f>
        <v xml:space="preserve">juan miguel venegas garzón </v>
      </c>
      <c r="F179" s="6" t="str">
        <f>VLOOKUP(Tabla138[[#This Row],[ID_PARTIDO]],Original!$AT$1:$AY$46,4,FALSE)</f>
        <v>Juan Pablo Benitez Bernal</v>
      </c>
      <c r="G179" s="6" t="str">
        <f>VLOOKUP(Tabla138[[#This Row],[ID_PARTIDO]],Original!$AT$1:$AY$46,5,FALSE)</f>
        <v>César Camilo Díaz Cufiño</v>
      </c>
      <c r="H179" t="s">
        <v>14</v>
      </c>
      <c r="I179" t="s">
        <v>7</v>
      </c>
      <c r="J179" t="s">
        <v>14</v>
      </c>
      <c r="K179" t="s">
        <v>7</v>
      </c>
      <c r="L179">
        <v>1</v>
      </c>
      <c r="M179">
        <v>0</v>
      </c>
    </row>
    <row r="180" spans="1:13">
      <c r="A180">
        <v>30</v>
      </c>
      <c r="B180">
        <v>2</v>
      </c>
      <c r="C180">
        <v>8</v>
      </c>
      <c r="D180" s="6" t="str">
        <f>VLOOKUP(Tabla138[[#This Row],[ID_PARTIDO]],Original!$AT$1:$AY$46,2,FALSE)</f>
        <v>Andrea Julieth Sosa Rodriguez</v>
      </c>
      <c r="E180" s="6" t="str">
        <f>VLOOKUP(Tabla138[[#This Row],[ID_PARTIDO]],Original!$AT$1:$AY$46,3,FALSE)</f>
        <v xml:space="preserve">juan miguel venegas garzón </v>
      </c>
      <c r="F180" s="6" t="str">
        <f>VLOOKUP(Tabla138[[#This Row],[ID_PARTIDO]],Original!$AT$1:$AY$46,4,FALSE)</f>
        <v>Juan Pablo Benitez Bernal</v>
      </c>
      <c r="G180" s="6" t="str">
        <f>VLOOKUP(Tabla138[[#This Row],[ID_PARTIDO]],Original!$AT$1:$AY$46,5,FALSE)</f>
        <v>César Camilo Díaz Cufiño</v>
      </c>
      <c r="H180" t="s">
        <v>14</v>
      </c>
      <c r="I180" t="s">
        <v>7</v>
      </c>
      <c r="J180" t="s">
        <v>14</v>
      </c>
      <c r="K180" t="s">
        <v>7</v>
      </c>
      <c r="L180">
        <v>0</v>
      </c>
      <c r="M180">
        <v>1</v>
      </c>
    </row>
    <row r="181" spans="1:13">
      <c r="A181">
        <v>30</v>
      </c>
      <c r="B181">
        <v>2</v>
      </c>
      <c r="C181">
        <v>9</v>
      </c>
      <c r="D181" s="6" t="str">
        <f>VLOOKUP(Tabla138[[#This Row],[ID_PARTIDO]],Original!$AT$1:$AY$46,2,FALSE)</f>
        <v>Andrea Julieth Sosa Rodriguez</v>
      </c>
      <c r="E181" s="6" t="str">
        <f>VLOOKUP(Tabla138[[#This Row],[ID_PARTIDO]],Original!$AT$1:$AY$46,3,FALSE)</f>
        <v xml:space="preserve">juan miguel venegas garzón </v>
      </c>
      <c r="F181" s="6" t="str">
        <f>VLOOKUP(Tabla138[[#This Row],[ID_PARTIDO]],Original!$AT$1:$AY$46,4,FALSE)</f>
        <v>Juan Pablo Benitez Bernal</v>
      </c>
      <c r="G181" s="6" t="str">
        <f>VLOOKUP(Tabla138[[#This Row],[ID_PARTIDO]],Original!$AT$1:$AY$46,5,FALSE)</f>
        <v>César Camilo Díaz Cufiño</v>
      </c>
      <c r="H181" t="s">
        <v>14</v>
      </c>
      <c r="I181" t="s">
        <v>7</v>
      </c>
      <c r="J181" t="s">
        <v>14</v>
      </c>
      <c r="K181" t="s">
        <v>7</v>
      </c>
      <c r="L181">
        <v>1</v>
      </c>
      <c r="M181">
        <v>0</v>
      </c>
    </row>
    <row r="182" spans="1:13">
      <c r="A182">
        <v>30</v>
      </c>
      <c r="B182">
        <v>2</v>
      </c>
      <c r="C182">
        <v>10</v>
      </c>
      <c r="D182" s="6" t="str">
        <f>VLOOKUP(Tabla138[[#This Row],[ID_PARTIDO]],Original!$AT$1:$AY$46,2,FALSE)</f>
        <v>Andrea Julieth Sosa Rodriguez</v>
      </c>
      <c r="E182" s="6" t="str">
        <f>VLOOKUP(Tabla138[[#This Row],[ID_PARTIDO]],Original!$AT$1:$AY$46,3,FALSE)</f>
        <v xml:space="preserve">juan miguel venegas garzón </v>
      </c>
      <c r="F182" s="6" t="str">
        <f>VLOOKUP(Tabla138[[#This Row],[ID_PARTIDO]],Original!$AT$1:$AY$46,4,FALSE)</f>
        <v>Juan Pablo Benitez Bernal</v>
      </c>
      <c r="G182" s="6" t="str">
        <f>VLOOKUP(Tabla138[[#This Row],[ID_PARTIDO]],Original!$AT$1:$AY$46,5,FALSE)</f>
        <v>César Camilo Díaz Cufiño</v>
      </c>
      <c r="H182" t="s">
        <v>14</v>
      </c>
      <c r="I182" t="s">
        <v>7</v>
      </c>
      <c r="J182" t="s">
        <v>14</v>
      </c>
      <c r="K182" t="s">
        <v>7</v>
      </c>
      <c r="L182">
        <v>1</v>
      </c>
      <c r="M182">
        <v>0</v>
      </c>
    </row>
    <row r="183" spans="1:13">
      <c r="A183">
        <v>30</v>
      </c>
      <c r="B183">
        <v>2</v>
      </c>
      <c r="C183">
        <v>11</v>
      </c>
      <c r="D183" s="6" t="str">
        <f>VLOOKUP(Tabla138[[#This Row],[ID_PARTIDO]],Original!$AT$1:$AY$46,2,FALSE)</f>
        <v>Andrea Julieth Sosa Rodriguez</v>
      </c>
      <c r="E183" s="6" t="str">
        <f>VLOOKUP(Tabla138[[#This Row],[ID_PARTIDO]],Original!$AT$1:$AY$46,3,FALSE)</f>
        <v xml:space="preserve">juan miguel venegas garzón </v>
      </c>
      <c r="F183" s="6" t="str">
        <f>VLOOKUP(Tabla138[[#This Row],[ID_PARTIDO]],Original!$AT$1:$AY$46,4,FALSE)</f>
        <v>Juan Pablo Benitez Bernal</v>
      </c>
      <c r="G183" s="6" t="str">
        <f>VLOOKUP(Tabla138[[#This Row],[ID_PARTIDO]],Original!$AT$1:$AY$46,5,FALSE)</f>
        <v>César Camilo Díaz Cufiño</v>
      </c>
      <c r="H183" t="s">
        <v>14</v>
      </c>
      <c r="I183" t="s">
        <v>7</v>
      </c>
      <c r="J183" t="s">
        <v>14</v>
      </c>
      <c r="K183" t="s">
        <v>7</v>
      </c>
      <c r="L183">
        <v>0</v>
      </c>
      <c r="M183">
        <v>1</v>
      </c>
    </row>
    <row r="184" spans="1:13">
      <c r="A184">
        <v>30</v>
      </c>
      <c r="B184">
        <v>2</v>
      </c>
      <c r="C184">
        <v>12</v>
      </c>
      <c r="D184" s="6" t="str">
        <f>VLOOKUP(Tabla138[[#This Row],[ID_PARTIDO]],Original!$AT$1:$AY$46,2,FALSE)</f>
        <v>Andrea Julieth Sosa Rodriguez</v>
      </c>
      <c r="E184" s="6" t="str">
        <f>VLOOKUP(Tabla138[[#This Row],[ID_PARTIDO]],Original!$AT$1:$AY$46,3,FALSE)</f>
        <v xml:space="preserve">juan miguel venegas garzón </v>
      </c>
      <c r="F184" s="6" t="str">
        <f>VLOOKUP(Tabla138[[#This Row],[ID_PARTIDO]],Original!$AT$1:$AY$46,4,FALSE)</f>
        <v>Juan Pablo Benitez Bernal</v>
      </c>
      <c r="G184" s="6" t="str">
        <f>VLOOKUP(Tabla138[[#This Row],[ID_PARTIDO]],Original!$AT$1:$AY$46,5,FALSE)</f>
        <v>César Camilo Díaz Cufiño</v>
      </c>
      <c r="H184" t="s">
        <v>14</v>
      </c>
      <c r="I184" t="s">
        <v>7</v>
      </c>
      <c r="J184" t="s">
        <v>14</v>
      </c>
      <c r="K184" t="s">
        <v>7</v>
      </c>
      <c r="L184">
        <v>0</v>
      </c>
      <c r="M184">
        <v>1</v>
      </c>
    </row>
    <row r="185" spans="1:13">
      <c r="A185">
        <v>30</v>
      </c>
      <c r="B185">
        <v>2</v>
      </c>
      <c r="C185">
        <v>13</v>
      </c>
      <c r="D185" s="6" t="str">
        <f>VLOOKUP(Tabla138[[#This Row],[ID_PARTIDO]],Original!$AT$1:$AY$46,2,FALSE)</f>
        <v>Andrea Julieth Sosa Rodriguez</v>
      </c>
      <c r="E185" s="6" t="str">
        <f>VLOOKUP(Tabla138[[#This Row],[ID_PARTIDO]],Original!$AT$1:$AY$46,3,FALSE)</f>
        <v xml:space="preserve">juan miguel venegas garzón </v>
      </c>
      <c r="F185" s="6" t="str">
        <f>VLOOKUP(Tabla138[[#This Row],[ID_PARTIDO]],Original!$AT$1:$AY$46,4,FALSE)</f>
        <v>Juan Pablo Benitez Bernal</v>
      </c>
      <c r="G185" s="6" t="str">
        <f>VLOOKUP(Tabla138[[#This Row],[ID_PARTIDO]],Original!$AT$1:$AY$46,5,FALSE)</f>
        <v>César Camilo Díaz Cufiño</v>
      </c>
      <c r="H185" t="s">
        <v>14</v>
      </c>
      <c r="I185" t="s">
        <v>7</v>
      </c>
      <c r="J185" t="s">
        <v>14</v>
      </c>
      <c r="K185" t="s">
        <v>7</v>
      </c>
      <c r="L185">
        <v>1</v>
      </c>
      <c r="M185">
        <v>0</v>
      </c>
    </row>
    <row r="186" spans="1:13">
      <c r="A186">
        <v>36</v>
      </c>
      <c r="B186">
        <v>2</v>
      </c>
      <c r="C186">
        <v>1</v>
      </c>
      <c r="D186" s="6" t="str">
        <f>VLOOKUP(Tabla138[[#This Row],[ID_PARTIDO]],Original!$AT$1:$AY$46,2,FALSE)</f>
        <v xml:space="preserve">David Santiago Murcia Barrera </v>
      </c>
      <c r="E186" s="6" t="str">
        <f>VLOOKUP(Tabla138[[#This Row],[ID_PARTIDO]],Original!$AT$1:$AY$46,3,FALSE)</f>
        <v xml:space="preserve">Juliana Beltrán Díaz </v>
      </c>
      <c r="F186" s="6" t="str">
        <f>VLOOKUP(Tabla138[[#This Row],[ID_PARTIDO]],Original!$AT$1:$AY$46,4,FALSE)</f>
        <v>Tomas Barrios Guevara</v>
      </c>
      <c r="G186" s="6" t="str">
        <f>VLOOKUP(Tabla138[[#This Row],[ID_PARTIDO]],Original!$AT$1:$AY$46,5,FALSE)</f>
        <v>Rafael Andres Salcedo Valdivieso</v>
      </c>
      <c r="H186" t="s">
        <v>14</v>
      </c>
      <c r="I186" t="s">
        <v>7</v>
      </c>
      <c r="J186" t="s">
        <v>14</v>
      </c>
      <c r="K186" t="s">
        <v>7</v>
      </c>
      <c r="L186">
        <v>1</v>
      </c>
      <c r="M186">
        <v>0</v>
      </c>
    </row>
    <row r="187" spans="1:13">
      <c r="A187">
        <v>36</v>
      </c>
      <c r="B187">
        <v>2</v>
      </c>
      <c r="C187">
        <v>2</v>
      </c>
      <c r="D187" s="6" t="str">
        <f>VLOOKUP(Tabla138[[#This Row],[ID_PARTIDO]],Original!$AT$1:$AY$46,2,FALSE)</f>
        <v xml:space="preserve">David Santiago Murcia Barrera </v>
      </c>
      <c r="E187" s="6" t="str">
        <f>VLOOKUP(Tabla138[[#This Row],[ID_PARTIDO]],Original!$AT$1:$AY$46,3,FALSE)</f>
        <v xml:space="preserve">Juliana Beltrán Díaz </v>
      </c>
      <c r="F187" s="6" t="str">
        <f>VLOOKUP(Tabla138[[#This Row],[ID_PARTIDO]],Original!$AT$1:$AY$46,4,FALSE)</f>
        <v>Tomas Barrios Guevara</v>
      </c>
      <c r="G187" s="6" t="str">
        <f>VLOOKUP(Tabla138[[#This Row],[ID_PARTIDO]],Original!$AT$1:$AY$46,5,FALSE)</f>
        <v>Rafael Andres Salcedo Valdivieso</v>
      </c>
      <c r="H187" t="s">
        <v>14</v>
      </c>
      <c r="I187" t="s">
        <v>7</v>
      </c>
      <c r="J187" t="s">
        <v>14</v>
      </c>
      <c r="K187" t="s">
        <v>7</v>
      </c>
      <c r="L187">
        <v>0</v>
      </c>
      <c r="M187">
        <v>1</v>
      </c>
    </row>
    <row r="188" spans="1:13">
      <c r="A188">
        <v>36</v>
      </c>
      <c r="B188">
        <v>2</v>
      </c>
      <c r="C188">
        <v>3</v>
      </c>
      <c r="D188" s="6" t="str">
        <f>VLOOKUP(Tabla138[[#This Row],[ID_PARTIDO]],Original!$AT$1:$AY$46,2,FALSE)</f>
        <v xml:space="preserve">David Santiago Murcia Barrera </v>
      </c>
      <c r="E188" s="6" t="str">
        <f>VLOOKUP(Tabla138[[#This Row],[ID_PARTIDO]],Original!$AT$1:$AY$46,3,FALSE)</f>
        <v xml:space="preserve">Juliana Beltrán Díaz </v>
      </c>
      <c r="F188" s="6" t="str">
        <f>VLOOKUP(Tabla138[[#This Row],[ID_PARTIDO]],Original!$AT$1:$AY$46,4,FALSE)</f>
        <v>Tomas Barrios Guevara</v>
      </c>
      <c r="G188" s="6" t="str">
        <f>VLOOKUP(Tabla138[[#This Row],[ID_PARTIDO]],Original!$AT$1:$AY$46,5,FALSE)</f>
        <v>Rafael Andres Salcedo Valdivieso</v>
      </c>
      <c r="H188" t="s">
        <v>14</v>
      </c>
      <c r="I188" t="s">
        <v>7</v>
      </c>
      <c r="J188" t="s">
        <v>14</v>
      </c>
      <c r="K188" t="s">
        <v>7</v>
      </c>
      <c r="L188">
        <v>1</v>
      </c>
      <c r="M188">
        <v>0</v>
      </c>
    </row>
    <row r="189" spans="1:13">
      <c r="A189">
        <v>36</v>
      </c>
      <c r="B189">
        <v>2</v>
      </c>
      <c r="C189">
        <v>4</v>
      </c>
      <c r="D189" s="6" t="str">
        <f>VLOOKUP(Tabla138[[#This Row],[ID_PARTIDO]],Original!$AT$1:$AY$46,2,FALSE)</f>
        <v xml:space="preserve">David Santiago Murcia Barrera </v>
      </c>
      <c r="E189" s="6" t="str">
        <f>VLOOKUP(Tabla138[[#This Row],[ID_PARTIDO]],Original!$AT$1:$AY$46,3,FALSE)</f>
        <v xml:space="preserve">Juliana Beltrán Díaz </v>
      </c>
      <c r="F189" s="6" t="str">
        <f>VLOOKUP(Tabla138[[#This Row],[ID_PARTIDO]],Original!$AT$1:$AY$46,4,FALSE)</f>
        <v>Tomas Barrios Guevara</v>
      </c>
      <c r="G189" s="6" t="str">
        <f>VLOOKUP(Tabla138[[#This Row],[ID_PARTIDO]],Original!$AT$1:$AY$46,5,FALSE)</f>
        <v>Rafael Andres Salcedo Valdivieso</v>
      </c>
      <c r="H189" t="s">
        <v>14</v>
      </c>
      <c r="I189" t="s">
        <v>7</v>
      </c>
      <c r="J189" t="s">
        <v>14</v>
      </c>
      <c r="K189" t="s">
        <v>7</v>
      </c>
      <c r="L189">
        <v>0</v>
      </c>
      <c r="M189">
        <v>1</v>
      </c>
    </row>
    <row r="190" spans="1:13">
      <c r="A190">
        <v>36</v>
      </c>
      <c r="B190">
        <v>2</v>
      </c>
      <c r="C190">
        <v>5</v>
      </c>
      <c r="D190" s="6" t="str">
        <f>VLOOKUP(Tabla138[[#This Row],[ID_PARTIDO]],Original!$AT$1:$AY$46,2,FALSE)</f>
        <v xml:space="preserve">David Santiago Murcia Barrera </v>
      </c>
      <c r="E190" s="6" t="str">
        <f>VLOOKUP(Tabla138[[#This Row],[ID_PARTIDO]],Original!$AT$1:$AY$46,3,FALSE)</f>
        <v xml:space="preserve">Juliana Beltrán Díaz </v>
      </c>
      <c r="F190" s="6" t="str">
        <f>VLOOKUP(Tabla138[[#This Row],[ID_PARTIDO]],Original!$AT$1:$AY$46,4,FALSE)</f>
        <v>Tomas Barrios Guevara</v>
      </c>
      <c r="G190" s="6" t="str">
        <f>VLOOKUP(Tabla138[[#This Row],[ID_PARTIDO]],Original!$AT$1:$AY$46,5,FALSE)</f>
        <v>Rafael Andres Salcedo Valdivieso</v>
      </c>
      <c r="H190" t="s">
        <v>14</v>
      </c>
      <c r="I190" t="s">
        <v>7</v>
      </c>
      <c r="J190" t="s">
        <v>14</v>
      </c>
      <c r="K190" t="s">
        <v>7</v>
      </c>
      <c r="L190">
        <v>0</v>
      </c>
      <c r="M190">
        <v>1</v>
      </c>
    </row>
    <row r="191" spans="1:13">
      <c r="A191">
        <v>36</v>
      </c>
      <c r="B191">
        <v>2</v>
      </c>
      <c r="C191">
        <v>6</v>
      </c>
      <c r="D191" s="6" t="str">
        <f>VLOOKUP(Tabla138[[#This Row],[ID_PARTIDO]],Original!$AT$1:$AY$46,2,FALSE)</f>
        <v xml:space="preserve">David Santiago Murcia Barrera </v>
      </c>
      <c r="E191" s="6" t="str">
        <f>VLOOKUP(Tabla138[[#This Row],[ID_PARTIDO]],Original!$AT$1:$AY$46,3,FALSE)</f>
        <v xml:space="preserve">Juliana Beltrán Díaz </v>
      </c>
      <c r="F191" s="6" t="str">
        <f>VLOOKUP(Tabla138[[#This Row],[ID_PARTIDO]],Original!$AT$1:$AY$46,4,FALSE)</f>
        <v>Tomas Barrios Guevara</v>
      </c>
      <c r="G191" s="6" t="str">
        <f>VLOOKUP(Tabla138[[#This Row],[ID_PARTIDO]],Original!$AT$1:$AY$46,5,FALSE)</f>
        <v>Rafael Andres Salcedo Valdivieso</v>
      </c>
      <c r="H191" t="s">
        <v>14</v>
      </c>
      <c r="I191" t="s">
        <v>7</v>
      </c>
      <c r="J191" t="s">
        <v>14</v>
      </c>
      <c r="K191" t="s">
        <v>7</v>
      </c>
      <c r="L191">
        <v>0</v>
      </c>
      <c r="M191">
        <v>1</v>
      </c>
    </row>
    <row r="192" spans="1:13">
      <c r="A192">
        <v>36</v>
      </c>
      <c r="B192">
        <v>2</v>
      </c>
      <c r="C192">
        <v>7</v>
      </c>
      <c r="D192" s="6" t="str">
        <f>VLOOKUP(Tabla138[[#This Row],[ID_PARTIDO]],Original!$AT$1:$AY$46,2,FALSE)</f>
        <v xml:space="preserve">David Santiago Murcia Barrera </v>
      </c>
      <c r="E192" s="6" t="str">
        <f>VLOOKUP(Tabla138[[#This Row],[ID_PARTIDO]],Original!$AT$1:$AY$46,3,FALSE)</f>
        <v xml:space="preserve">Juliana Beltrán Díaz </v>
      </c>
      <c r="F192" s="6" t="str">
        <f>VLOOKUP(Tabla138[[#This Row],[ID_PARTIDO]],Original!$AT$1:$AY$46,4,FALSE)</f>
        <v>Tomas Barrios Guevara</v>
      </c>
      <c r="G192" s="6" t="str">
        <f>VLOOKUP(Tabla138[[#This Row],[ID_PARTIDO]],Original!$AT$1:$AY$46,5,FALSE)</f>
        <v>Rafael Andres Salcedo Valdivieso</v>
      </c>
      <c r="H192" t="s">
        <v>14</v>
      </c>
      <c r="I192" t="s">
        <v>7</v>
      </c>
      <c r="J192" t="s">
        <v>14</v>
      </c>
      <c r="K192" t="s">
        <v>7</v>
      </c>
      <c r="L192">
        <v>0</v>
      </c>
      <c r="M192">
        <v>1</v>
      </c>
    </row>
    <row r="193" spans="1:13">
      <c r="A193">
        <v>36</v>
      </c>
      <c r="B193">
        <v>2</v>
      </c>
      <c r="C193">
        <v>8</v>
      </c>
      <c r="D193" s="6" t="str">
        <f>VLOOKUP(Tabla138[[#This Row],[ID_PARTIDO]],Original!$AT$1:$AY$46,2,FALSE)</f>
        <v xml:space="preserve">David Santiago Murcia Barrera </v>
      </c>
      <c r="E193" s="6" t="str">
        <f>VLOOKUP(Tabla138[[#This Row],[ID_PARTIDO]],Original!$AT$1:$AY$46,3,FALSE)</f>
        <v xml:space="preserve">Juliana Beltrán Díaz </v>
      </c>
      <c r="F193" s="6" t="str">
        <f>VLOOKUP(Tabla138[[#This Row],[ID_PARTIDO]],Original!$AT$1:$AY$46,4,FALSE)</f>
        <v>Tomas Barrios Guevara</v>
      </c>
      <c r="G193" s="6" t="str">
        <f>VLOOKUP(Tabla138[[#This Row],[ID_PARTIDO]],Original!$AT$1:$AY$46,5,FALSE)</f>
        <v>Rafael Andres Salcedo Valdivieso</v>
      </c>
      <c r="H193" t="s">
        <v>14</v>
      </c>
      <c r="I193" t="s">
        <v>7</v>
      </c>
      <c r="J193" t="s">
        <v>14</v>
      </c>
      <c r="K193" t="s">
        <v>7</v>
      </c>
      <c r="L193">
        <v>0</v>
      </c>
      <c r="M193">
        <v>1</v>
      </c>
    </row>
    <row r="194" spans="1:13">
      <c r="A194">
        <v>36</v>
      </c>
      <c r="B194">
        <v>2</v>
      </c>
      <c r="C194">
        <v>9</v>
      </c>
      <c r="D194" s="6" t="str">
        <f>VLOOKUP(Tabla138[[#This Row],[ID_PARTIDO]],Original!$AT$1:$AY$46,2,FALSE)</f>
        <v xml:space="preserve">David Santiago Murcia Barrera </v>
      </c>
      <c r="E194" s="6" t="str">
        <f>VLOOKUP(Tabla138[[#This Row],[ID_PARTIDO]],Original!$AT$1:$AY$46,3,FALSE)</f>
        <v xml:space="preserve">Juliana Beltrán Díaz </v>
      </c>
      <c r="F194" s="6" t="str">
        <f>VLOOKUP(Tabla138[[#This Row],[ID_PARTIDO]],Original!$AT$1:$AY$46,4,FALSE)</f>
        <v>Tomas Barrios Guevara</v>
      </c>
      <c r="G194" s="6" t="str">
        <f>VLOOKUP(Tabla138[[#This Row],[ID_PARTIDO]],Original!$AT$1:$AY$46,5,FALSE)</f>
        <v>Rafael Andres Salcedo Valdivieso</v>
      </c>
      <c r="H194" t="s">
        <v>14</v>
      </c>
      <c r="I194" t="s">
        <v>7</v>
      </c>
      <c r="J194" t="s">
        <v>14</v>
      </c>
      <c r="K194" t="s">
        <v>7</v>
      </c>
      <c r="L194">
        <v>0</v>
      </c>
      <c r="M194">
        <v>1</v>
      </c>
    </row>
    <row r="195" spans="1:13">
      <c r="A195">
        <v>40</v>
      </c>
      <c r="B195">
        <v>2</v>
      </c>
      <c r="C195">
        <v>1</v>
      </c>
      <c r="D195" s="6" t="str">
        <f>VLOOKUP(Tabla138[[#This Row],[ID_PARTIDO]],Original!$AT$1:$AY$46,2,FALSE)</f>
        <v>sara juliana solano boada</v>
      </c>
      <c r="E195" s="6" t="str">
        <f>VLOOKUP(Tabla138[[#This Row],[ID_PARTIDO]],Original!$AT$1:$AY$46,3,FALSE)</f>
        <v xml:space="preserve">Juan Pablo Vargas Jiménez </v>
      </c>
      <c r="F195" s="6" t="str">
        <f>VLOOKUP(Tabla138[[#This Row],[ID_PARTIDO]],Original!$AT$1:$AY$46,4,FALSE)</f>
        <v xml:space="preserve">Jonatan Nicolas Marmolejo Lopez </v>
      </c>
      <c r="G195" s="6" t="str">
        <f>VLOOKUP(Tabla138[[#This Row],[ID_PARTIDO]],Original!$AT$1:$AY$46,5,FALSE)</f>
        <v>David Santiago Medina Buitrago</v>
      </c>
      <c r="H195" t="s">
        <v>7</v>
      </c>
      <c r="I195" t="s">
        <v>14</v>
      </c>
      <c r="J195" t="s">
        <v>7</v>
      </c>
      <c r="K195" t="s">
        <v>14</v>
      </c>
      <c r="L195">
        <v>0</v>
      </c>
      <c r="M195">
        <v>1</v>
      </c>
    </row>
    <row r="196" spans="1:13">
      <c r="A196">
        <v>40</v>
      </c>
      <c r="B196">
        <v>2</v>
      </c>
      <c r="C196">
        <v>2</v>
      </c>
      <c r="D196" s="6" t="str">
        <f>VLOOKUP(Tabla138[[#This Row],[ID_PARTIDO]],Original!$AT$1:$AY$46,2,FALSE)</f>
        <v>sara juliana solano boada</v>
      </c>
      <c r="E196" s="6" t="str">
        <f>VLOOKUP(Tabla138[[#This Row],[ID_PARTIDO]],Original!$AT$1:$AY$46,3,FALSE)</f>
        <v xml:space="preserve">Juan Pablo Vargas Jiménez </v>
      </c>
      <c r="F196" s="6" t="str">
        <f>VLOOKUP(Tabla138[[#This Row],[ID_PARTIDO]],Original!$AT$1:$AY$46,4,FALSE)</f>
        <v xml:space="preserve">Jonatan Nicolas Marmolejo Lopez </v>
      </c>
      <c r="G196" s="6" t="str">
        <f>VLOOKUP(Tabla138[[#This Row],[ID_PARTIDO]],Original!$AT$1:$AY$46,5,FALSE)</f>
        <v>David Santiago Medina Buitrago</v>
      </c>
      <c r="H196" t="s">
        <v>7</v>
      </c>
      <c r="I196" t="s">
        <v>14</v>
      </c>
      <c r="J196" t="s">
        <v>7</v>
      </c>
      <c r="K196" t="s">
        <v>14</v>
      </c>
      <c r="L196">
        <v>1</v>
      </c>
      <c r="M196">
        <v>0</v>
      </c>
    </row>
    <row r="197" spans="1:13">
      <c r="A197">
        <v>40</v>
      </c>
      <c r="B197">
        <v>2</v>
      </c>
      <c r="C197">
        <v>3</v>
      </c>
      <c r="D197" s="6" t="str">
        <f>VLOOKUP(Tabla138[[#This Row],[ID_PARTIDO]],Original!$AT$1:$AY$46,2,FALSE)</f>
        <v>sara juliana solano boada</v>
      </c>
      <c r="E197" s="6" t="str">
        <f>VLOOKUP(Tabla138[[#This Row],[ID_PARTIDO]],Original!$AT$1:$AY$46,3,FALSE)</f>
        <v xml:space="preserve">Juan Pablo Vargas Jiménez </v>
      </c>
      <c r="F197" s="6" t="str">
        <f>VLOOKUP(Tabla138[[#This Row],[ID_PARTIDO]],Original!$AT$1:$AY$46,4,FALSE)</f>
        <v xml:space="preserve">Jonatan Nicolas Marmolejo Lopez </v>
      </c>
      <c r="G197" s="6" t="str">
        <f>VLOOKUP(Tabla138[[#This Row],[ID_PARTIDO]],Original!$AT$1:$AY$46,5,FALSE)</f>
        <v>David Santiago Medina Buitrago</v>
      </c>
      <c r="H197" t="s">
        <v>7</v>
      </c>
      <c r="I197" t="s">
        <v>14</v>
      </c>
      <c r="J197" t="s">
        <v>7</v>
      </c>
      <c r="K197" t="s">
        <v>14</v>
      </c>
      <c r="L197">
        <v>1</v>
      </c>
      <c r="M197">
        <v>0</v>
      </c>
    </row>
    <row r="198" spans="1:13">
      <c r="A198">
        <v>40</v>
      </c>
      <c r="B198">
        <v>2</v>
      </c>
      <c r="C198">
        <v>4</v>
      </c>
      <c r="D198" s="6" t="str">
        <f>VLOOKUP(Tabla138[[#This Row],[ID_PARTIDO]],Original!$AT$1:$AY$46,2,FALSE)</f>
        <v>sara juliana solano boada</v>
      </c>
      <c r="E198" s="6" t="str">
        <f>VLOOKUP(Tabla138[[#This Row],[ID_PARTIDO]],Original!$AT$1:$AY$46,3,FALSE)</f>
        <v xml:space="preserve">Juan Pablo Vargas Jiménez </v>
      </c>
      <c r="F198" s="6" t="str">
        <f>VLOOKUP(Tabla138[[#This Row],[ID_PARTIDO]],Original!$AT$1:$AY$46,4,FALSE)</f>
        <v xml:space="preserve">Jonatan Nicolas Marmolejo Lopez </v>
      </c>
      <c r="G198" s="6" t="str">
        <f>VLOOKUP(Tabla138[[#This Row],[ID_PARTIDO]],Original!$AT$1:$AY$46,5,FALSE)</f>
        <v>David Santiago Medina Buitrago</v>
      </c>
      <c r="H198" t="s">
        <v>7</v>
      </c>
      <c r="I198" t="s">
        <v>14</v>
      </c>
      <c r="J198" t="s">
        <v>7</v>
      </c>
      <c r="K198" t="s">
        <v>14</v>
      </c>
      <c r="L198">
        <v>0</v>
      </c>
      <c r="M198">
        <v>1</v>
      </c>
    </row>
    <row r="199" spans="1:13">
      <c r="A199">
        <v>40</v>
      </c>
      <c r="B199">
        <v>2</v>
      </c>
      <c r="C199">
        <v>5</v>
      </c>
      <c r="D199" s="6" t="str">
        <f>VLOOKUP(Tabla138[[#This Row],[ID_PARTIDO]],Original!$AT$1:$AY$46,2,FALSE)</f>
        <v>sara juliana solano boada</v>
      </c>
      <c r="E199" s="6" t="str">
        <f>VLOOKUP(Tabla138[[#This Row],[ID_PARTIDO]],Original!$AT$1:$AY$46,3,FALSE)</f>
        <v xml:space="preserve">Juan Pablo Vargas Jiménez </v>
      </c>
      <c r="F199" s="6" t="str">
        <f>VLOOKUP(Tabla138[[#This Row],[ID_PARTIDO]],Original!$AT$1:$AY$46,4,FALSE)</f>
        <v xml:space="preserve">Jonatan Nicolas Marmolejo Lopez </v>
      </c>
      <c r="G199" s="6" t="str">
        <f>VLOOKUP(Tabla138[[#This Row],[ID_PARTIDO]],Original!$AT$1:$AY$46,5,FALSE)</f>
        <v>David Santiago Medina Buitrago</v>
      </c>
      <c r="H199" t="s">
        <v>7</v>
      </c>
      <c r="I199" t="s">
        <v>14</v>
      </c>
      <c r="J199" t="s">
        <v>7</v>
      </c>
      <c r="K199" t="s">
        <v>14</v>
      </c>
      <c r="L199">
        <v>0</v>
      </c>
      <c r="M199">
        <v>1</v>
      </c>
    </row>
    <row r="200" spans="1:13">
      <c r="A200">
        <v>40</v>
      </c>
      <c r="B200">
        <v>2</v>
      </c>
      <c r="C200">
        <v>6</v>
      </c>
      <c r="D200" s="6" t="str">
        <f>VLOOKUP(Tabla138[[#This Row],[ID_PARTIDO]],Original!$AT$1:$AY$46,2,FALSE)</f>
        <v>sara juliana solano boada</v>
      </c>
      <c r="E200" s="6" t="str">
        <f>VLOOKUP(Tabla138[[#This Row],[ID_PARTIDO]],Original!$AT$1:$AY$46,3,FALSE)</f>
        <v xml:space="preserve">Juan Pablo Vargas Jiménez </v>
      </c>
      <c r="F200" s="6" t="str">
        <f>VLOOKUP(Tabla138[[#This Row],[ID_PARTIDO]],Original!$AT$1:$AY$46,4,FALSE)</f>
        <v xml:space="preserve">Jonatan Nicolas Marmolejo Lopez </v>
      </c>
      <c r="G200" s="6" t="str">
        <f>VLOOKUP(Tabla138[[#This Row],[ID_PARTIDO]],Original!$AT$1:$AY$46,5,FALSE)</f>
        <v>David Santiago Medina Buitrago</v>
      </c>
      <c r="H200" t="s">
        <v>7</v>
      </c>
      <c r="I200" t="s">
        <v>14</v>
      </c>
      <c r="J200" t="s">
        <v>7</v>
      </c>
      <c r="K200" t="s">
        <v>14</v>
      </c>
      <c r="L200">
        <v>1</v>
      </c>
      <c r="M200">
        <v>0</v>
      </c>
    </row>
    <row r="201" spans="1:13">
      <c r="A201">
        <v>40</v>
      </c>
      <c r="B201">
        <v>2</v>
      </c>
      <c r="C201">
        <v>7</v>
      </c>
      <c r="D201" s="6" t="str">
        <f>VLOOKUP(Tabla138[[#This Row],[ID_PARTIDO]],Original!$AT$1:$AY$46,2,FALSE)</f>
        <v>sara juliana solano boada</v>
      </c>
      <c r="E201" s="6" t="str">
        <f>VLOOKUP(Tabla138[[#This Row],[ID_PARTIDO]],Original!$AT$1:$AY$46,3,FALSE)</f>
        <v xml:space="preserve">Juan Pablo Vargas Jiménez </v>
      </c>
      <c r="F201" s="6" t="str">
        <f>VLOOKUP(Tabla138[[#This Row],[ID_PARTIDO]],Original!$AT$1:$AY$46,4,FALSE)</f>
        <v xml:space="preserve">Jonatan Nicolas Marmolejo Lopez </v>
      </c>
      <c r="G201" s="6" t="str">
        <f>VLOOKUP(Tabla138[[#This Row],[ID_PARTIDO]],Original!$AT$1:$AY$46,5,FALSE)</f>
        <v>David Santiago Medina Buitrago</v>
      </c>
      <c r="H201" t="s">
        <v>7</v>
      </c>
      <c r="I201" t="s">
        <v>14</v>
      </c>
      <c r="J201" t="s">
        <v>7</v>
      </c>
      <c r="K201" t="s">
        <v>14</v>
      </c>
      <c r="L201">
        <v>1</v>
      </c>
      <c r="M201">
        <v>0</v>
      </c>
    </row>
    <row r="202" spans="1:13">
      <c r="A202">
        <v>40</v>
      </c>
      <c r="B202">
        <v>2</v>
      </c>
      <c r="C202">
        <v>8</v>
      </c>
      <c r="D202" s="6" t="str">
        <f>VLOOKUP(Tabla138[[#This Row],[ID_PARTIDO]],Original!$AT$1:$AY$46,2,FALSE)</f>
        <v>sara juliana solano boada</v>
      </c>
      <c r="E202" s="6" t="str">
        <f>VLOOKUP(Tabla138[[#This Row],[ID_PARTIDO]],Original!$AT$1:$AY$46,3,FALSE)</f>
        <v xml:space="preserve">Juan Pablo Vargas Jiménez </v>
      </c>
      <c r="F202" s="6" t="str">
        <f>VLOOKUP(Tabla138[[#This Row],[ID_PARTIDO]],Original!$AT$1:$AY$46,4,FALSE)</f>
        <v xml:space="preserve">Jonatan Nicolas Marmolejo Lopez </v>
      </c>
      <c r="G202" s="6" t="str">
        <f>VLOOKUP(Tabla138[[#This Row],[ID_PARTIDO]],Original!$AT$1:$AY$46,5,FALSE)</f>
        <v>David Santiago Medina Buitrago</v>
      </c>
      <c r="H202" t="s">
        <v>7</v>
      </c>
      <c r="I202" t="s">
        <v>14</v>
      </c>
      <c r="J202" t="s">
        <v>7</v>
      </c>
      <c r="K202" t="s">
        <v>14</v>
      </c>
      <c r="L202">
        <v>0</v>
      </c>
      <c r="M202">
        <v>1</v>
      </c>
    </row>
    <row r="203" spans="1:13">
      <c r="A203">
        <v>40</v>
      </c>
      <c r="B203">
        <v>2</v>
      </c>
      <c r="C203">
        <v>9</v>
      </c>
      <c r="D203" s="6" t="str">
        <f>VLOOKUP(Tabla138[[#This Row],[ID_PARTIDO]],Original!$AT$1:$AY$46,2,FALSE)</f>
        <v>sara juliana solano boada</v>
      </c>
      <c r="E203" s="6" t="str">
        <f>VLOOKUP(Tabla138[[#This Row],[ID_PARTIDO]],Original!$AT$1:$AY$46,3,FALSE)</f>
        <v xml:space="preserve">Juan Pablo Vargas Jiménez </v>
      </c>
      <c r="F203" s="6" t="str">
        <f>VLOOKUP(Tabla138[[#This Row],[ID_PARTIDO]],Original!$AT$1:$AY$46,4,FALSE)</f>
        <v xml:space="preserve">Jonatan Nicolas Marmolejo Lopez </v>
      </c>
      <c r="G203" s="6" t="str">
        <f>VLOOKUP(Tabla138[[#This Row],[ID_PARTIDO]],Original!$AT$1:$AY$46,5,FALSE)</f>
        <v>David Santiago Medina Buitrago</v>
      </c>
      <c r="H203" t="s">
        <v>7</v>
      </c>
      <c r="I203" t="s">
        <v>14</v>
      </c>
      <c r="J203" t="s">
        <v>7</v>
      </c>
      <c r="K203" t="s">
        <v>14</v>
      </c>
      <c r="L203">
        <v>0</v>
      </c>
      <c r="M203">
        <v>1</v>
      </c>
    </row>
    <row r="204" spans="1:13">
      <c r="A204">
        <v>40</v>
      </c>
      <c r="B204">
        <v>2</v>
      </c>
      <c r="C204">
        <v>10</v>
      </c>
      <c r="D204" s="6" t="str">
        <f>VLOOKUP(Tabla138[[#This Row],[ID_PARTIDO]],Original!$AT$1:$AY$46,2,FALSE)</f>
        <v>sara juliana solano boada</v>
      </c>
      <c r="E204" s="6" t="str">
        <f>VLOOKUP(Tabla138[[#This Row],[ID_PARTIDO]],Original!$AT$1:$AY$46,3,FALSE)</f>
        <v xml:space="preserve">Juan Pablo Vargas Jiménez </v>
      </c>
      <c r="F204" s="6" t="str">
        <f>VLOOKUP(Tabla138[[#This Row],[ID_PARTIDO]],Original!$AT$1:$AY$46,4,FALSE)</f>
        <v xml:space="preserve">Jonatan Nicolas Marmolejo Lopez </v>
      </c>
      <c r="G204" s="6" t="str">
        <f>VLOOKUP(Tabla138[[#This Row],[ID_PARTIDO]],Original!$AT$1:$AY$46,5,FALSE)</f>
        <v>David Santiago Medina Buitrago</v>
      </c>
      <c r="H204" t="s">
        <v>7</v>
      </c>
      <c r="I204" t="s">
        <v>14</v>
      </c>
      <c r="J204" t="s">
        <v>7</v>
      </c>
      <c r="K204" t="s">
        <v>14</v>
      </c>
      <c r="L204">
        <v>0</v>
      </c>
      <c r="M204">
        <v>1</v>
      </c>
    </row>
    <row r="205" spans="1:13">
      <c r="A205">
        <v>40</v>
      </c>
      <c r="B205">
        <v>2</v>
      </c>
      <c r="C205">
        <v>11</v>
      </c>
      <c r="D205" s="6" t="str">
        <f>VLOOKUP(Tabla138[[#This Row],[ID_PARTIDO]],Original!$AT$1:$AY$46,2,FALSE)</f>
        <v>sara juliana solano boada</v>
      </c>
      <c r="E205" s="6" t="str">
        <f>VLOOKUP(Tabla138[[#This Row],[ID_PARTIDO]],Original!$AT$1:$AY$46,3,FALSE)</f>
        <v xml:space="preserve">Juan Pablo Vargas Jiménez </v>
      </c>
      <c r="F205" s="6" t="str">
        <f>VLOOKUP(Tabla138[[#This Row],[ID_PARTIDO]],Original!$AT$1:$AY$46,4,FALSE)</f>
        <v xml:space="preserve">Jonatan Nicolas Marmolejo Lopez </v>
      </c>
      <c r="G205" s="6" t="str">
        <f>VLOOKUP(Tabla138[[#This Row],[ID_PARTIDO]],Original!$AT$1:$AY$46,5,FALSE)</f>
        <v>David Santiago Medina Buitrago</v>
      </c>
      <c r="H205" t="s">
        <v>7</v>
      </c>
      <c r="I205" t="s">
        <v>14</v>
      </c>
      <c r="J205" t="s">
        <v>7</v>
      </c>
      <c r="K205" t="s">
        <v>14</v>
      </c>
      <c r="L205">
        <v>0</v>
      </c>
      <c r="M205">
        <v>1</v>
      </c>
    </row>
    <row r="206" spans="1:13">
      <c r="A206">
        <v>38</v>
      </c>
      <c r="B206">
        <v>2</v>
      </c>
      <c r="C206">
        <v>1</v>
      </c>
      <c r="D206" s="6" t="str">
        <f>VLOOKUP(Tabla138[[#This Row],[ID_PARTIDO]],Original!$AT$1:$AY$46,2,FALSE)</f>
        <v xml:space="preserve">Nicolas Navarro </v>
      </c>
      <c r="E206" s="6" t="str">
        <f>VLOOKUP(Tabla138[[#This Row],[ID_PARTIDO]],Original!$AT$1:$AY$46,3,FALSE)</f>
        <v>sara juliana solano boada</v>
      </c>
      <c r="F206" s="6" t="str">
        <f>VLOOKUP(Tabla138[[#This Row],[ID_PARTIDO]],Original!$AT$1:$AY$46,4,FALSE)</f>
        <v xml:space="preserve">Santiago Gutiérrez de Piñeres Barbosa  </v>
      </c>
      <c r="G206" s="6" t="str">
        <f>VLOOKUP(Tabla138[[#This Row],[ID_PARTIDO]],Original!$AT$1:$AY$46,5,FALSE)</f>
        <v>Jorge Enrique Lugo Lopez</v>
      </c>
      <c r="H206" t="s">
        <v>14</v>
      </c>
      <c r="I206" t="s">
        <v>7</v>
      </c>
      <c r="J206" t="s">
        <v>7</v>
      </c>
      <c r="K206" t="s">
        <v>14</v>
      </c>
      <c r="L206">
        <v>1</v>
      </c>
      <c r="M206">
        <v>0</v>
      </c>
    </row>
    <row r="207" spans="1:13">
      <c r="A207">
        <v>38</v>
      </c>
      <c r="B207">
        <v>2</v>
      </c>
      <c r="C207">
        <v>2</v>
      </c>
      <c r="D207" s="6" t="str">
        <f>VLOOKUP(Tabla138[[#This Row],[ID_PARTIDO]],Original!$AT$1:$AY$46,2,FALSE)</f>
        <v xml:space="preserve">Nicolas Navarro </v>
      </c>
      <c r="E207" s="6" t="str">
        <f>VLOOKUP(Tabla138[[#This Row],[ID_PARTIDO]],Original!$AT$1:$AY$46,3,FALSE)</f>
        <v>sara juliana solano boada</v>
      </c>
      <c r="F207" s="6" t="str">
        <f>VLOOKUP(Tabla138[[#This Row],[ID_PARTIDO]],Original!$AT$1:$AY$46,4,FALSE)</f>
        <v xml:space="preserve">Santiago Gutiérrez de Piñeres Barbosa  </v>
      </c>
      <c r="G207" s="6" t="str">
        <f>VLOOKUP(Tabla138[[#This Row],[ID_PARTIDO]],Original!$AT$1:$AY$46,5,FALSE)</f>
        <v>Jorge Enrique Lugo Lopez</v>
      </c>
      <c r="H207" t="s">
        <v>14</v>
      </c>
      <c r="I207" t="s">
        <v>7</v>
      </c>
      <c r="J207" t="s">
        <v>7</v>
      </c>
      <c r="K207" t="s">
        <v>14</v>
      </c>
      <c r="L207">
        <v>0</v>
      </c>
      <c r="M207">
        <v>1</v>
      </c>
    </row>
    <row r="208" spans="1:13">
      <c r="A208">
        <v>38</v>
      </c>
      <c r="B208">
        <v>2</v>
      </c>
      <c r="C208">
        <v>3</v>
      </c>
      <c r="D208" s="6" t="str">
        <f>VLOOKUP(Tabla138[[#This Row],[ID_PARTIDO]],Original!$AT$1:$AY$46,2,FALSE)</f>
        <v xml:space="preserve">Nicolas Navarro </v>
      </c>
      <c r="E208" s="6" t="str">
        <f>VLOOKUP(Tabla138[[#This Row],[ID_PARTIDO]],Original!$AT$1:$AY$46,3,FALSE)</f>
        <v>sara juliana solano boada</v>
      </c>
      <c r="F208" s="6" t="str">
        <f>VLOOKUP(Tabla138[[#This Row],[ID_PARTIDO]],Original!$AT$1:$AY$46,4,FALSE)</f>
        <v xml:space="preserve">Santiago Gutiérrez de Piñeres Barbosa  </v>
      </c>
      <c r="G208" s="6" t="str">
        <f>VLOOKUP(Tabla138[[#This Row],[ID_PARTIDO]],Original!$AT$1:$AY$46,5,FALSE)</f>
        <v>Jorge Enrique Lugo Lopez</v>
      </c>
      <c r="H208" t="s">
        <v>14</v>
      </c>
      <c r="I208" t="s">
        <v>7</v>
      </c>
      <c r="J208" t="s">
        <v>7</v>
      </c>
      <c r="K208" t="s">
        <v>14</v>
      </c>
      <c r="L208">
        <v>0</v>
      </c>
      <c r="M208">
        <v>1</v>
      </c>
    </row>
    <row r="209" spans="1:13">
      <c r="A209">
        <v>38</v>
      </c>
      <c r="B209">
        <v>2</v>
      </c>
      <c r="C209">
        <v>4</v>
      </c>
      <c r="D209" s="6" t="str">
        <f>VLOOKUP(Tabla138[[#This Row],[ID_PARTIDO]],Original!$AT$1:$AY$46,2,FALSE)</f>
        <v xml:space="preserve">Nicolas Navarro </v>
      </c>
      <c r="E209" s="6" t="str">
        <f>VLOOKUP(Tabla138[[#This Row],[ID_PARTIDO]],Original!$AT$1:$AY$46,3,FALSE)</f>
        <v>sara juliana solano boada</v>
      </c>
      <c r="F209" s="6" t="str">
        <f>VLOOKUP(Tabla138[[#This Row],[ID_PARTIDO]],Original!$AT$1:$AY$46,4,FALSE)</f>
        <v xml:space="preserve">Santiago Gutiérrez de Piñeres Barbosa  </v>
      </c>
      <c r="G209" s="6" t="str">
        <f>VLOOKUP(Tabla138[[#This Row],[ID_PARTIDO]],Original!$AT$1:$AY$46,5,FALSE)</f>
        <v>Jorge Enrique Lugo Lopez</v>
      </c>
      <c r="H209" t="s">
        <v>14</v>
      </c>
      <c r="I209" t="s">
        <v>7</v>
      </c>
      <c r="J209" t="s">
        <v>7</v>
      </c>
      <c r="K209" t="s">
        <v>14</v>
      </c>
      <c r="L209">
        <v>1</v>
      </c>
      <c r="M209">
        <v>0</v>
      </c>
    </row>
    <row r="210" spans="1:13">
      <c r="A210">
        <v>38</v>
      </c>
      <c r="B210">
        <v>2</v>
      </c>
      <c r="C210">
        <v>5</v>
      </c>
      <c r="D210" s="6" t="str">
        <f>VLOOKUP(Tabla138[[#This Row],[ID_PARTIDO]],Original!$AT$1:$AY$46,2,FALSE)</f>
        <v xml:space="preserve">Nicolas Navarro </v>
      </c>
      <c r="E210" s="6" t="str">
        <f>VLOOKUP(Tabla138[[#This Row],[ID_PARTIDO]],Original!$AT$1:$AY$46,3,FALSE)</f>
        <v>sara juliana solano boada</v>
      </c>
      <c r="F210" s="6" t="str">
        <f>VLOOKUP(Tabla138[[#This Row],[ID_PARTIDO]],Original!$AT$1:$AY$46,4,FALSE)</f>
        <v xml:space="preserve">Santiago Gutiérrez de Piñeres Barbosa  </v>
      </c>
      <c r="G210" s="6" t="str">
        <f>VLOOKUP(Tabla138[[#This Row],[ID_PARTIDO]],Original!$AT$1:$AY$46,5,FALSE)</f>
        <v>Jorge Enrique Lugo Lopez</v>
      </c>
      <c r="H210" t="s">
        <v>14</v>
      </c>
      <c r="I210" t="s">
        <v>7</v>
      </c>
      <c r="J210" t="s">
        <v>7</v>
      </c>
      <c r="K210" t="s">
        <v>14</v>
      </c>
      <c r="L210">
        <v>0</v>
      </c>
      <c r="M210">
        <v>1</v>
      </c>
    </row>
    <row r="211" spans="1:13">
      <c r="A211">
        <v>38</v>
      </c>
      <c r="B211">
        <v>2</v>
      </c>
      <c r="C211">
        <v>6</v>
      </c>
      <c r="D211" s="6" t="str">
        <f>VLOOKUP(Tabla138[[#This Row],[ID_PARTIDO]],Original!$AT$1:$AY$46,2,FALSE)</f>
        <v xml:space="preserve">Nicolas Navarro </v>
      </c>
      <c r="E211" s="6" t="str">
        <f>VLOOKUP(Tabla138[[#This Row],[ID_PARTIDO]],Original!$AT$1:$AY$46,3,FALSE)</f>
        <v>sara juliana solano boada</v>
      </c>
      <c r="F211" s="6" t="str">
        <f>VLOOKUP(Tabla138[[#This Row],[ID_PARTIDO]],Original!$AT$1:$AY$46,4,FALSE)</f>
        <v xml:space="preserve">Santiago Gutiérrez de Piñeres Barbosa  </v>
      </c>
      <c r="G211" s="6" t="str">
        <f>VLOOKUP(Tabla138[[#This Row],[ID_PARTIDO]],Original!$AT$1:$AY$46,5,FALSE)</f>
        <v>Jorge Enrique Lugo Lopez</v>
      </c>
      <c r="H211" t="s">
        <v>14</v>
      </c>
      <c r="I211" t="s">
        <v>7</v>
      </c>
      <c r="J211" t="s">
        <v>7</v>
      </c>
      <c r="K211" t="s">
        <v>14</v>
      </c>
      <c r="L211">
        <v>1</v>
      </c>
      <c r="M211">
        <v>0</v>
      </c>
    </row>
    <row r="212" spans="1:13">
      <c r="A212">
        <v>38</v>
      </c>
      <c r="B212">
        <v>2</v>
      </c>
      <c r="C212">
        <v>7</v>
      </c>
      <c r="D212" s="6" t="str">
        <f>VLOOKUP(Tabla138[[#This Row],[ID_PARTIDO]],Original!$AT$1:$AY$46,2,FALSE)</f>
        <v xml:space="preserve">Nicolas Navarro </v>
      </c>
      <c r="E212" s="6" t="str">
        <f>VLOOKUP(Tabla138[[#This Row],[ID_PARTIDO]],Original!$AT$1:$AY$46,3,FALSE)</f>
        <v>sara juliana solano boada</v>
      </c>
      <c r="F212" s="6" t="str">
        <f>VLOOKUP(Tabla138[[#This Row],[ID_PARTIDO]],Original!$AT$1:$AY$46,4,FALSE)</f>
        <v xml:space="preserve">Santiago Gutiérrez de Piñeres Barbosa  </v>
      </c>
      <c r="G212" s="6" t="str">
        <f>VLOOKUP(Tabla138[[#This Row],[ID_PARTIDO]],Original!$AT$1:$AY$46,5,FALSE)</f>
        <v>Jorge Enrique Lugo Lopez</v>
      </c>
      <c r="H212" t="s">
        <v>14</v>
      </c>
      <c r="I212" t="s">
        <v>7</v>
      </c>
      <c r="J212" t="s">
        <v>7</v>
      </c>
      <c r="K212" t="s">
        <v>14</v>
      </c>
      <c r="L212">
        <v>0</v>
      </c>
      <c r="M212">
        <v>1</v>
      </c>
    </row>
    <row r="213" spans="1:13">
      <c r="A213">
        <v>38</v>
      </c>
      <c r="B213">
        <v>2</v>
      </c>
      <c r="C213">
        <v>8</v>
      </c>
      <c r="D213" s="6" t="str">
        <f>VLOOKUP(Tabla138[[#This Row],[ID_PARTIDO]],Original!$AT$1:$AY$46,2,FALSE)</f>
        <v xml:space="preserve">Nicolas Navarro </v>
      </c>
      <c r="E213" s="6" t="str">
        <f>VLOOKUP(Tabla138[[#This Row],[ID_PARTIDO]],Original!$AT$1:$AY$46,3,FALSE)</f>
        <v>sara juliana solano boada</v>
      </c>
      <c r="F213" s="6" t="str">
        <f>VLOOKUP(Tabla138[[#This Row],[ID_PARTIDO]],Original!$AT$1:$AY$46,4,FALSE)</f>
        <v xml:space="preserve">Santiago Gutiérrez de Piñeres Barbosa  </v>
      </c>
      <c r="G213" s="6" t="str">
        <f>VLOOKUP(Tabla138[[#This Row],[ID_PARTIDO]],Original!$AT$1:$AY$46,5,FALSE)</f>
        <v>Jorge Enrique Lugo Lopez</v>
      </c>
      <c r="H213" t="s">
        <v>14</v>
      </c>
      <c r="I213" t="s">
        <v>7</v>
      </c>
      <c r="J213" t="s">
        <v>7</v>
      </c>
      <c r="K213" t="s">
        <v>14</v>
      </c>
      <c r="L213">
        <v>1</v>
      </c>
      <c r="M213">
        <v>0</v>
      </c>
    </row>
    <row r="214" spans="1:13">
      <c r="A214">
        <v>38</v>
      </c>
      <c r="B214">
        <v>2</v>
      </c>
      <c r="C214">
        <v>9</v>
      </c>
      <c r="D214" s="6" t="str">
        <f>VLOOKUP(Tabla138[[#This Row],[ID_PARTIDO]],Original!$AT$1:$AY$46,2,FALSE)</f>
        <v xml:space="preserve">Nicolas Navarro </v>
      </c>
      <c r="E214" s="6" t="str">
        <f>VLOOKUP(Tabla138[[#This Row],[ID_PARTIDO]],Original!$AT$1:$AY$46,3,FALSE)</f>
        <v>sara juliana solano boada</v>
      </c>
      <c r="F214" s="6" t="str">
        <f>VLOOKUP(Tabla138[[#This Row],[ID_PARTIDO]],Original!$AT$1:$AY$46,4,FALSE)</f>
        <v xml:space="preserve">Santiago Gutiérrez de Piñeres Barbosa  </v>
      </c>
      <c r="G214" s="6" t="str">
        <f>VLOOKUP(Tabla138[[#This Row],[ID_PARTIDO]],Original!$AT$1:$AY$46,5,FALSE)</f>
        <v>Jorge Enrique Lugo Lopez</v>
      </c>
      <c r="H214" t="s">
        <v>14</v>
      </c>
      <c r="I214" t="s">
        <v>7</v>
      </c>
      <c r="J214" t="s">
        <v>7</v>
      </c>
      <c r="K214" t="s">
        <v>14</v>
      </c>
      <c r="L214">
        <v>0</v>
      </c>
      <c r="M214">
        <v>1</v>
      </c>
    </row>
    <row r="215" spans="1:13">
      <c r="A215">
        <v>38</v>
      </c>
      <c r="B215">
        <v>2</v>
      </c>
      <c r="C215">
        <v>10</v>
      </c>
      <c r="D215" s="6" t="str">
        <f>VLOOKUP(Tabla138[[#This Row],[ID_PARTIDO]],Original!$AT$1:$AY$46,2,FALSE)</f>
        <v xml:space="preserve">Nicolas Navarro </v>
      </c>
      <c r="E215" s="6" t="str">
        <f>VLOOKUP(Tabla138[[#This Row],[ID_PARTIDO]],Original!$AT$1:$AY$46,3,FALSE)</f>
        <v>sara juliana solano boada</v>
      </c>
      <c r="F215" s="6" t="str">
        <f>VLOOKUP(Tabla138[[#This Row],[ID_PARTIDO]],Original!$AT$1:$AY$46,4,FALSE)</f>
        <v xml:space="preserve">Santiago Gutiérrez de Piñeres Barbosa  </v>
      </c>
      <c r="G215" s="6" t="str">
        <f>VLOOKUP(Tabla138[[#This Row],[ID_PARTIDO]],Original!$AT$1:$AY$46,5,FALSE)</f>
        <v>Jorge Enrique Lugo Lopez</v>
      </c>
      <c r="H215" t="s">
        <v>14</v>
      </c>
      <c r="I215" t="s">
        <v>7</v>
      </c>
      <c r="J215" t="s">
        <v>7</v>
      </c>
      <c r="K215" t="s">
        <v>14</v>
      </c>
      <c r="L215">
        <v>0</v>
      </c>
      <c r="M215">
        <v>1</v>
      </c>
    </row>
    <row r="216" spans="1:13">
      <c r="A216">
        <v>38</v>
      </c>
      <c r="B216">
        <v>2</v>
      </c>
      <c r="C216">
        <v>11</v>
      </c>
      <c r="D216" s="6" t="str">
        <f>VLOOKUP(Tabla138[[#This Row],[ID_PARTIDO]],Original!$AT$1:$AY$46,2,FALSE)</f>
        <v xml:space="preserve">Nicolas Navarro </v>
      </c>
      <c r="E216" s="6" t="str">
        <f>VLOOKUP(Tabla138[[#This Row],[ID_PARTIDO]],Original!$AT$1:$AY$46,3,FALSE)</f>
        <v>sara juliana solano boada</v>
      </c>
      <c r="F216" s="6" t="str">
        <f>VLOOKUP(Tabla138[[#This Row],[ID_PARTIDO]],Original!$AT$1:$AY$46,4,FALSE)</f>
        <v xml:space="preserve">Santiago Gutiérrez de Piñeres Barbosa  </v>
      </c>
      <c r="G216" s="6" t="str">
        <f>VLOOKUP(Tabla138[[#This Row],[ID_PARTIDO]],Original!$AT$1:$AY$46,5,FALSE)</f>
        <v>Jorge Enrique Lugo Lopez</v>
      </c>
      <c r="H216" t="s">
        <v>14</v>
      </c>
      <c r="I216" t="s">
        <v>7</v>
      </c>
      <c r="J216" t="s">
        <v>7</v>
      </c>
      <c r="K216" t="s">
        <v>14</v>
      </c>
      <c r="L216">
        <v>0</v>
      </c>
      <c r="M216">
        <v>1</v>
      </c>
    </row>
    <row r="217" spans="1:13">
      <c r="A217">
        <v>42</v>
      </c>
      <c r="B217">
        <v>2</v>
      </c>
      <c r="C217">
        <v>1</v>
      </c>
      <c r="D217" s="6" t="str">
        <f>VLOOKUP(Tabla138[[#This Row],[ID_PARTIDO]],Original!$AT$1:$AY$46,2,FALSE)</f>
        <v xml:space="preserve">Sergio Andrés López Rodríguez </v>
      </c>
      <c r="E217" s="6" t="str">
        <f>VLOOKUP(Tabla138[[#This Row],[ID_PARTIDO]],Original!$AT$1:$AY$46,3,FALSE)</f>
        <v xml:space="preserve">juan miguel venegas garzón </v>
      </c>
      <c r="F217" s="6" t="str">
        <f>VLOOKUP(Tabla138[[#This Row],[ID_PARTIDO]],Original!$AT$1:$AY$46,4,FALSE)</f>
        <v>Cristian Stevan Soto Zapata</v>
      </c>
      <c r="G217" s="6" t="str">
        <f>VLOOKUP(Tabla138[[#This Row],[ID_PARTIDO]],Original!$AT$1:$AY$46,5,FALSE)</f>
        <v>sara juliana solano boada</v>
      </c>
      <c r="H217" t="s">
        <v>14</v>
      </c>
      <c r="I217" t="s">
        <v>7</v>
      </c>
      <c r="J217" t="s">
        <v>14</v>
      </c>
      <c r="K217" t="s">
        <v>7</v>
      </c>
      <c r="L217">
        <v>1</v>
      </c>
      <c r="M217">
        <v>0</v>
      </c>
    </row>
    <row r="218" spans="1:13">
      <c r="A218">
        <v>42</v>
      </c>
      <c r="B218">
        <v>2</v>
      </c>
      <c r="C218">
        <v>2</v>
      </c>
      <c r="D218" s="6" t="str">
        <f>VLOOKUP(Tabla138[[#This Row],[ID_PARTIDO]],Original!$AT$1:$AY$46,2,FALSE)</f>
        <v xml:space="preserve">Sergio Andrés López Rodríguez </v>
      </c>
      <c r="E218" s="6" t="str">
        <f>VLOOKUP(Tabla138[[#This Row],[ID_PARTIDO]],Original!$AT$1:$AY$46,3,FALSE)</f>
        <v xml:space="preserve">juan miguel venegas garzón </v>
      </c>
      <c r="F218" s="6" t="str">
        <f>VLOOKUP(Tabla138[[#This Row],[ID_PARTIDO]],Original!$AT$1:$AY$46,4,FALSE)</f>
        <v>Cristian Stevan Soto Zapata</v>
      </c>
      <c r="G218" s="6" t="str">
        <f>VLOOKUP(Tabla138[[#This Row],[ID_PARTIDO]],Original!$AT$1:$AY$46,5,FALSE)</f>
        <v>sara juliana solano boada</v>
      </c>
      <c r="H218" t="s">
        <v>14</v>
      </c>
      <c r="I218" t="s">
        <v>7</v>
      </c>
      <c r="J218" t="s">
        <v>14</v>
      </c>
      <c r="K218" t="s">
        <v>7</v>
      </c>
      <c r="L218">
        <v>1</v>
      </c>
      <c r="M218">
        <v>0</v>
      </c>
    </row>
    <row r="219" spans="1:13">
      <c r="A219">
        <v>42</v>
      </c>
      <c r="B219">
        <v>2</v>
      </c>
      <c r="C219">
        <v>3</v>
      </c>
      <c r="D219" s="6" t="str">
        <f>VLOOKUP(Tabla138[[#This Row],[ID_PARTIDO]],Original!$AT$1:$AY$46,2,FALSE)</f>
        <v xml:space="preserve">Sergio Andrés López Rodríguez </v>
      </c>
      <c r="E219" s="6" t="str">
        <f>VLOOKUP(Tabla138[[#This Row],[ID_PARTIDO]],Original!$AT$1:$AY$46,3,FALSE)</f>
        <v xml:space="preserve">juan miguel venegas garzón </v>
      </c>
      <c r="F219" s="6" t="str">
        <f>VLOOKUP(Tabla138[[#This Row],[ID_PARTIDO]],Original!$AT$1:$AY$46,4,FALSE)</f>
        <v>Cristian Stevan Soto Zapata</v>
      </c>
      <c r="G219" s="6" t="str">
        <f>VLOOKUP(Tabla138[[#This Row],[ID_PARTIDO]],Original!$AT$1:$AY$46,5,FALSE)</f>
        <v>sara juliana solano boada</v>
      </c>
      <c r="H219" t="s">
        <v>14</v>
      </c>
      <c r="I219" t="s">
        <v>7</v>
      </c>
      <c r="J219" t="s">
        <v>14</v>
      </c>
      <c r="K219" t="s">
        <v>7</v>
      </c>
      <c r="L219">
        <v>1</v>
      </c>
      <c r="M219">
        <v>0</v>
      </c>
    </row>
    <row r="220" spans="1:13">
      <c r="A220">
        <v>42</v>
      </c>
      <c r="B220">
        <v>2</v>
      </c>
      <c r="C220">
        <v>4</v>
      </c>
      <c r="D220" s="6" t="str">
        <f>VLOOKUP(Tabla138[[#This Row],[ID_PARTIDO]],Original!$AT$1:$AY$46,2,FALSE)</f>
        <v xml:space="preserve">Sergio Andrés López Rodríguez </v>
      </c>
      <c r="E220" s="6" t="str">
        <f>VLOOKUP(Tabla138[[#This Row],[ID_PARTIDO]],Original!$AT$1:$AY$46,3,FALSE)</f>
        <v xml:space="preserve">juan miguel venegas garzón </v>
      </c>
      <c r="F220" s="6" t="str">
        <f>VLOOKUP(Tabla138[[#This Row],[ID_PARTIDO]],Original!$AT$1:$AY$46,4,FALSE)</f>
        <v>Cristian Stevan Soto Zapata</v>
      </c>
      <c r="G220" s="6" t="str">
        <f>VLOOKUP(Tabla138[[#This Row],[ID_PARTIDO]],Original!$AT$1:$AY$46,5,FALSE)</f>
        <v>sara juliana solano boada</v>
      </c>
      <c r="H220" t="s">
        <v>14</v>
      </c>
      <c r="I220" t="s">
        <v>7</v>
      </c>
      <c r="J220" t="s">
        <v>14</v>
      </c>
      <c r="K220" t="s">
        <v>7</v>
      </c>
      <c r="L220">
        <v>1</v>
      </c>
      <c r="M220">
        <v>0</v>
      </c>
    </row>
    <row r="221" spans="1:13">
      <c r="A221">
        <v>42</v>
      </c>
      <c r="B221">
        <v>2</v>
      </c>
      <c r="C221">
        <v>5</v>
      </c>
      <c r="D221" s="6" t="str">
        <f>VLOOKUP(Tabla138[[#This Row],[ID_PARTIDO]],Original!$AT$1:$AY$46,2,FALSE)</f>
        <v xml:space="preserve">Sergio Andrés López Rodríguez </v>
      </c>
      <c r="E221" s="6" t="str">
        <f>VLOOKUP(Tabla138[[#This Row],[ID_PARTIDO]],Original!$AT$1:$AY$46,3,FALSE)</f>
        <v xml:space="preserve">juan miguel venegas garzón </v>
      </c>
      <c r="F221" s="6" t="str">
        <f>VLOOKUP(Tabla138[[#This Row],[ID_PARTIDO]],Original!$AT$1:$AY$46,4,FALSE)</f>
        <v>Cristian Stevan Soto Zapata</v>
      </c>
      <c r="G221" s="6" t="str">
        <f>VLOOKUP(Tabla138[[#This Row],[ID_PARTIDO]],Original!$AT$1:$AY$46,5,FALSE)</f>
        <v>sara juliana solano boada</v>
      </c>
      <c r="H221" t="s">
        <v>14</v>
      </c>
      <c r="I221" t="s">
        <v>7</v>
      </c>
      <c r="J221" t="s">
        <v>14</v>
      </c>
      <c r="K221" t="s">
        <v>7</v>
      </c>
      <c r="L221">
        <v>1</v>
      </c>
      <c r="M221">
        <v>0</v>
      </c>
    </row>
    <row r="222" spans="1:13">
      <c r="A222">
        <v>42</v>
      </c>
      <c r="B222">
        <v>2</v>
      </c>
      <c r="C222">
        <v>6</v>
      </c>
      <c r="D222" s="6" t="str">
        <f>VLOOKUP(Tabla138[[#This Row],[ID_PARTIDO]],Original!$AT$1:$AY$46,2,FALSE)</f>
        <v xml:space="preserve">Sergio Andrés López Rodríguez </v>
      </c>
      <c r="E222" s="6" t="str">
        <f>VLOOKUP(Tabla138[[#This Row],[ID_PARTIDO]],Original!$AT$1:$AY$46,3,FALSE)</f>
        <v xml:space="preserve">juan miguel venegas garzón </v>
      </c>
      <c r="F222" s="6" t="str">
        <f>VLOOKUP(Tabla138[[#This Row],[ID_PARTIDO]],Original!$AT$1:$AY$46,4,FALSE)</f>
        <v>Cristian Stevan Soto Zapata</v>
      </c>
      <c r="G222" s="6" t="str">
        <f>VLOOKUP(Tabla138[[#This Row],[ID_PARTIDO]],Original!$AT$1:$AY$46,5,FALSE)</f>
        <v>sara juliana solano boada</v>
      </c>
      <c r="H222" t="s">
        <v>14</v>
      </c>
      <c r="I222" t="s">
        <v>7</v>
      </c>
      <c r="J222" t="s">
        <v>14</v>
      </c>
      <c r="K222" t="s">
        <v>7</v>
      </c>
      <c r="L222">
        <v>1</v>
      </c>
      <c r="M222">
        <v>0</v>
      </c>
    </row>
    <row r="223" spans="1:13">
      <c r="A223">
        <v>42</v>
      </c>
      <c r="B223">
        <v>2</v>
      </c>
      <c r="C223">
        <v>7</v>
      </c>
      <c r="D223" s="6" t="str">
        <f>VLOOKUP(Tabla138[[#This Row],[ID_PARTIDO]],Original!$AT$1:$AY$46,2,FALSE)</f>
        <v xml:space="preserve">Sergio Andrés López Rodríguez </v>
      </c>
      <c r="E223" s="6" t="str">
        <f>VLOOKUP(Tabla138[[#This Row],[ID_PARTIDO]],Original!$AT$1:$AY$46,3,FALSE)</f>
        <v xml:space="preserve">juan miguel venegas garzón </v>
      </c>
      <c r="F223" s="6" t="str">
        <f>VLOOKUP(Tabla138[[#This Row],[ID_PARTIDO]],Original!$AT$1:$AY$46,4,FALSE)</f>
        <v>Cristian Stevan Soto Zapata</v>
      </c>
      <c r="G223" s="6" t="str">
        <f>VLOOKUP(Tabla138[[#This Row],[ID_PARTIDO]],Original!$AT$1:$AY$46,5,FALSE)</f>
        <v>sara juliana solano boada</v>
      </c>
      <c r="H223" t="s">
        <v>14</v>
      </c>
      <c r="I223" t="s">
        <v>7</v>
      </c>
      <c r="J223" t="s">
        <v>14</v>
      </c>
      <c r="K223" t="s">
        <v>7</v>
      </c>
      <c r="L223">
        <v>0</v>
      </c>
      <c r="M223">
        <v>1</v>
      </c>
    </row>
    <row r="224" spans="1:13">
      <c r="A224">
        <v>42</v>
      </c>
      <c r="B224">
        <v>2</v>
      </c>
      <c r="C224">
        <v>8</v>
      </c>
      <c r="D224" s="6" t="str">
        <f>VLOOKUP(Tabla138[[#This Row],[ID_PARTIDO]],Original!$AT$1:$AY$46,2,FALSE)</f>
        <v xml:space="preserve">Sergio Andrés López Rodríguez </v>
      </c>
      <c r="E224" s="6" t="str">
        <f>VLOOKUP(Tabla138[[#This Row],[ID_PARTIDO]],Original!$AT$1:$AY$46,3,FALSE)</f>
        <v xml:space="preserve">juan miguel venegas garzón </v>
      </c>
      <c r="F224" s="6" t="str">
        <f>VLOOKUP(Tabla138[[#This Row],[ID_PARTIDO]],Original!$AT$1:$AY$46,4,FALSE)</f>
        <v>Cristian Stevan Soto Zapata</v>
      </c>
      <c r="G224" s="6" t="str">
        <f>VLOOKUP(Tabla138[[#This Row],[ID_PARTIDO]],Original!$AT$1:$AY$46,5,FALSE)</f>
        <v>sara juliana solano boada</v>
      </c>
      <c r="H224" t="s">
        <v>14</v>
      </c>
      <c r="I224" t="s">
        <v>7</v>
      </c>
      <c r="J224" t="s">
        <v>14</v>
      </c>
      <c r="K224" t="s">
        <v>7</v>
      </c>
      <c r="L224">
        <v>0</v>
      </c>
      <c r="M224">
        <v>1</v>
      </c>
    </row>
    <row r="225" spans="1:13">
      <c r="A225">
        <v>42</v>
      </c>
      <c r="B225">
        <v>2</v>
      </c>
      <c r="C225">
        <v>9</v>
      </c>
      <c r="D225" s="6" t="str">
        <f>VLOOKUP(Tabla138[[#This Row],[ID_PARTIDO]],Original!$AT$1:$AY$46,2,FALSE)</f>
        <v xml:space="preserve">Sergio Andrés López Rodríguez </v>
      </c>
      <c r="E225" s="6" t="str">
        <f>VLOOKUP(Tabla138[[#This Row],[ID_PARTIDO]],Original!$AT$1:$AY$46,3,FALSE)</f>
        <v xml:space="preserve">juan miguel venegas garzón </v>
      </c>
      <c r="F225" s="6" t="str">
        <f>VLOOKUP(Tabla138[[#This Row],[ID_PARTIDO]],Original!$AT$1:$AY$46,4,FALSE)</f>
        <v>Cristian Stevan Soto Zapata</v>
      </c>
      <c r="G225" s="6" t="str">
        <f>VLOOKUP(Tabla138[[#This Row],[ID_PARTIDO]],Original!$AT$1:$AY$46,5,FALSE)</f>
        <v>sara juliana solano boada</v>
      </c>
      <c r="H225" t="s">
        <v>14</v>
      </c>
      <c r="I225" t="s">
        <v>7</v>
      </c>
      <c r="J225" t="s">
        <v>14</v>
      </c>
      <c r="K225" t="s">
        <v>7</v>
      </c>
      <c r="L225">
        <v>1</v>
      </c>
      <c r="M225">
        <v>0</v>
      </c>
    </row>
    <row r="226" spans="1:13">
      <c r="A226">
        <v>44</v>
      </c>
      <c r="B226">
        <v>2</v>
      </c>
      <c r="C226">
        <v>1</v>
      </c>
      <c r="D226" s="6" t="str">
        <f>VLOOKUP(Tabla138[[#This Row],[ID_PARTIDO]],Original!$AT$1:$AY$46,2,FALSE)</f>
        <v>Maria Fernanda Tamayo Lopez</v>
      </c>
      <c r="E226" s="6" t="str">
        <f>VLOOKUP(Tabla138[[#This Row],[ID_PARTIDO]],Original!$AT$1:$AY$46,3,FALSE)</f>
        <v xml:space="preserve">Juan Pablo Aponte Veloza </v>
      </c>
      <c r="F226" s="6" t="str">
        <f>VLOOKUP(Tabla138[[#This Row],[ID_PARTIDO]],Original!$AT$1:$AY$46,4,FALSE)</f>
        <v xml:space="preserve">Juliana Beltrán Díaz </v>
      </c>
      <c r="G226" s="6" t="s">
        <v>60</v>
      </c>
      <c r="H226" t="s">
        <v>7</v>
      </c>
      <c r="I226" t="s">
        <v>14</v>
      </c>
      <c r="J226" t="s">
        <v>7</v>
      </c>
      <c r="K226" t="s">
        <v>14</v>
      </c>
      <c r="L226">
        <v>0</v>
      </c>
      <c r="M226">
        <v>1</v>
      </c>
    </row>
    <row r="227" spans="1:13">
      <c r="A227">
        <v>44</v>
      </c>
      <c r="B227">
        <v>2</v>
      </c>
      <c r="C227">
        <v>2</v>
      </c>
      <c r="D227" s="6" t="str">
        <f>VLOOKUP(Tabla138[[#This Row],[ID_PARTIDO]],Original!$AT$1:$AY$46,2,FALSE)</f>
        <v>Maria Fernanda Tamayo Lopez</v>
      </c>
      <c r="E227" s="6" t="str">
        <f>VLOOKUP(Tabla138[[#This Row],[ID_PARTIDO]],Original!$AT$1:$AY$46,3,FALSE)</f>
        <v xml:space="preserve">Juan Pablo Aponte Veloza </v>
      </c>
      <c r="F227" s="6" t="str">
        <f>VLOOKUP(Tabla138[[#This Row],[ID_PARTIDO]],Original!$AT$1:$AY$46,4,FALSE)</f>
        <v xml:space="preserve">Juliana Beltrán Díaz </v>
      </c>
      <c r="G227" s="6" t="s">
        <v>60</v>
      </c>
      <c r="H227" t="s">
        <v>7</v>
      </c>
      <c r="I227" t="s">
        <v>14</v>
      </c>
      <c r="J227" t="s">
        <v>7</v>
      </c>
      <c r="K227" t="s">
        <v>14</v>
      </c>
      <c r="L227">
        <v>0</v>
      </c>
      <c r="M227">
        <v>1</v>
      </c>
    </row>
    <row r="228" spans="1:13">
      <c r="A228">
        <v>44</v>
      </c>
      <c r="B228">
        <v>2</v>
      </c>
      <c r="C228">
        <v>3</v>
      </c>
      <c r="D228" s="6" t="str">
        <f>VLOOKUP(Tabla138[[#This Row],[ID_PARTIDO]],Original!$AT$1:$AY$46,2,FALSE)</f>
        <v>Maria Fernanda Tamayo Lopez</v>
      </c>
      <c r="E228" s="6" t="str">
        <f>VLOOKUP(Tabla138[[#This Row],[ID_PARTIDO]],Original!$AT$1:$AY$46,3,FALSE)</f>
        <v xml:space="preserve">Juan Pablo Aponte Veloza </v>
      </c>
      <c r="F228" s="6" t="str">
        <f>VLOOKUP(Tabla138[[#This Row],[ID_PARTIDO]],Original!$AT$1:$AY$46,4,FALSE)</f>
        <v xml:space="preserve">Juliana Beltrán Díaz </v>
      </c>
      <c r="G228" s="6" t="s">
        <v>60</v>
      </c>
      <c r="H228" t="s">
        <v>7</v>
      </c>
      <c r="I228" t="s">
        <v>14</v>
      </c>
      <c r="J228" t="s">
        <v>7</v>
      </c>
      <c r="K228" t="s">
        <v>14</v>
      </c>
      <c r="L228">
        <v>0</v>
      </c>
      <c r="M228">
        <v>1</v>
      </c>
    </row>
    <row r="229" spans="1:13">
      <c r="A229">
        <v>44</v>
      </c>
      <c r="B229">
        <v>2</v>
      </c>
      <c r="C229">
        <v>4</v>
      </c>
      <c r="D229" s="6" t="str">
        <f>VLOOKUP(Tabla138[[#This Row],[ID_PARTIDO]],Original!$AT$1:$AY$46,2,FALSE)</f>
        <v>Maria Fernanda Tamayo Lopez</v>
      </c>
      <c r="E229" s="6" t="str">
        <f>VLOOKUP(Tabla138[[#This Row],[ID_PARTIDO]],Original!$AT$1:$AY$46,3,FALSE)</f>
        <v xml:space="preserve">Juan Pablo Aponte Veloza </v>
      </c>
      <c r="F229" s="6" t="str">
        <f>VLOOKUP(Tabla138[[#This Row],[ID_PARTIDO]],Original!$AT$1:$AY$46,4,FALSE)</f>
        <v xml:space="preserve">Juliana Beltrán Díaz </v>
      </c>
      <c r="G229" s="6" t="s">
        <v>60</v>
      </c>
      <c r="H229" t="s">
        <v>7</v>
      </c>
      <c r="I229" t="s">
        <v>14</v>
      </c>
      <c r="J229" t="s">
        <v>7</v>
      </c>
      <c r="K229" t="s">
        <v>14</v>
      </c>
      <c r="L229">
        <v>0</v>
      </c>
      <c r="M229">
        <v>1</v>
      </c>
    </row>
    <row r="230" spans="1:13">
      <c r="A230">
        <v>44</v>
      </c>
      <c r="B230">
        <v>2</v>
      </c>
      <c r="C230">
        <v>5</v>
      </c>
      <c r="D230" s="6" t="str">
        <f>VLOOKUP(Tabla138[[#This Row],[ID_PARTIDO]],Original!$AT$1:$AY$46,2,FALSE)</f>
        <v>Maria Fernanda Tamayo Lopez</v>
      </c>
      <c r="E230" s="6" t="str">
        <f>VLOOKUP(Tabla138[[#This Row],[ID_PARTIDO]],Original!$AT$1:$AY$46,3,FALSE)</f>
        <v xml:space="preserve">Juan Pablo Aponte Veloza </v>
      </c>
      <c r="F230" s="6" t="str">
        <f>VLOOKUP(Tabla138[[#This Row],[ID_PARTIDO]],Original!$AT$1:$AY$46,4,FALSE)</f>
        <v xml:space="preserve">Juliana Beltrán Díaz </v>
      </c>
      <c r="G230" s="6" t="s">
        <v>60</v>
      </c>
      <c r="H230" t="s">
        <v>7</v>
      </c>
      <c r="I230" t="s">
        <v>14</v>
      </c>
      <c r="J230" t="s">
        <v>7</v>
      </c>
      <c r="K230" t="s">
        <v>14</v>
      </c>
      <c r="L230">
        <v>0</v>
      </c>
      <c r="M230">
        <v>1</v>
      </c>
    </row>
    <row r="231" spans="1:13">
      <c r="A231">
        <v>44</v>
      </c>
      <c r="B231">
        <v>2</v>
      </c>
      <c r="C231">
        <v>6</v>
      </c>
      <c r="D231" s="6" t="str">
        <f>VLOOKUP(Tabla138[[#This Row],[ID_PARTIDO]],Original!$AT$1:$AY$46,2,FALSE)</f>
        <v>Maria Fernanda Tamayo Lopez</v>
      </c>
      <c r="E231" s="6" t="str">
        <f>VLOOKUP(Tabla138[[#This Row],[ID_PARTIDO]],Original!$AT$1:$AY$46,3,FALSE)</f>
        <v xml:space="preserve">Juan Pablo Aponte Veloza </v>
      </c>
      <c r="F231" s="6" t="str">
        <f>VLOOKUP(Tabla138[[#This Row],[ID_PARTIDO]],Original!$AT$1:$AY$46,4,FALSE)</f>
        <v xml:space="preserve">Juliana Beltrán Díaz </v>
      </c>
      <c r="G231" s="6" t="s">
        <v>60</v>
      </c>
      <c r="H231" t="s">
        <v>7</v>
      </c>
      <c r="I231" t="s">
        <v>14</v>
      </c>
      <c r="J231" t="s">
        <v>7</v>
      </c>
      <c r="K231" t="s">
        <v>14</v>
      </c>
      <c r="L231">
        <v>1</v>
      </c>
      <c r="M231">
        <v>0</v>
      </c>
    </row>
    <row r="232" spans="1:13">
      <c r="A232">
        <v>44</v>
      </c>
      <c r="B232">
        <v>2</v>
      </c>
      <c r="C232">
        <v>7</v>
      </c>
      <c r="D232" s="6" t="str">
        <f>VLOOKUP(Tabla138[[#This Row],[ID_PARTIDO]],Original!$AT$1:$AY$46,2,FALSE)</f>
        <v>Maria Fernanda Tamayo Lopez</v>
      </c>
      <c r="E232" s="6" t="str">
        <f>VLOOKUP(Tabla138[[#This Row],[ID_PARTIDO]],Original!$AT$1:$AY$46,3,FALSE)</f>
        <v xml:space="preserve">Juan Pablo Aponte Veloza </v>
      </c>
      <c r="F232" s="6" t="str">
        <f>VLOOKUP(Tabla138[[#This Row],[ID_PARTIDO]],Original!$AT$1:$AY$46,4,FALSE)</f>
        <v xml:space="preserve">Juliana Beltrán Díaz </v>
      </c>
      <c r="G232" s="6" t="s">
        <v>60</v>
      </c>
      <c r="H232" t="s">
        <v>7</v>
      </c>
      <c r="I232" t="s">
        <v>14</v>
      </c>
      <c r="J232" t="s">
        <v>7</v>
      </c>
      <c r="K232" t="s">
        <v>14</v>
      </c>
      <c r="L232">
        <v>1</v>
      </c>
      <c r="M232">
        <v>0</v>
      </c>
    </row>
    <row r="233" spans="1:13">
      <c r="A233">
        <v>44</v>
      </c>
      <c r="B233">
        <v>2</v>
      </c>
      <c r="C233">
        <v>8</v>
      </c>
      <c r="D233" s="6" t="str">
        <f>VLOOKUP(Tabla138[[#This Row],[ID_PARTIDO]],Original!$AT$1:$AY$46,2,FALSE)</f>
        <v>Maria Fernanda Tamayo Lopez</v>
      </c>
      <c r="E233" s="6" t="str">
        <f>VLOOKUP(Tabla138[[#This Row],[ID_PARTIDO]],Original!$AT$1:$AY$46,3,FALSE)</f>
        <v xml:space="preserve">Juan Pablo Aponte Veloza </v>
      </c>
      <c r="F233" s="6" t="str">
        <f>VLOOKUP(Tabla138[[#This Row],[ID_PARTIDO]],Original!$AT$1:$AY$46,4,FALSE)</f>
        <v xml:space="preserve">Juliana Beltrán Díaz </v>
      </c>
      <c r="G233" s="6" t="s">
        <v>60</v>
      </c>
      <c r="H233" t="s">
        <v>7</v>
      </c>
      <c r="I233" t="s">
        <v>14</v>
      </c>
      <c r="J233" t="s">
        <v>7</v>
      </c>
      <c r="K233" t="s">
        <v>14</v>
      </c>
      <c r="L233">
        <v>0</v>
      </c>
      <c r="M233">
        <v>1</v>
      </c>
    </row>
    <row r="234" spans="1:13">
      <c r="A234">
        <v>44</v>
      </c>
      <c r="B234">
        <v>2</v>
      </c>
      <c r="C234">
        <v>9</v>
      </c>
      <c r="D234" s="6" t="str">
        <f>VLOOKUP(Tabla138[[#This Row],[ID_PARTIDO]],Original!$AT$1:$AY$46,2,FALSE)</f>
        <v>Maria Fernanda Tamayo Lopez</v>
      </c>
      <c r="E234" s="6" t="str">
        <f>VLOOKUP(Tabla138[[#This Row],[ID_PARTIDO]],Original!$AT$1:$AY$46,3,FALSE)</f>
        <v xml:space="preserve">Juan Pablo Aponte Veloza </v>
      </c>
      <c r="F234" s="6" t="str">
        <f>VLOOKUP(Tabla138[[#This Row],[ID_PARTIDO]],Original!$AT$1:$AY$46,4,FALSE)</f>
        <v xml:space="preserve">Juliana Beltrán Díaz </v>
      </c>
      <c r="G234" s="6" t="s">
        <v>60</v>
      </c>
      <c r="H234" t="s">
        <v>7</v>
      </c>
      <c r="I234" t="s">
        <v>14</v>
      </c>
      <c r="J234" t="s">
        <v>7</v>
      </c>
      <c r="K234" t="s">
        <v>14</v>
      </c>
      <c r="L234">
        <v>0</v>
      </c>
      <c r="M234">
        <v>1</v>
      </c>
    </row>
    <row r="235" spans="1:13">
      <c r="A235">
        <v>44</v>
      </c>
      <c r="B235">
        <v>2</v>
      </c>
      <c r="C235">
        <v>10</v>
      </c>
      <c r="D235" s="6" t="str">
        <f>VLOOKUP(Tabla138[[#This Row],[ID_PARTIDO]],Original!$AT$1:$AY$46,2,FALSE)</f>
        <v>Maria Fernanda Tamayo Lopez</v>
      </c>
      <c r="E235" s="6" t="str">
        <f>VLOOKUP(Tabla138[[#This Row],[ID_PARTIDO]],Original!$AT$1:$AY$46,3,FALSE)</f>
        <v xml:space="preserve">Juan Pablo Aponte Veloza </v>
      </c>
      <c r="F235" s="6" t="str">
        <f>VLOOKUP(Tabla138[[#This Row],[ID_PARTIDO]],Original!$AT$1:$AY$46,4,FALSE)</f>
        <v xml:space="preserve">Juliana Beltrán Díaz </v>
      </c>
      <c r="G235" s="6" t="s">
        <v>60</v>
      </c>
      <c r="H235" t="s">
        <v>7</v>
      </c>
      <c r="I235" t="s">
        <v>14</v>
      </c>
      <c r="J235" t="s">
        <v>7</v>
      </c>
      <c r="K235" t="s">
        <v>14</v>
      </c>
    </row>
    <row r="236" spans="1:13">
      <c r="A236">
        <v>39</v>
      </c>
      <c r="B236">
        <v>2</v>
      </c>
      <c r="C236">
        <v>1</v>
      </c>
      <c r="D236" s="6" t="str">
        <f>VLOOKUP(Tabla138[[#This Row],[ID_PARTIDO]],Original!$AT$1:$AY$46,2,FALSE)</f>
        <v xml:space="preserve">Nicolas Navarro </v>
      </c>
      <c r="E236" s="6" t="str">
        <f>VLOOKUP(Tabla138[[#This Row],[ID_PARTIDO]],Original!$AT$1:$AY$46,3,FALSE)</f>
        <v xml:space="preserve">maria jose martinez villabona </v>
      </c>
      <c r="F236" s="6" t="str">
        <f>VLOOKUP(Tabla138[[#This Row],[ID_PARTIDO]],Original!$AT$1:$AY$46,4,FALSE)</f>
        <v>Maria Fernanda Tamayo Lopez</v>
      </c>
      <c r="G236" s="6" t="str">
        <f>VLOOKUP(Tabla138[[#This Row],[ID_PARTIDO]],Original!$AT$1:$AY$46,5,FALSE)</f>
        <v xml:space="preserve">Juan Pablo Vargas Jiménez </v>
      </c>
      <c r="H236" t="s">
        <v>14</v>
      </c>
      <c r="I236" t="s">
        <v>7</v>
      </c>
      <c r="J236" t="s">
        <v>7</v>
      </c>
      <c r="K236" t="s">
        <v>14</v>
      </c>
      <c r="L236">
        <v>1</v>
      </c>
      <c r="M236">
        <v>0</v>
      </c>
    </row>
    <row r="237" spans="1:13">
      <c r="A237">
        <v>39</v>
      </c>
      <c r="B237">
        <v>2</v>
      </c>
      <c r="C237">
        <v>2</v>
      </c>
      <c r="D237" s="6" t="str">
        <f>VLOOKUP(Tabla138[[#This Row],[ID_PARTIDO]],Original!$AT$1:$AY$46,2,FALSE)</f>
        <v xml:space="preserve">Nicolas Navarro </v>
      </c>
      <c r="E237" s="6" t="str">
        <f>VLOOKUP(Tabla138[[#This Row],[ID_PARTIDO]],Original!$AT$1:$AY$46,3,FALSE)</f>
        <v xml:space="preserve">maria jose martinez villabona </v>
      </c>
      <c r="F237" s="6" t="str">
        <f>VLOOKUP(Tabla138[[#This Row],[ID_PARTIDO]],Original!$AT$1:$AY$46,4,FALSE)</f>
        <v>Maria Fernanda Tamayo Lopez</v>
      </c>
      <c r="G237" s="6" t="str">
        <f>VLOOKUP(Tabla138[[#This Row],[ID_PARTIDO]],Original!$AT$1:$AY$46,5,FALSE)</f>
        <v xml:space="preserve">Juan Pablo Vargas Jiménez </v>
      </c>
      <c r="H237" t="s">
        <v>14</v>
      </c>
      <c r="I237" t="s">
        <v>7</v>
      </c>
      <c r="J237" t="s">
        <v>7</v>
      </c>
      <c r="K237" t="s">
        <v>14</v>
      </c>
      <c r="L237">
        <v>1</v>
      </c>
      <c r="M237">
        <v>0</v>
      </c>
    </row>
    <row r="238" spans="1:13">
      <c r="A238">
        <v>39</v>
      </c>
      <c r="B238">
        <v>2</v>
      </c>
      <c r="C238">
        <v>3</v>
      </c>
      <c r="D238" s="6" t="str">
        <f>VLOOKUP(Tabla138[[#This Row],[ID_PARTIDO]],Original!$AT$1:$AY$46,2,FALSE)</f>
        <v xml:space="preserve">Nicolas Navarro </v>
      </c>
      <c r="E238" s="6" t="str">
        <f>VLOOKUP(Tabla138[[#This Row],[ID_PARTIDO]],Original!$AT$1:$AY$46,3,FALSE)</f>
        <v xml:space="preserve">maria jose martinez villabona </v>
      </c>
      <c r="F238" s="6" t="str">
        <f>VLOOKUP(Tabla138[[#This Row],[ID_PARTIDO]],Original!$AT$1:$AY$46,4,FALSE)</f>
        <v>Maria Fernanda Tamayo Lopez</v>
      </c>
      <c r="G238" s="6" t="str">
        <f>VLOOKUP(Tabla138[[#This Row],[ID_PARTIDO]],Original!$AT$1:$AY$46,5,FALSE)</f>
        <v xml:space="preserve">Juan Pablo Vargas Jiménez </v>
      </c>
      <c r="H238" t="s">
        <v>14</v>
      </c>
      <c r="I238" t="s">
        <v>7</v>
      </c>
      <c r="J238" t="s">
        <v>7</v>
      </c>
      <c r="K238" t="s">
        <v>14</v>
      </c>
      <c r="L238">
        <v>1</v>
      </c>
      <c r="M238">
        <v>0</v>
      </c>
    </row>
    <row r="239" spans="1:13">
      <c r="A239">
        <v>39</v>
      </c>
      <c r="B239">
        <v>2</v>
      </c>
      <c r="C239">
        <v>4</v>
      </c>
      <c r="D239" s="6" t="str">
        <f>VLOOKUP(Tabla138[[#This Row],[ID_PARTIDO]],Original!$AT$1:$AY$46,2,FALSE)</f>
        <v xml:space="preserve">Nicolas Navarro </v>
      </c>
      <c r="E239" s="6" t="str">
        <f>VLOOKUP(Tabla138[[#This Row],[ID_PARTIDO]],Original!$AT$1:$AY$46,3,FALSE)</f>
        <v xml:space="preserve">maria jose martinez villabona </v>
      </c>
      <c r="F239" s="6" t="str">
        <f>VLOOKUP(Tabla138[[#This Row],[ID_PARTIDO]],Original!$AT$1:$AY$46,4,FALSE)</f>
        <v>Maria Fernanda Tamayo Lopez</v>
      </c>
      <c r="G239" s="6" t="str">
        <f>VLOOKUP(Tabla138[[#This Row],[ID_PARTIDO]],Original!$AT$1:$AY$46,5,FALSE)</f>
        <v xml:space="preserve">Juan Pablo Vargas Jiménez </v>
      </c>
      <c r="H239" t="s">
        <v>14</v>
      </c>
      <c r="I239" t="s">
        <v>7</v>
      </c>
      <c r="J239" t="s">
        <v>7</v>
      </c>
      <c r="K239" t="s">
        <v>14</v>
      </c>
      <c r="L239">
        <v>0</v>
      </c>
      <c r="M239">
        <v>1</v>
      </c>
    </row>
    <row r="240" spans="1:13">
      <c r="A240">
        <v>39</v>
      </c>
      <c r="B240">
        <v>2</v>
      </c>
      <c r="C240">
        <v>5</v>
      </c>
      <c r="D240" s="6" t="str">
        <f>VLOOKUP(Tabla138[[#This Row],[ID_PARTIDO]],Original!$AT$1:$AY$46,2,FALSE)</f>
        <v xml:space="preserve">Nicolas Navarro </v>
      </c>
      <c r="E240" s="6" t="str">
        <f>VLOOKUP(Tabla138[[#This Row],[ID_PARTIDO]],Original!$AT$1:$AY$46,3,FALSE)</f>
        <v xml:space="preserve">maria jose martinez villabona </v>
      </c>
      <c r="F240" s="6" t="str">
        <f>VLOOKUP(Tabla138[[#This Row],[ID_PARTIDO]],Original!$AT$1:$AY$46,4,FALSE)</f>
        <v>Maria Fernanda Tamayo Lopez</v>
      </c>
      <c r="G240" s="6" t="str">
        <f>VLOOKUP(Tabla138[[#This Row],[ID_PARTIDO]],Original!$AT$1:$AY$46,5,FALSE)</f>
        <v xml:space="preserve">Juan Pablo Vargas Jiménez </v>
      </c>
      <c r="H240" t="s">
        <v>14</v>
      </c>
      <c r="I240" t="s">
        <v>7</v>
      </c>
      <c r="J240" t="s">
        <v>7</v>
      </c>
      <c r="K240" t="s">
        <v>14</v>
      </c>
      <c r="L240">
        <v>0</v>
      </c>
      <c r="M240">
        <v>1</v>
      </c>
    </row>
    <row r="241" spans="1:13">
      <c r="A241">
        <v>39</v>
      </c>
      <c r="B241">
        <v>2</v>
      </c>
      <c r="C241">
        <v>6</v>
      </c>
      <c r="D241" s="6" t="str">
        <f>VLOOKUP(Tabla138[[#This Row],[ID_PARTIDO]],Original!$AT$1:$AY$46,2,FALSE)</f>
        <v xml:space="preserve">Nicolas Navarro </v>
      </c>
      <c r="E241" s="6" t="str">
        <f>VLOOKUP(Tabla138[[#This Row],[ID_PARTIDO]],Original!$AT$1:$AY$46,3,FALSE)</f>
        <v xml:space="preserve">maria jose martinez villabona </v>
      </c>
      <c r="F241" s="6" t="str">
        <f>VLOOKUP(Tabla138[[#This Row],[ID_PARTIDO]],Original!$AT$1:$AY$46,4,FALSE)</f>
        <v>Maria Fernanda Tamayo Lopez</v>
      </c>
      <c r="G241" s="6" t="str">
        <f>VLOOKUP(Tabla138[[#This Row],[ID_PARTIDO]],Original!$AT$1:$AY$46,5,FALSE)</f>
        <v xml:space="preserve">Juan Pablo Vargas Jiménez </v>
      </c>
      <c r="H241" t="s">
        <v>14</v>
      </c>
      <c r="I241" t="s">
        <v>7</v>
      </c>
      <c r="J241" t="s">
        <v>7</v>
      </c>
      <c r="K241" t="s">
        <v>14</v>
      </c>
      <c r="L241">
        <v>0</v>
      </c>
      <c r="M241">
        <v>1</v>
      </c>
    </row>
    <row r="242" spans="1:13">
      <c r="A242">
        <v>39</v>
      </c>
      <c r="B242">
        <v>2</v>
      </c>
      <c r="C242">
        <v>7</v>
      </c>
      <c r="D242" s="6" t="str">
        <f>VLOOKUP(Tabla138[[#This Row],[ID_PARTIDO]],Original!$AT$1:$AY$46,2,FALSE)</f>
        <v xml:space="preserve">Nicolas Navarro </v>
      </c>
      <c r="E242" s="6" t="str">
        <f>VLOOKUP(Tabla138[[#This Row],[ID_PARTIDO]],Original!$AT$1:$AY$46,3,FALSE)</f>
        <v xml:space="preserve">maria jose martinez villabona </v>
      </c>
      <c r="F242" s="6" t="str">
        <f>VLOOKUP(Tabla138[[#This Row],[ID_PARTIDO]],Original!$AT$1:$AY$46,4,FALSE)</f>
        <v>Maria Fernanda Tamayo Lopez</v>
      </c>
      <c r="G242" s="6" t="str">
        <f>VLOOKUP(Tabla138[[#This Row],[ID_PARTIDO]],Original!$AT$1:$AY$46,5,FALSE)</f>
        <v xml:space="preserve">Juan Pablo Vargas Jiménez </v>
      </c>
      <c r="H242" t="s">
        <v>14</v>
      </c>
      <c r="I242" t="s">
        <v>7</v>
      </c>
      <c r="J242" t="s">
        <v>7</v>
      </c>
      <c r="K242" t="s">
        <v>14</v>
      </c>
      <c r="L242">
        <v>1</v>
      </c>
      <c r="M242">
        <v>0</v>
      </c>
    </row>
    <row r="243" spans="1:13">
      <c r="A243">
        <v>39</v>
      </c>
      <c r="B243">
        <v>2</v>
      </c>
      <c r="C243">
        <v>8</v>
      </c>
      <c r="D243" s="6" t="str">
        <f>VLOOKUP(Tabla138[[#This Row],[ID_PARTIDO]],Original!$AT$1:$AY$46,2,FALSE)</f>
        <v xml:space="preserve">Nicolas Navarro </v>
      </c>
      <c r="E243" s="6" t="str">
        <f>VLOOKUP(Tabla138[[#This Row],[ID_PARTIDO]],Original!$AT$1:$AY$46,3,FALSE)</f>
        <v xml:space="preserve">maria jose martinez villabona </v>
      </c>
      <c r="F243" s="6" t="str">
        <f>VLOOKUP(Tabla138[[#This Row],[ID_PARTIDO]],Original!$AT$1:$AY$46,4,FALSE)</f>
        <v>Maria Fernanda Tamayo Lopez</v>
      </c>
      <c r="G243" s="6" t="str">
        <f>VLOOKUP(Tabla138[[#This Row],[ID_PARTIDO]],Original!$AT$1:$AY$46,5,FALSE)</f>
        <v xml:space="preserve">Juan Pablo Vargas Jiménez </v>
      </c>
      <c r="H243" t="s">
        <v>14</v>
      </c>
      <c r="I243" t="s">
        <v>7</v>
      </c>
      <c r="J243" t="s">
        <v>7</v>
      </c>
      <c r="K243" t="s">
        <v>14</v>
      </c>
      <c r="L243">
        <v>0</v>
      </c>
      <c r="M243">
        <v>1</v>
      </c>
    </row>
    <row r="244" spans="1:13">
      <c r="A244">
        <v>39</v>
      </c>
      <c r="B244">
        <v>2</v>
      </c>
      <c r="C244">
        <v>9</v>
      </c>
      <c r="D244" s="6" t="str">
        <f>VLOOKUP(Tabla138[[#This Row],[ID_PARTIDO]],Original!$AT$1:$AY$46,2,FALSE)</f>
        <v xml:space="preserve">Nicolas Navarro </v>
      </c>
      <c r="E244" s="6" t="str">
        <f>VLOOKUP(Tabla138[[#This Row],[ID_PARTIDO]],Original!$AT$1:$AY$46,3,FALSE)</f>
        <v xml:space="preserve">maria jose martinez villabona </v>
      </c>
      <c r="F244" s="6" t="str">
        <f>VLOOKUP(Tabla138[[#This Row],[ID_PARTIDO]],Original!$AT$1:$AY$46,4,FALSE)</f>
        <v>Maria Fernanda Tamayo Lopez</v>
      </c>
      <c r="G244" s="6" t="str">
        <f>VLOOKUP(Tabla138[[#This Row],[ID_PARTIDO]],Original!$AT$1:$AY$46,5,FALSE)</f>
        <v xml:space="preserve">Juan Pablo Vargas Jiménez </v>
      </c>
      <c r="H244" t="s">
        <v>14</v>
      </c>
      <c r="I244" t="s">
        <v>7</v>
      </c>
      <c r="J244" t="s">
        <v>7</v>
      </c>
      <c r="K244" t="s">
        <v>14</v>
      </c>
      <c r="L244">
        <v>1</v>
      </c>
      <c r="M244">
        <v>0</v>
      </c>
    </row>
    <row r="245" spans="1:13">
      <c r="A245">
        <v>39</v>
      </c>
      <c r="B245">
        <v>2</v>
      </c>
      <c r="C245">
        <v>10</v>
      </c>
      <c r="D245" s="6" t="str">
        <f>VLOOKUP(Tabla138[[#This Row],[ID_PARTIDO]],Original!$AT$1:$AY$46,2,FALSE)</f>
        <v xml:space="preserve">Nicolas Navarro </v>
      </c>
      <c r="E245" s="6" t="str">
        <f>VLOOKUP(Tabla138[[#This Row],[ID_PARTIDO]],Original!$AT$1:$AY$46,3,FALSE)</f>
        <v xml:space="preserve">maria jose martinez villabona </v>
      </c>
      <c r="F245" s="6" t="str">
        <f>VLOOKUP(Tabla138[[#This Row],[ID_PARTIDO]],Original!$AT$1:$AY$46,4,FALSE)</f>
        <v>Maria Fernanda Tamayo Lopez</v>
      </c>
      <c r="G245" s="6" t="str">
        <f>VLOOKUP(Tabla138[[#This Row],[ID_PARTIDO]],Original!$AT$1:$AY$46,5,FALSE)</f>
        <v xml:space="preserve">Juan Pablo Vargas Jiménez </v>
      </c>
      <c r="H245" t="s">
        <v>14</v>
      </c>
      <c r="I245" t="s">
        <v>7</v>
      </c>
      <c r="J245" t="s">
        <v>7</v>
      </c>
      <c r="K245" t="s">
        <v>14</v>
      </c>
      <c r="L245">
        <v>1</v>
      </c>
      <c r="M245">
        <v>0</v>
      </c>
    </row>
    <row r="246" spans="1:13">
      <c r="A246">
        <v>39</v>
      </c>
      <c r="B246">
        <v>2</v>
      </c>
      <c r="C246">
        <v>11</v>
      </c>
      <c r="D246" s="6" t="str">
        <f>VLOOKUP(Tabla138[[#This Row],[ID_PARTIDO]],Original!$AT$1:$AY$46,2,FALSE)</f>
        <v xml:space="preserve">Nicolas Navarro </v>
      </c>
      <c r="E246" s="6" t="str">
        <f>VLOOKUP(Tabla138[[#This Row],[ID_PARTIDO]],Original!$AT$1:$AY$46,3,FALSE)</f>
        <v xml:space="preserve">maria jose martinez villabona </v>
      </c>
      <c r="F246" s="6" t="str">
        <f>VLOOKUP(Tabla138[[#This Row],[ID_PARTIDO]],Original!$AT$1:$AY$46,4,FALSE)</f>
        <v>Maria Fernanda Tamayo Lopez</v>
      </c>
      <c r="G246" s="6" t="str">
        <f>VLOOKUP(Tabla138[[#This Row],[ID_PARTIDO]],Original!$AT$1:$AY$46,5,FALSE)</f>
        <v xml:space="preserve">Juan Pablo Vargas Jiménez </v>
      </c>
      <c r="H246" t="s">
        <v>14</v>
      </c>
      <c r="I246" t="s">
        <v>7</v>
      </c>
      <c r="J246" t="s">
        <v>7</v>
      </c>
      <c r="K246" t="s">
        <v>14</v>
      </c>
      <c r="L246">
        <v>0</v>
      </c>
      <c r="M246">
        <v>1</v>
      </c>
    </row>
    <row r="247" spans="1:13">
      <c r="A247">
        <v>39</v>
      </c>
      <c r="B247">
        <v>2</v>
      </c>
      <c r="C247">
        <v>12</v>
      </c>
      <c r="D247" s="6" t="str">
        <f>VLOOKUP(Tabla138[[#This Row],[ID_PARTIDO]],Original!$AT$1:$AY$46,2,FALSE)</f>
        <v xml:space="preserve">Nicolas Navarro </v>
      </c>
      <c r="E247" s="6" t="str">
        <f>VLOOKUP(Tabla138[[#This Row],[ID_PARTIDO]],Original!$AT$1:$AY$46,3,FALSE)</f>
        <v xml:space="preserve">maria jose martinez villabona </v>
      </c>
      <c r="F247" s="6" t="str">
        <f>VLOOKUP(Tabla138[[#This Row],[ID_PARTIDO]],Original!$AT$1:$AY$46,4,FALSE)</f>
        <v>Maria Fernanda Tamayo Lopez</v>
      </c>
      <c r="G247" s="6" t="str">
        <f>VLOOKUP(Tabla138[[#This Row],[ID_PARTIDO]],Original!$AT$1:$AY$46,5,FALSE)</f>
        <v xml:space="preserve">Juan Pablo Vargas Jiménez </v>
      </c>
      <c r="H247" t="s">
        <v>14</v>
      </c>
      <c r="I247" t="s">
        <v>7</v>
      </c>
      <c r="J247" t="s">
        <v>7</v>
      </c>
      <c r="K247" t="s">
        <v>14</v>
      </c>
      <c r="L247">
        <v>0</v>
      </c>
      <c r="M247">
        <v>1</v>
      </c>
    </row>
    <row r="248" spans="1:13">
      <c r="A248">
        <v>39</v>
      </c>
      <c r="B248">
        <v>2</v>
      </c>
      <c r="C248">
        <v>13</v>
      </c>
      <c r="D248" s="6" t="str">
        <f>VLOOKUP(Tabla138[[#This Row],[ID_PARTIDO]],Original!$AT$1:$AY$46,2,FALSE)</f>
        <v xml:space="preserve">Nicolas Navarro </v>
      </c>
      <c r="E248" s="6" t="str">
        <f>VLOOKUP(Tabla138[[#This Row],[ID_PARTIDO]],Original!$AT$1:$AY$46,3,FALSE)</f>
        <v xml:space="preserve">maria jose martinez villabona </v>
      </c>
      <c r="F248" s="6" t="str">
        <f>VLOOKUP(Tabla138[[#This Row],[ID_PARTIDO]],Original!$AT$1:$AY$46,4,FALSE)</f>
        <v>Maria Fernanda Tamayo Lopez</v>
      </c>
      <c r="G248" s="6" t="str">
        <f>VLOOKUP(Tabla138[[#This Row],[ID_PARTIDO]],Original!$AT$1:$AY$46,5,FALSE)</f>
        <v xml:space="preserve">Juan Pablo Vargas Jiménez </v>
      </c>
      <c r="H248" t="s">
        <v>14</v>
      </c>
      <c r="I248" t="s">
        <v>7</v>
      </c>
      <c r="J248" t="s">
        <v>7</v>
      </c>
      <c r="K248" t="s">
        <v>14</v>
      </c>
      <c r="L248">
        <v>0</v>
      </c>
      <c r="M248">
        <v>1</v>
      </c>
    </row>
    <row r="249" spans="1:13">
      <c r="A249">
        <v>39</v>
      </c>
      <c r="B249">
        <v>2</v>
      </c>
      <c r="C249">
        <v>14</v>
      </c>
      <c r="D249" s="6" t="str">
        <f>VLOOKUP(Tabla138[[#This Row],[ID_PARTIDO]],Original!$AT$1:$AY$46,2,FALSE)</f>
        <v xml:space="preserve">Nicolas Navarro </v>
      </c>
      <c r="E249" s="6" t="str">
        <f>VLOOKUP(Tabla138[[#This Row],[ID_PARTIDO]],Original!$AT$1:$AY$46,3,FALSE)</f>
        <v xml:space="preserve">maria jose martinez villabona </v>
      </c>
      <c r="F249" s="6" t="str">
        <f>VLOOKUP(Tabla138[[#This Row],[ID_PARTIDO]],Original!$AT$1:$AY$46,4,FALSE)</f>
        <v>Maria Fernanda Tamayo Lopez</v>
      </c>
      <c r="G249" s="6" t="str">
        <f>VLOOKUP(Tabla138[[#This Row],[ID_PARTIDO]],Original!$AT$1:$AY$46,5,FALSE)</f>
        <v xml:space="preserve">Juan Pablo Vargas Jiménez </v>
      </c>
      <c r="H249" t="s">
        <v>14</v>
      </c>
      <c r="I249" t="s">
        <v>7</v>
      </c>
      <c r="J249" t="s">
        <v>7</v>
      </c>
      <c r="K249" t="s">
        <v>14</v>
      </c>
      <c r="L249">
        <v>0</v>
      </c>
      <c r="M249">
        <v>1</v>
      </c>
    </row>
    <row r="250" spans="1:13">
      <c r="A250">
        <v>27</v>
      </c>
      <c r="B250">
        <v>1</v>
      </c>
      <c r="C250">
        <v>1</v>
      </c>
      <c r="D250" s="6" t="e">
        <f>VLOOKUP(Tabla1[[#This Row],[ID_PARTIDO]],Original!$AT$1:$AY$46,2,FALSE)</f>
        <v>#VALUE!</v>
      </c>
      <c r="E250" s="6" t="e">
        <f>VLOOKUP(Tabla1[[#This Row],[ID_PARTIDO]],Original!$AT$1:$AY$46,3,FALSE)</f>
        <v>#VALUE!</v>
      </c>
      <c r="F250" s="6" t="e">
        <f>VLOOKUP(Tabla1[[#This Row],[ID_PARTIDO]],Original!$AT$1:$AY$46,4,FALSE)</f>
        <v>#VALUE!</v>
      </c>
      <c r="G250" s="6" t="e">
        <f>VLOOKUP(Tabla1[[#This Row],[ID_PARTIDO]],Original!$AT$1:$AY$46,5,FALSE)</f>
        <v>#VALUE!</v>
      </c>
      <c r="H250" t="s">
        <v>14</v>
      </c>
      <c r="I250" t="s">
        <v>7</v>
      </c>
      <c r="J250" t="s">
        <v>14</v>
      </c>
      <c r="K250" t="s">
        <v>7</v>
      </c>
      <c r="L250">
        <v>1</v>
      </c>
      <c r="M250">
        <v>0</v>
      </c>
    </row>
    <row r="251" spans="1:13">
      <c r="A251">
        <v>27</v>
      </c>
      <c r="B251">
        <v>1</v>
      </c>
      <c r="C251">
        <v>2</v>
      </c>
      <c r="D251" s="6" t="e">
        <f>VLOOKUP(Tabla1[[#This Row],[ID_PARTIDO]],Original!$AT$1:$AY$46,2,FALSE)</f>
        <v>#VALUE!</v>
      </c>
      <c r="E251" s="6" t="e">
        <f>VLOOKUP(Tabla1[[#This Row],[ID_PARTIDO]],Original!$AT$1:$AY$46,3,FALSE)</f>
        <v>#VALUE!</v>
      </c>
      <c r="F251" s="6" t="e">
        <f>VLOOKUP(Tabla1[[#This Row],[ID_PARTIDO]],Original!$AT$1:$AY$46,4,FALSE)</f>
        <v>#VALUE!</v>
      </c>
      <c r="G251" s="6" t="e">
        <f>VLOOKUP(Tabla1[[#This Row],[ID_PARTIDO]],Original!$AT$1:$AY$46,5,FALSE)</f>
        <v>#VALUE!</v>
      </c>
      <c r="H251" t="s">
        <v>14</v>
      </c>
      <c r="I251" t="s">
        <v>7</v>
      </c>
      <c r="J251" t="s">
        <v>14</v>
      </c>
      <c r="K251" t="s">
        <v>7</v>
      </c>
      <c r="L251">
        <v>0</v>
      </c>
      <c r="M251">
        <v>1</v>
      </c>
    </row>
    <row r="252" spans="1:13">
      <c r="A252">
        <v>27</v>
      </c>
      <c r="B252">
        <v>1</v>
      </c>
      <c r="C252">
        <v>3</v>
      </c>
      <c r="D252" s="6" t="e">
        <f>VLOOKUP(Tabla1[[#This Row],[ID_PARTIDO]],Original!$AT$1:$AY$46,2,FALSE)</f>
        <v>#VALUE!</v>
      </c>
      <c r="E252" s="6" t="e">
        <f>VLOOKUP(Tabla1[[#This Row],[ID_PARTIDO]],Original!$AT$1:$AY$46,3,FALSE)</f>
        <v>#VALUE!</v>
      </c>
      <c r="F252" s="6" t="e">
        <f>VLOOKUP(Tabla1[[#This Row],[ID_PARTIDO]],Original!$AT$1:$AY$46,4,FALSE)</f>
        <v>#VALUE!</v>
      </c>
      <c r="G252" s="6" t="e">
        <f>VLOOKUP(Tabla1[[#This Row],[ID_PARTIDO]],Original!$AT$1:$AY$46,5,FALSE)</f>
        <v>#VALUE!</v>
      </c>
      <c r="H252" t="s">
        <v>14</v>
      </c>
      <c r="I252" t="s">
        <v>7</v>
      </c>
      <c r="J252" t="s">
        <v>14</v>
      </c>
      <c r="K252" t="s">
        <v>7</v>
      </c>
      <c r="L252">
        <v>0</v>
      </c>
      <c r="M252">
        <v>1</v>
      </c>
    </row>
    <row r="253" spans="1:13">
      <c r="A253">
        <v>27</v>
      </c>
      <c r="B253">
        <v>1</v>
      </c>
      <c r="C253">
        <v>4</v>
      </c>
      <c r="D253" s="6" t="e">
        <f>VLOOKUP(Tabla1[[#This Row],[ID_PARTIDO]],Original!$AT$1:$AY$46,2,FALSE)</f>
        <v>#VALUE!</v>
      </c>
      <c r="E253" s="6" t="e">
        <f>VLOOKUP(Tabla1[[#This Row],[ID_PARTIDO]],Original!$AT$1:$AY$46,3,FALSE)</f>
        <v>#VALUE!</v>
      </c>
      <c r="F253" s="6" t="e">
        <f>VLOOKUP(Tabla1[[#This Row],[ID_PARTIDO]],Original!$AT$1:$AY$46,4,FALSE)</f>
        <v>#VALUE!</v>
      </c>
      <c r="G253" s="6" t="e">
        <f>VLOOKUP(Tabla1[[#This Row],[ID_PARTIDO]],Original!$AT$1:$AY$46,5,FALSE)</f>
        <v>#VALUE!</v>
      </c>
      <c r="H253" t="s">
        <v>14</v>
      </c>
      <c r="I253" t="s">
        <v>7</v>
      </c>
      <c r="J253" t="s">
        <v>14</v>
      </c>
      <c r="K253" t="s">
        <v>7</v>
      </c>
      <c r="L253">
        <v>1</v>
      </c>
      <c r="M253">
        <v>0</v>
      </c>
    </row>
    <row r="254" spans="1:13">
      <c r="A254">
        <v>27</v>
      </c>
      <c r="B254">
        <v>1</v>
      </c>
      <c r="C254">
        <v>5</v>
      </c>
      <c r="D254" s="6" t="e">
        <f>VLOOKUP(Tabla1[[#This Row],[ID_PARTIDO]],Original!$AT$1:$AY$46,2,FALSE)</f>
        <v>#VALUE!</v>
      </c>
      <c r="E254" s="6" t="e">
        <f>VLOOKUP(Tabla1[[#This Row],[ID_PARTIDO]],Original!$AT$1:$AY$46,3,FALSE)</f>
        <v>#VALUE!</v>
      </c>
      <c r="F254" s="6" t="e">
        <f>VLOOKUP(Tabla1[[#This Row],[ID_PARTIDO]],Original!$AT$1:$AY$46,4,FALSE)</f>
        <v>#VALUE!</v>
      </c>
      <c r="G254" s="6" t="e">
        <f>VLOOKUP(Tabla1[[#This Row],[ID_PARTIDO]],Original!$AT$1:$AY$46,5,FALSE)</f>
        <v>#VALUE!</v>
      </c>
      <c r="H254" t="s">
        <v>14</v>
      </c>
      <c r="I254" t="s">
        <v>7</v>
      </c>
      <c r="J254" t="s">
        <v>14</v>
      </c>
      <c r="K254" t="s">
        <v>7</v>
      </c>
      <c r="L254">
        <v>0</v>
      </c>
      <c r="M254">
        <v>1</v>
      </c>
    </row>
    <row r="255" spans="1:13">
      <c r="A255">
        <v>27</v>
      </c>
      <c r="B255">
        <v>1</v>
      </c>
      <c r="C255">
        <v>6</v>
      </c>
      <c r="D255" s="6" t="e">
        <f>VLOOKUP(Tabla1[[#This Row],[ID_PARTIDO]],Original!$AT$1:$AY$46,2,FALSE)</f>
        <v>#VALUE!</v>
      </c>
      <c r="E255" s="6" t="e">
        <f>VLOOKUP(Tabla1[[#This Row],[ID_PARTIDO]],Original!$AT$1:$AY$46,3,FALSE)</f>
        <v>#VALUE!</v>
      </c>
      <c r="F255" s="6" t="e">
        <f>VLOOKUP(Tabla1[[#This Row],[ID_PARTIDO]],Original!$AT$1:$AY$46,4,FALSE)</f>
        <v>#VALUE!</v>
      </c>
      <c r="G255" s="6" t="e">
        <f>VLOOKUP(Tabla1[[#This Row],[ID_PARTIDO]],Original!$AT$1:$AY$46,5,FALSE)</f>
        <v>#VALUE!</v>
      </c>
      <c r="H255" t="s">
        <v>14</v>
      </c>
      <c r="I255" t="s">
        <v>7</v>
      </c>
      <c r="J255" t="s">
        <v>14</v>
      </c>
      <c r="K255" t="s">
        <v>7</v>
      </c>
      <c r="L255">
        <v>1</v>
      </c>
      <c r="M255">
        <v>0</v>
      </c>
    </row>
    <row r="256" spans="1:13">
      <c r="A256">
        <v>27</v>
      </c>
      <c r="B256">
        <v>1</v>
      </c>
      <c r="C256">
        <v>7</v>
      </c>
      <c r="D256" s="6" t="e">
        <f>VLOOKUP(Tabla1[[#This Row],[ID_PARTIDO]],Original!$AT$1:$AY$46,2,FALSE)</f>
        <v>#VALUE!</v>
      </c>
      <c r="E256" s="6" t="e">
        <f>VLOOKUP(Tabla1[[#This Row],[ID_PARTIDO]],Original!$AT$1:$AY$46,3,FALSE)</f>
        <v>#VALUE!</v>
      </c>
      <c r="F256" s="6" t="e">
        <f>VLOOKUP(Tabla1[[#This Row],[ID_PARTIDO]],Original!$AT$1:$AY$46,4,FALSE)</f>
        <v>#VALUE!</v>
      </c>
      <c r="G256" s="6" t="e">
        <f>VLOOKUP(Tabla1[[#This Row],[ID_PARTIDO]],Original!$AT$1:$AY$46,5,FALSE)</f>
        <v>#VALUE!</v>
      </c>
      <c r="H256" t="s">
        <v>14</v>
      </c>
      <c r="I256" t="s">
        <v>7</v>
      </c>
      <c r="J256" t="s">
        <v>14</v>
      </c>
      <c r="K256" t="s">
        <v>7</v>
      </c>
      <c r="L256">
        <v>0</v>
      </c>
      <c r="M256">
        <v>1</v>
      </c>
    </row>
    <row r="257" spans="1:13">
      <c r="A257">
        <v>27</v>
      </c>
      <c r="B257">
        <v>1</v>
      </c>
      <c r="C257">
        <v>8</v>
      </c>
      <c r="D257" s="6" t="e">
        <f>VLOOKUP(Tabla1[[#This Row],[ID_PARTIDO]],Original!$AT$1:$AY$46,2,FALSE)</f>
        <v>#VALUE!</v>
      </c>
      <c r="E257" s="6" t="e">
        <f>VLOOKUP(Tabla1[[#This Row],[ID_PARTIDO]],Original!$AT$1:$AY$46,3,FALSE)</f>
        <v>#VALUE!</v>
      </c>
      <c r="F257" s="6" t="e">
        <f>VLOOKUP(Tabla1[[#This Row],[ID_PARTIDO]],Original!$AT$1:$AY$46,4,FALSE)</f>
        <v>#VALUE!</v>
      </c>
      <c r="G257" s="6" t="e">
        <f>VLOOKUP(Tabla1[[#This Row],[ID_PARTIDO]],Original!$AT$1:$AY$46,5,FALSE)</f>
        <v>#VALUE!</v>
      </c>
      <c r="H257" t="s">
        <v>14</v>
      </c>
      <c r="I257" t="s">
        <v>7</v>
      </c>
      <c r="J257" t="s">
        <v>14</v>
      </c>
      <c r="K257" t="s">
        <v>7</v>
      </c>
      <c r="L257">
        <v>1</v>
      </c>
      <c r="M257">
        <v>0</v>
      </c>
    </row>
    <row r="258" spans="1:13">
      <c r="A258">
        <v>27</v>
      </c>
      <c r="B258">
        <v>1</v>
      </c>
      <c r="C258">
        <v>9</v>
      </c>
      <c r="D258" s="6" t="e">
        <f>VLOOKUP(Tabla1[[#This Row],[ID_PARTIDO]],Original!$AT$1:$AY$46,2,FALSE)</f>
        <v>#VALUE!</v>
      </c>
      <c r="E258" s="6" t="e">
        <f>VLOOKUP(Tabla1[[#This Row],[ID_PARTIDO]],Original!$AT$1:$AY$46,3,FALSE)</f>
        <v>#VALUE!</v>
      </c>
      <c r="F258" s="6" t="e">
        <f>VLOOKUP(Tabla1[[#This Row],[ID_PARTIDO]],Original!$AT$1:$AY$46,4,FALSE)</f>
        <v>#VALUE!</v>
      </c>
      <c r="G258" s="6" t="e">
        <f>VLOOKUP(Tabla1[[#This Row],[ID_PARTIDO]],Original!$AT$1:$AY$46,5,FALSE)</f>
        <v>#VALUE!</v>
      </c>
      <c r="H258" t="s">
        <v>14</v>
      </c>
      <c r="I258" t="s">
        <v>7</v>
      </c>
      <c r="J258" t="s">
        <v>14</v>
      </c>
      <c r="K258" t="s">
        <v>7</v>
      </c>
      <c r="L258">
        <v>0</v>
      </c>
      <c r="M258">
        <v>1</v>
      </c>
    </row>
    <row r="259" spans="1:13">
      <c r="A259">
        <v>27</v>
      </c>
      <c r="B259">
        <v>1</v>
      </c>
      <c r="C259">
        <v>10</v>
      </c>
      <c r="D259" s="6" t="e">
        <f>VLOOKUP(Tabla1[[#This Row],[ID_PARTIDO]],Original!$AT$1:$AY$46,2,FALSE)</f>
        <v>#VALUE!</v>
      </c>
      <c r="E259" s="6" t="e">
        <f>VLOOKUP(Tabla1[[#This Row],[ID_PARTIDO]],Original!$AT$1:$AY$46,3,FALSE)</f>
        <v>#VALUE!</v>
      </c>
      <c r="F259" s="6" t="e">
        <f>VLOOKUP(Tabla1[[#This Row],[ID_PARTIDO]],Original!$AT$1:$AY$46,4,FALSE)</f>
        <v>#VALUE!</v>
      </c>
      <c r="G259" s="6" t="e">
        <f>VLOOKUP(Tabla1[[#This Row],[ID_PARTIDO]],Original!$AT$1:$AY$46,5,FALSE)</f>
        <v>#VALUE!</v>
      </c>
      <c r="H259" t="s">
        <v>14</v>
      </c>
      <c r="I259" t="s">
        <v>7</v>
      </c>
      <c r="J259" t="s">
        <v>14</v>
      </c>
      <c r="K259" t="s">
        <v>7</v>
      </c>
      <c r="L259">
        <v>1</v>
      </c>
      <c r="M259">
        <v>0</v>
      </c>
    </row>
    <row r="260" spans="1:13">
      <c r="A260">
        <v>27</v>
      </c>
      <c r="B260">
        <v>1</v>
      </c>
      <c r="C260">
        <v>11</v>
      </c>
      <c r="D260" s="6" t="e">
        <f>VLOOKUP(Tabla1[[#This Row],[ID_PARTIDO]],Original!$AT$1:$AY$46,2,FALSE)</f>
        <v>#VALUE!</v>
      </c>
      <c r="E260" s="6" t="e">
        <f>VLOOKUP(Tabla1[[#This Row],[ID_PARTIDO]],Original!$AT$1:$AY$46,3,FALSE)</f>
        <v>#VALUE!</v>
      </c>
      <c r="F260" s="6" t="e">
        <f>VLOOKUP(Tabla1[[#This Row],[ID_PARTIDO]],Original!$AT$1:$AY$46,4,FALSE)</f>
        <v>#VALUE!</v>
      </c>
      <c r="G260" s="6" t="e">
        <f>VLOOKUP(Tabla1[[#This Row],[ID_PARTIDO]],Original!$AT$1:$AY$46,5,FALSE)</f>
        <v>#VALUE!</v>
      </c>
      <c r="H260" t="s">
        <v>14</v>
      </c>
      <c r="I260" t="s">
        <v>7</v>
      </c>
      <c r="J260" t="s">
        <v>14</v>
      </c>
      <c r="K260" t="s">
        <v>7</v>
      </c>
      <c r="L260">
        <v>1</v>
      </c>
      <c r="M260">
        <v>0</v>
      </c>
    </row>
    <row r="261" spans="1:13">
      <c r="A261">
        <v>27</v>
      </c>
      <c r="B261">
        <v>1</v>
      </c>
      <c r="C261">
        <v>12</v>
      </c>
      <c r="D261" s="6" t="e">
        <f>VLOOKUP(Tabla1[[#This Row],[ID_PARTIDO]],Original!$AT$1:$AY$46,2,FALSE)</f>
        <v>#VALUE!</v>
      </c>
      <c r="E261" s="6" t="e">
        <f>VLOOKUP(Tabla1[[#This Row],[ID_PARTIDO]],Original!$AT$1:$AY$46,3,FALSE)</f>
        <v>#VALUE!</v>
      </c>
      <c r="F261" s="6" t="e">
        <f>VLOOKUP(Tabla1[[#This Row],[ID_PARTIDO]],Original!$AT$1:$AY$46,4,FALSE)</f>
        <v>#VALUE!</v>
      </c>
      <c r="G261" s="6" t="e">
        <f>VLOOKUP(Tabla1[[#This Row],[ID_PARTIDO]],Original!$AT$1:$AY$46,5,FALSE)</f>
        <v>#VALUE!</v>
      </c>
      <c r="H261" t="s">
        <v>14</v>
      </c>
      <c r="I261" t="s">
        <v>7</v>
      </c>
      <c r="J261" t="s">
        <v>14</v>
      </c>
      <c r="K261" t="s">
        <v>7</v>
      </c>
      <c r="L261">
        <v>1</v>
      </c>
      <c r="M261">
        <v>0</v>
      </c>
    </row>
    <row r="262" spans="1:13">
      <c r="A262">
        <v>3</v>
      </c>
      <c r="B262">
        <v>1</v>
      </c>
      <c r="C262">
        <v>1</v>
      </c>
      <c r="D262" s="6" t="e">
        <f>VLOOKUP(Tabla1[[#This Row],[ID_PARTIDO]],Original!$AT$1:$AY$46,2,FALSE)</f>
        <v>#VALUE!</v>
      </c>
      <c r="E262" s="6" t="e">
        <f>VLOOKUP(Tabla1[[#This Row],[ID_PARTIDO]],Original!$AT$1:$AY$46,3,FALSE)</f>
        <v>#VALUE!</v>
      </c>
      <c r="F262" s="6" t="e">
        <f>VLOOKUP(Tabla1[[#This Row],[ID_PARTIDO]],Original!$AT$1:$AY$46,4,FALSE)</f>
        <v>#VALUE!</v>
      </c>
      <c r="G262" s="8" t="e">
        <f>VLOOKUP(Tabla1[[#This Row],[ID_PARTIDO]],Original!$AT$1:$AY$46,5,FALSE)</f>
        <v>#VALUE!</v>
      </c>
      <c r="H262" t="s">
        <v>7</v>
      </c>
      <c r="I262" t="s">
        <v>14</v>
      </c>
      <c r="J262" t="s">
        <v>14</v>
      </c>
      <c r="K262" t="s">
        <v>7</v>
      </c>
      <c r="L262">
        <v>1</v>
      </c>
      <c r="M262">
        <v>0</v>
      </c>
    </row>
    <row r="263" spans="1:13">
      <c r="A263">
        <v>3</v>
      </c>
      <c r="B263">
        <v>1</v>
      </c>
      <c r="C263">
        <v>2</v>
      </c>
      <c r="D263" s="6" t="e">
        <f>VLOOKUP(Tabla1[[#This Row],[ID_PARTIDO]],Original!$AT$1:$AY$46,2,FALSE)</f>
        <v>#VALUE!</v>
      </c>
      <c r="E263" s="6" t="e">
        <f>VLOOKUP(Tabla1[[#This Row],[ID_PARTIDO]],Original!$AT$1:$AY$46,3,FALSE)</f>
        <v>#VALUE!</v>
      </c>
      <c r="F263" s="6" t="e">
        <f>VLOOKUP(Tabla1[[#This Row],[ID_PARTIDO]],Original!$AT$1:$AY$46,4,FALSE)</f>
        <v>#VALUE!</v>
      </c>
      <c r="G263" s="6" t="e">
        <f>VLOOKUP(Tabla1[[#This Row],[ID_PARTIDO]],Original!$AT$1:$AY$46,5,FALSE)</f>
        <v>#VALUE!</v>
      </c>
      <c r="H263" t="s">
        <v>7</v>
      </c>
      <c r="I263" t="s">
        <v>14</v>
      </c>
      <c r="J263" t="s">
        <v>14</v>
      </c>
      <c r="K263" t="s">
        <v>7</v>
      </c>
      <c r="L263">
        <v>1</v>
      </c>
      <c r="M263">
        <v>0</v>
      </c>
    </row>
    <row r="264" spans="1:13">
      <c r="A264">
        <v>3</v>
      </c>
      <c r="B264">
        <v>1</v>
      </c>
      <c r="C264">
        <v>3</v>
      </c>
      <c r="D264" s="6" t="e">
        <f>VLOOKUP(Tabla1[[#This Row],[ID_PARTIDO]],Original!$AT$1:$AY$46,2,FALSE)</f>
        <v>#VALUE!</v>
      </c>
      <c r="E264" s="6" t="e">
        <f>VLOOKUP(Tabla1[[#This Row],[ID_PARTIDO]],Original!$AT$1:$AY$46,3,FALSE)</f>
        <v>#VALUE!</v>
      </c>
      <c r="F264" s="6" t="e">
        <f>VLOOKUP(Tabla1[[#This Row],[ID_PARTIDO]],Original!$AT$1:$AY$46,4,FALSE)</f>
        <v>#VALUE!</v>
      </c>
      <c r="G264" s="6" t="e">
        <f>VLOOKUP(Tabla1[[#This Row],[ID_PARTIDO]],Original!$AT$1:$AY$46,5,FALSE)</f>
        <v>#VALUE!</v>
      </c>
      <c r="H264" t="s">
        <v>7</v>
      </c>
      <c r="I264" t="s">
        <v>14</v>
      </c>
      <c r="J264" t="s">
        <v>14</v>
      </c>
      <c r="K264" t="s">
        <v>7</v>
      </c>
      <c r="L264">
        <v>1</v>
      </c>
      <c r="M264">
        <v>0</v>
      </c>
    </row>
    <row r="265" spans="1:13">
      <c r="A265">
        <v>3</v>
      </c>
      <c r="B265">
        <v>1</v>
      </c>
      <c r="C265">
        <v>4</v>
      </c>
      <c r="D265" s="6" t="e">
        <f>VLOOKUP(Tabla1[[#This Row],[ID_PARTIDO]],Original!$AT$1:$AY$46,2,FALSE)</f>
        <v>#VALUE!</v>
      </c>
      <c r="E265" s="6" t="e">
        <f>VLOOKUP(Tabla1[[#This Row],[ID_PARTIDO]],Original!$AT$1:$AY$46,3,FALSE)</f>
        <v>#VALUE!</v>
      </c>
      <c r="F265" s="6" t="e">
        <f>VLOOKUP(Tabla1[[#This Row],[ID_PARTIDO]],Original!$AT$1:$AY$46,4,FALSE)</f>
        <v>#VALUE!</v>
      </c>
      <c r="G265" s="6" t="e">
        <f>VLOOKUP(Tabla1[[#This Row],[ID_PARTIDO]],Original!$AT$1:$AY$46,5,FALSE)</f>
        <v>#VALUE!</v>
      </c>
      <c r="H265" t="s">
        <v>7</v>
      </c>
      <c r="I265" t="s">
        <v>14</v>
      </c>
      <c r="J265" t="s">
        <v>14</v>
      </c>
      <c r="K265" t="s">
        <v>7</v>
      </c>
      <c r="L265">
        <v>0</v>
      </c>
      <c r="M265">
        <v>1</v>
      </c>
    </row>
    <row r="266" spans="1:13">
      <c r="A266">
        <v>3</v>
      </c>
      <c r="B266">
        <v>1</v>
      </c>
      <c r="C266">
        <v>5</v>
      </c>
      <c r="D266" s="6" t="e">
        <f>VLOOKUP(Tabla1[[#This Row],[ID_PARTIDO]],Original!$AT$1:$AY$46,2,FALSE)</f>
        <v>#VALUE!</v>
      </c>
      <c r="E266" s="6" t="e">
        <f>VLOOKUP(Tabla1[[#This Row],[ID_PARTIDO]],Original!$AT$1:$AY$46,3,FALSE)</f>
        <v>#VALUE!</v>
      </c>
      <c r="F266" s="6" t="e">
        <f>VLOOKUP(Tabla1[[#This Row],[ID_PARTIDO]],Original!$AT$1:$AY$46,4,FALSE)</f>
        <v>#VALUE!</v>
      </c>
      <c r="G266" s="6" t="e">
        <f>VLOOKUP(Tabla1[[#This Row],[ID_PARTIDO]],Original!$AT$1:$AY$46,5,FALSE)</f>
        <v>#VALUE!</v>
      </c>
      <c r="H266" t="s">
        <v>7</v>
      </c>
      <c r="I266" t="s">
        <v>14</v>
      </c>
      <c r="J266" t="s">
        <v>14</v>
      </c>
      <c r="K266" t="s">
        <v>7</v>
      </c>
      <c r="L266">
        <v>0</v>
      </c>
      <c r="M266">
        <v>1</v>
      </c>
    </row>
    <row r="267" spans="1:13">
      <c r="A267">
        <v>3</v>
      </c>
      <c r="B267">
        <v>1</v>
      </c>
      <c r="C267">
        <v>6</v>
      </c>
      <c r="D267" s="6" t="e">
        <f>VLOOKUP(Tabla1[[#This Row],[ID_PARTIDO]],Original!$AT$1:$AY$46,2,FALSE)</f>
        <v>#VALUE!</v>
      </c>
      <c r="E267" s="6" t="e">
        <f>VLOOKUP(Tabla1[[#This Row],[ID_PARTIDO]],Original!$AT$1:$AY$46,3,FALSE)</f>
        <v>#VALUE!</v>
      </c>
      <c r="F267" s="6" t="e">
        <f>VLOOKUP(Tabla1[[#This Row],[ID_PARTIDO]],Original!$AT$1:$AY$46,4,FALSE)</f>
        <v>#VALUE!</v>
      </c>
      <c r="G267" s="6" t="e">
        <f>VLOOKUP(Tabla1[[#This Row],[ID_PARTIDO]],Original!$AT$1:$AY$46,5,FALSE)</f>
        <v>#VALUE!</v>
      </c>
      <c r="H267" t="s">
        <v>7</v>
      </c>
      <c r="I267" t="s">
        <v>14</v>
      </c>
      <c r="J267" t="s">
        <v>14</v>
      </c>
      <c r="K267" t="s">
        <v>7</v>
      </c>
      <c r="L267">
        <v>0</v>
      </c>
      <c r="M267">
        <v>1</v>
      </c>
    </row>
    <row r="268" spans="1:13">
      <c r="A268">
        <v>3</v>
      </c>
      <c r="B268">
        <v>1</v>
      </c>
      <c r="C268">
        <v>7</v>
      </c>
      <c r="D268" s="6" t="e">
        <f>VLOOKUP(Tabla1[[#This Row],[ID_PARTIDO]],Original!$AT$1:$AY$46,2,FALSE)</f>
        <v>#VALUE!</v>
      </c>
      <c r="E268" s="6" t="e">
        <f>VLOOKUP(Tabla1[[#This Row],[ID_PARTIDO]],Original!$AT$1:$AY$46,3,FALSE)</f>
        <v>#VALUE!</v>
      </c>
      <c r="F268" s="6" t="e">
        <f>VLOOKUP(Tabla1[[#This Row],[ID_PARTIDO]],Original!$AT$1:$AY$46,4,FALSE)</f>
        <v>#VALUE!</v>
      </c>
      <c r="G268" s="6" t="e">
        <f>VLOOKUP(Tabla1[[#This Row],[ID_PARTIDO]],Original!$AT$1:$AY$46,5,FALSE)</f>
        <v>#VALUE!</v>
      </c>
      <c r="H268" t="s">
        <v>7</v>
      </c>
      <c r="I268" t="s">
        <v>14</v>
      </c>
      <c r="J268" t="s">
        <v>14</v>
      </c>
      <c r="K268" t="s">
        <v>7</v>
      </c>
      <c r="L268">
        <v>1</v>
      </c>
      <c r="M268">
        <v>0</v>
      </c>
    </row>
    <row r="269" spans="1:13">
      <c r="A269">
        <v>3</v>
      </c>
      <c r="B269">
        <v>1</v>
      </c>
      <c r="C269">
        <v>8</v>
      </c>
      <c r="D269" s="6" t="e">
        <f>VLOOKUP(Tabla1[[#This Row],[ID_PARTIDO]],Original!$AT$1:$AY$46,2,FALSE)</f>
        <v>#VALUE!</v>
      </c>
      <c r="E269" s="6" t="e">
        <f>VLOOKUP(Tabla1[[#This Row],[ID_PARTIDO]],Original!$AT$1:$AY$46,3,FALSE)</f>
        <v>#VALUE!</v>
      </c>
      <c r="F269" s="6" t="e">
        <f>VLOOKUP(Tabla1[[#This Row],[ID_PARTIDO]],Original!$AT$1:$AY$46,4,FALSE)</f>
        <v>#VALUE!</v>
      </c>
      <c r="G269" s="6" t="e">
        <f>VLOOKUP(Tabla1[[#This Row],[ID_PARTIDO]],Original!$AT$1:$AY$46,5,FALSE)</f>
        <v>#VALUE!</v>
      </c>
      <c r="H269" t="s">
        <v>7</v>
      </c>
      <c r="I269" t="s">
        <v>14</v>
      </c>
      <c r="J269" t="s">
        <v>14</v>
      </c>
      <c r="K269" t="s">
        <v>7</v>
      </c>
      <c r="L269">
        <v>1</v>
      </c>
      <c r="M269">
        <v>0</v>
      </c>
    </row>
    <row r="270" spans="1:13">
      <c r="A270">
        <v>3</v>
      </c>
      <c r="B270">
        <v>1</v>
      </c>
      <c r="C270">
        <v>9</v>
      </c>
      <c r="D270" s="6" t="e">
        <f>VLOOKUP(Tabla1[[#This Row],[ID_PARTIDO]],Original!$AT$1:$AY$46,2,FALSE)</f>
        <v>#VALUE!</v>
      </c>
      <c r="E270" s="6" t="e">
        <f>VLOOKUP(Tabla1[[#This Row],[ID_PARTIDO]],Original!$AT$1:$AY$46,3,FALSE)</f>
        <v>#VALUE!</v>
      </c>
      <c r="F270" s="6" t="e">
        <f>VLOOKUP(Tabla1[[#This Row],[ID_PARTIDO]],Original!$AT$1:$AY$46,4,FALSE)</f>
        <v>#VALUE!</v>
      </c>
      <c r="G270" s="6" t="e">
        <f>VLOOKUP(Tabla1[[#This Row],[ID_PARTIDO]],Original!$AT$1:$AY$46,5,FALSE)</f>
        <v>#VALUE!</v>
      </c>
      <c r="H270" t="s">
        <v>7</v>
      </c>
      <c r="I270" t="s">
        <v>14</v>
      </c>
      <c r="J270" t="s">
        <v>14</v>
      </c>
      <c r="K270" t="s">
        <v>7</v>
      </c>
      <c r="L270">
        <v>0</v>
      </c>
      <c r="M270">
        <v>1</v>
      </c>
    </row>
    <row r="271" spans="1:13">
      <c r="A271">
        <v>3</v>
      </c>
      <c r="B271">
        <v>1</v>
      </c>
      <c r="C271">
        <v>10</v>
      </c>
      <c r="D271" s="6" t="e">
        <f>VLOOKUP(Tabla1[[#This Row],[ID_PARTIDO]],Original!$AT$1:$AY$46,2,FALSE)</f>
        <v>#VALUE!</v>
      </c>
      <c r="E271" s="6" t="e">
        <f>VLOOKUP(Tabla1[[#This Row],[ID_PARTIDO]],Original!$AT$1:$AY$46,3,FALSE)</f>
        <v>#VALUE!</v>
      </c>
      <c r="F271" s="6" t="e">
        <f>VLOOKUP(Tabla1[[#This Row],[ID_PARTIDO]],Original!$AT$1:$AY$46,4,FALSE)</f>
        <v>#VALUE!</v>
      </c>
      <c r="G271" s="6" t="e">
        <f>VLOOKUP(Tabla1[[#This Row],[ID_PARTIDO]],Original!$AT$1:$AY$46,5,FALSE)</f>
        <v>#VALUE!</v>
      </c>
      <c r="H271" t="s">
        <v>7</v>
      </c>
      <c r="I271" t="s">
        <v>14</v>
      </c>
      <c r="J271" t="s">
        <v>14</v>
      </c>
      <c r="K271" t="s">
        <v>7</v>
      </c>
      <c r="L271">
        <v>0</v>
      </c>
      <c r="M271">
        <v>1</v>
      </c>
    </row>
    <row r="272" spans="1:13">
      <c r="A272">
        <v>3</v>
      </c>
      <c r="B272">
        <v>1</v>
      </c>
      <c r="C272">
        <v>11</v>
      </c>
      <c r="D272" s="6" t="e">
        <f>VLOOKUP(Tabla1[[#This Row],[ID_PARTIDO]],Original!$AT$1:$AY$46,2,FALSE)</f>
        <v>#VALUE!</v>
      </c>
      <c r="E272" s="6" t="e">
        <f>VLOOKUP(Tabla1[[#This Row],[ID_PARTIDO]],Original!$AT$1:$AY$46,3,FALSE)</f>
        <v>#VALUE!</v>
      </c>
      <c r="F272" s="6" t="e">
        <f>VLOOKUP(Tabla1[[#This Row],[ID_PARTIDO]],Original!$AT$1:$AY$46,4,FALSE)</f>
        <v>#VALUE!</v>
      </c>
      <c r="G272" s="6" t="e">
        <f>VLOOKUP(Tabla1[[#This Row],[ID_PARTIDO]],Original!$AT$1:$AY$46,5,FALSE)</f>
        <v>#VALUE!</v>
      </c>
      <c r="H272" t="s">
        <v>7</v>
      </c>
      <c r="I272" t="s">
        <v>14</v>
      </c>
      <c r="J272" t="s">
        <v>14</v>
      </c>
      <c r="K272" t="s">
        <v>7</v>
      </c>
      <c r="L272">
        <v>0</v>
      </c>
      <c r="M272">
        <v>1</v>
      </c>
    </row>
    <row r="273" spans="1:13">
      <c r="A273">
        <v>3</v>
      </c>
      <c r="B273">
        <v>1</v>
      </c>
      <c r="C273">
        <v>12</v>
      </c>
      <c r="D273" s="6" t="e">
        <f>VLOOKUP(Tabla1[[#This Row],[ID_PARTIDO]],Original!$AT$1:$AY$46,2,FALSE)</f>
        <v>#VALUE!</v>
      </c>
      <c r="E273" s="6" t="e">
        <f>VLOOKUP(Tabla1[[#This Row],[ID_PARTIDO]],Original!$AT$1:$AY$46,3,FALSE)</f>
        <v>#VALUE!</v>
      </c>
      <c r="F273" s="6" t="e">
        <f>VLOOKUP(Tabla1[[#This Row],[ID_PARTIDO]],Original!$AT$1:$AY$46,4,FALSE)</f>
        <v>#VALUE!</v>
      </c>
      <c r="G273" s="6" t="e">
        <f>VLOOKUP(Tabla1[[#This Row],[ID_PARTIDO]],Original!$AT$1:$AY$46,5,FALSE)</f>
        <v>#VALUE!</v>
      </c>
      <c r="H273" t="s">
        <v>7</v>
      </c>
      <c r="I273" t="s">
        <v>14</v>
      </c>
      <c r="J273" t="s">
        <v>14</v>
      </c>
      <c r="K273" t="s">
        <v>7</v>
      </c>
      <c r="L273">
        <v>0</v>
      </c>
      <c r="M273">
        <v>1</v>
      </c>
    </row>
    <row r="274" spans="1:13">
      <c r="A274">
        <v>9</v>
      </c>
      <c r="B274">
        <v>1</v>
      </c>
      <c r="C274">
        <v>1</v>
      </c>
      <c r="D274" s="6" t="e">
        <f>VLOOKUP(Tabla1[[#This Row],[ID_PARTIDO]],Original!$AT$1:$AY$46,2,FALSE)</f>
        <v>#VALUE!</v>
      </c>
      <c r="E274" s="6" t="e">
        <f>VLOOKUP(Tabla1[[#This Row],[ID_PARTIDO]],Original!$AT$1:$AY$46,3,FALSE)</f>
        <v>#VALUE!</v>
      </c>
      <c r="F274" s="6" t="e">
        <f>VLOOKUP(Tabla1[[#This Row],[ID_PARTIDO]],Original!$AT$1:$AY$46,4,FALSE)</f>
        <v>#VALUE!</v>
      </c>
      <c r="G274" s="6" t="e">
        <f>VLOOKUP(Tabla1[[#This Row],[ID_PARTIDO]],Original!$AT$1:$AY$46,5,FALSE)</f>
        <v>#VALUE!</v>
      </c>
      <c r="H274" t="s">
        <v>14</v>
      </c>
      <c r="I274" t="s">
        <v>7</v>
      </c>
      <c r="J274" t="s">
        <v>14</v>
      </c>
      <c r="K274" t="s">
        <v>7</v>
      </c>
      <c r="L274" t="s">
        <v>65</v>
      </c>
      <c r="M274">
        <v>0</v>
      </c>
    </row>
    <row r="275" spans="1:13">
      <c r="A275">
        <v>9</v>
      </c>
      <c r="B275">
        <v>1</v>
      </c>
      <c r="C275">
        <v>2</v>
      </c>
      <c r="D275" s="6" t="e">
        <f>VLOOKUP(Tabla1[[#This Row],[ID_PARTIDO]],Original!$AT$1:$AY$46,2,FALSE)</f>
        <v>#VALUE!</v>
      </c>
      <c r="E275" s="6" t="e">
        <f>VLOOKUP(Tabla1[[#This Row],[ID_PARTIDO]],Original!$AT$1:$AY$46,3,FALSE)</f>
        <v>#VALUE!</v>
      </c>
      <c r="F275" s="6" t="e">
        <f>VLOOKUP(Tabla1[[#This Row],[ID_PARTIDO]],Original!$AT$1:$AY$46,4,FALSE)</f>
        <v>#VALUE!</v>
      </c>
      <c r="G275" s="6" t="e">
        <f>VLOOKUP(Tabla1[[#This Row],[ID_PARTIDO]],Original!$AT$1:$AY$46,5,FALSE)</f>
        <v>#VALUE!</v>
      </c>
      <c r="H275" t="s">
        <v>14</v>
      </c>
      <c r="I275" t="s">
        <v>7</v>
      </c>
      <c r="J275" t="s">
        <v>14</v>
      </c>
      <c r="K275" t="s">
        <v>7</v>
      </c>
      <c r="L275">
        <v>0</v>
      </c>
      <c r="M275">
        <v>1</v>
      </c>
    </row>
    <row r="276" spans="1:13">
      <c r="A276">
        <v>9</v>
      </c>
      <c r="B276">
        <v>1</v>
      </c>
      <c r="C276">
        <v>3</v>
      </c>
      <c r="D276" s="6" t="e">
        <f>VLOOKUP(Tabla1[[#This Row],[ID_PARTIDO]],Original!$AT$1:$AY$46,2,FALSE)</f>
        <v>#VALUE!</v>
      </c>
      <c r="E276" s="6" t="e">
        <f>VLOOKUP(Tabla1[[#This Row],[ID_PARTIDO]],Original!$AT$1:$AY$46,3,FALSE)</f>
        <v>#VALUE!</v>
      </c>
      <c r="F276" s="6" t="e">
        <f>VLOOKUP(Tabla1[[#This Row],[ID_PARTIDO]],Original!$AT$1:$AY$46,4,FALSE)</f>
        <v>#VALUE!</v>
      </c>
      <c r="G276" s="6" t="e">
        <f>VLOOKUP(Tabla1[[#This Row],[ID_PARTIDO]],Original!$AT$1:$AY$46,5,FALSE)</f>
        <v>#VALUE!</v>
      </c>
      <c r="H276" t="s">
        <v>14</v>
      </c>
      <c r="I276" t="s">
        <v>7</v>
      </c>
      <c r="J276" t="s">
        <v>14</v>
      </c>
      <c r="K276" t="s">
        <v>7</v>
      </c>
      <c r="L276">
        <v>1</v>
      </c>
      <c r="M276">
        <v>0</v>
      </c>
    </row>
    <row r="277" spans="1:13">
      <c r="A277">
        <v>9</v>
      </c>
      <c r="B277">
        <v>1</v>
      </c>
      <c r="C277">
        <v>4</v>
      </c>
      <c r="D277" s="6" t="e">
        <f>VLOOKUP(Tabla1[[#This Row],[ID_PARTIDO]],Original!$AT$1:$AY$46,2,FALSE)</f>
        <v>#VALUE!</v>
      </c>
      <c r="E277" s="6" t="e">
        <f>VLOOKUP(Tabla1[[#This Row],[ID_PARTIDO]],Original!$AT$1:$AY$46,3,FALSE)</f>
        <v>#VALUE!</v>
      </c>
      <c r="F277" s="6" t="e">
        <f>VLOOKUP(Tabla1[[#This Row],[ID_PARTIDO]],Original!$AT$1:$AY$46,4,FALSE)</f>
        <v>#VALUE!</v>
      </c>
      <c r="G277" s="6" t="e">
        <f>VLOOKUP(Tabla1[[#This Row],[ID_PARTIDO]],Original!$AT$1:$AY$46,5,FALSE)</f>
        <v>#VALUE!</v>
      </c>
      <c r="H277" t="s">
        <v>14</v>
      </c>
      <c r="I277" t="s">
        <v>7</v>
      </c>
      <c r="J277" t="s">
        <v>14</v>
      </c>
      <c r="K277" t="s">
        <v>7</v>
      </c>
      <c r="L277">
        <v>0</v>
      </c>
      <c r="M277">
        <v>1</v>
      </c>
    </row>
    <row r="278" spans="1:13">
      <c r="A278">
        <v>9</v>
      </c>
      <c r="B278">
        <v>1</v>
      </c>
      <c r="C278">
        <v>5</v>
      </c>
      <c r="D278" s="6" t="e">
        <f>VLOOKUP(Tabla1[[#This Row],[ID_PARTIDO]],Original!$AT$1:$AY$46,2,FALSE)</f>
        <v>#VALUE!</v>
      </c>
      <c r="E278" s="6" t="e">
        <f>VLOOKUP(Tabla1[[#This Row],[ID_PARTIDO]],Original!$AT$1:$AY$46,3,FALSE)</f>
        <v>#VALUE!</v>
      </c>
      <c r="F278" s="6" t="e">
        <f>VLOOKUP(Tabla1[[#This Row],[ID_PARTIDO]],Original!$AT$1:$AY$46,4,FALSE)</f>
        <v>#VALUE!</v>
      </c>
      <c r="G278" s="6" t="e">
        <f>VLOOKUP(Tabla1[[#This Row],[ID_PARTIDO]],Original!$AT$1:$AY$46,5,FALSE)</f>
        <v>#VALUE!</v>
      </c>
      <c r="H278" t="s">
        <v>14</v>
      </c>
      <c r="I278" t="s">
        <v>7</v>
      </c>
      <c r="J278" t="s">
        <v>14</v>
      </c>
      <c r="K278" t="s">
        <v>7</v>
      </c>
      <c r="L278">
        <v>1</v>
      </c>
      <c r="M278">
        <v>0</v>
      </c>
    </row>
    <row r="279" spans="1:13">
      <c r="A279">
        <v>9</v>
      </c>
      <c r="B279">
        <v>1</v>
      </c>
      <c r="C279">
        <v>6</v>
      </c>
      <c r="D279" s="6" t="e">
        <f>VLOOKUP(Tabla1[[#This Row],[ID_PARTIDO]],Original!$AT$1:$AY$46,2,FALSE)</f>
        <v>#VALUE!</v>
      </c>
      <c r="E279" s="6" t="e">
        <f>VLOOKUP(Tabla1[[#This Row],[ID_PARTIDO]],Original!$AT$1:$AY$46,3,FALSE)</f>
        <v>#VALUE!</v>
      </c>
      <c r="F279" s="6" t="e">
        <f>VLOOKUP(Tabla1[[#This Row],[ID_PARTIDO]],Original!$AT$1:$AY$46,4,FALSE)</f>
        <v>#VALUE!</v>
      </c>
      <c r="G279" s="6" t="e">
        <f>VLOOKUP(Tabla1[[#This Row],[ID_PARTIDO]],Original!$AT$1:$AY$46,5,FALSE)</f>
        <v>#VALUE!</v>
      </c>
      <c r="H279" t="s">
        <v>14</v>
      </c>
      <c r="I279" t="s">
        <v>7</v>
      </c>
      <c r="J279" t="s">
        <v>14</v>
      </c>
      <c r="K279" t="s">
        <v>7</v>
      </c>
      <c r="L279">
        <v>0</v>
      </c>
      <c r="M279">
        <v>1</v>
      </c>
    </row>
    <row r="280" spans="1:13">
      <c r="A280">
        <v>9</v>
      </c>
      <c r="B280">
        <v>1</v>
      </c>
      <c r="C280">
        <v>7</v>
      </c>
      <c r="D280" s="6" t="e">
        <f>VLOOKUP(Tabla1[[#This Row],[ID_PARTIDO]],Original!$AT$1:$AY$46,2,FALSE)</f>
        <v>#VALUE!</v>
      </c>
      <c r="E280" s="6" t="e">
        <f>VLOOKUP(Tabla1[[#This Row],[ID_PARTIDO]],Original!$AT$1:$AY$46,3,FALSE)</f>
        <v>#VALUE!</v>
      </c>
      <c r="F280" s="6" t="e">
        <f>VLOOKUP(Tabla1[[#This Row],[ID_PARTIDO]],Original!$AT$1:$AY$46,4,FALSE)</f>
        <v>#VALUE!</v>
      </c>
      <c r="G280" s="6" t="e">
        <f>VLOOKUP(Tabla1[[#This Row],[ID_PARTIDO]],Original!$AT$1:$AY$46,5,FALSE)</f>
        <v>#VALUE!</v>
      </c>
      <c r="H280" t="s">
        <v>14</v>
      </c>
      <c r="I280" t="s">
        <v>7</v>
      </c>
      <c r="J280" t="s">
        <v>14</v>
      </c>
      <c r="K280" t="s">
        <v>7</v>
      </c>
      <c r="L280">
        <v>1</v>
      </c>
      <c r="M280">
        <v>0</v>
      </c>
    </row>
    <row r="281" spans="1:13">
      <c r="A281">
        <v>9</v>
      </c>
      <c r="B281">
        <v>1</v>
      </c>
      <c r="C281">
        <v>8</v>
      </c>
      <c r="D281" s="6" t="e">
        <f>VLOOKUP(Tabla1[[#This Row],[ID_PARTIDO]],Original!$AT$1:$AY$46,2,FALSE)</f>
        <v>#VALUE!</v>
      </c>
      <c r="E281" s="6" t="e">
        <f>VLOOKUP(Tabla1[[#This Row],[ID_PARTIDO]],Original!$AT$1:$AY$46,3,FALSE)</f>
        <v>#VALUE!</v>
      </c>
      <c r="F281" s="6" t="e">
        <f>VLOOKUP(Tabla1[[#This Row],[ID_PARTIDO]],Original!$AT$1:$AY$46,4,FALSE)</f>
        <v>#VALUE!</v>
      </c>
      <c r="G281" s="6" t="e">
        <f>VLOOKUP(Tabla1[[#This Row],[ID_PARTIDO]],Original!$AT$1:$AY$46,5,FALSE)</f>
        <v>#VALUE!</v>
      </c>
      <c r="H281" t="s">
        <v>14</v>
      </c>
      <c r="I281" t="s">
        <v>7</v>
      </c>
      <c r="J281" t="s">
        <v>14</v>
      </c>
      <c r="K281" t="s">
        <v>7</v>
      </c>
      <c r="L281">
        <v>1</v>
      </c>
      <c r="M281">
        <v>0</v>
      </c>
    </row>
    <row r="282" spans="1:13">
      <c r="A282">
        <v>9</v>
      </c>
      <c r="B282">
        <v>1</v>
      </c>
      <c r="C282">
        <v>9</v>
      </c>
      <c r="D282" s="6" t="e">
        <f>VLOOKUP(Tabla1[[#This Row],[ID_PARTIDO]],Original!$AT$1:$AY$46,2,FALSE)</f>
        <v>#VALUE!</v>
      </c>
      <c r="E282" s="6" t="e">
        <f>VLOOKUP(Tabla1[[#This Row],[ID_PARTIDO]],Original!$AT$1:$AY$46,3,FALSE)</f>
        <v>#VALUE!</v>
      </c>
      <c r="F282" s="6" t="e">
        <f>VLOOKUP(Tabla1[[#This Row],[ID_PARTIDO]],Original!$AT$1:$AY$46,4,FALSE)</f>
        <v>#VALUE!</v>
      </c>
      <c r="G282" s="6" t="e">
        <f>VLOOKUP(Tabla1[[#This Row],[ID_PARTIDO]],Original!$AT$1:$AY$46,5,FALSE)</f>
        <v>#VALUE!</v>
      </c>
      <c r="H282" t="s">
        <v>14</v>
      </c>
      <c r="I282" t="s">
        <v>7</v>
      </c>
      <c r="J282" t="s">
        <v>14</v>
      </c>
      <c r="K282" t="s">
        <v>7</v>
      </c>
      <c r="L282">
        <v>1</v>
      </c>
      <c r="M282">
        <v>0</v>
      </c>
    </row>
    <row r="283" spans="1:13">
      <c r="A283">
        <v>9</v>
      </c>
      <c r="B283">
        <v>1</v>
      </c>
      <c r="C283">
        <v>10</v>
      </c>
      <c r="D283" s="6" t="e">
        <f>VLOOKUP(Tabla1[[#This Row],[ID_PARTIDO]],Original!$AT$1:$AY$46,2,FALSE)</f>
        <v>#VALUE!</v>
      </c>
      <c r="E283" s="6" t="e">
        <f>VLOOKUP(Tabla1[[#This Row],[ID_PARTIDO]],Original!$AT$1:$AY$46,3,FALSE)</f>
        <v>#VALUE!</v>
      </c>
      <c r="F283" s="6" t="e">
        <f>VLOOKUP(Tabla1[[#This Row],[ID_PARTIDO]],Original!$AT$1:$AY$46,4,FALSE)</f>
        <v>#VALUE!</v>
      </c>
      <c r="G283" s="6" t="e">
        <f>VLOOKUP(Tabla1[[#This Row],[ID_PARTIDO]],Original!$AT$1:$AY$46,5,FALSE)</f>
        <v>#VALUE!</v>
      </c>
      <c r="H283" t="s">
        <v>14</v>
      </c>
      <c r="I283" t="s">
        <v>7</v>
      </c>
      <c r="J283" t="s">
        <v>14</v>
      </c>
      <c r="K283" t="s">
        <v>7</v>
      </c>
      <c r="L283">
        <v>0</v>
      </c>
      <c r="M283">
        <v>1</v>
      </c>
    </row>
    <row r="284" spans="1:13">
      <c r="A284">
        <v>9</v>
      </c>
      <c r="B284">
        <v>1</v>
      </c>
      <c r="C284">
        <v>11</v>
      </c>
      <c r="D284" s="6" t="e">
        <f>VLOOKUP(Tabla1[[#This Row],[ID_PARTIDO]],Original!$AT$1:$AY$46,2,FALSE)</f>
        <v>#VALUE!</v>
      </c>
      <c r="E284" s="6" t="e">
        <f>VLOOKUP(Tabla1[[#This Row],[ID_PARTIDO]],Original!$AT$1:$AY$46,3,FALSE)</f>
        <v>#VALUE!</v>
      </c>
      <c r="F284" s="6" t="e">
        <f>VLOOKUP(Tabla1[[#This Row],[ID_PARTIDO]],Original!$AT$1:$AY$46,4,FALSE)</f>
        <v>#VALUE!</v>
      </c>
      <c r="G284" s="6" t="e">
        <f>VLOOKUP(Tabla1[[#This Row],[ID_PARTIDO]],Original!$AT$1:$AY$46,5,FALSE)</f>
        <v>#VALUE!</v>
      </c>
      <c r="H284" t="s">
        <v>14</v>
      </c>
      <c r="I284" t="s">
        <v>7</v>
      </c>
      <c r="J284" t="s">
        <v>14</v>
      </c>
      <c r="K284" t="s">
        <v>7</v>
      </c>
      <c r="L284">
        <v>0</v>
      </c>
      <c r="M284">
        <v>1</v>
      </c>
    </row>
    <row r="285" spans="1:13">
      <c r="A285">
        <v>9</v>
      </c>
      <c r="B285">
        <v>1</v>
      </c>
      <c r="C285">
        <v>12</v>
      </c>
      <c r="D285" s="6" t="e">
        <f>VLOOKUP(Tabla1[[#This Row],[ID_PARTIDO]],Original!$AT$1:$AY$46,2,FALSE)</f>
        <v>#VALUE!</v>
      </c>
      <c r="E285" s="6" t="e">
        <f>VLOOKUP(Tabla1[[#This Row],[ID_PARTIDO]],Original!$AT$1:$AY$46,3,FALSE)</f>
        <v>#VALUE!</v>
      </c>
      <c r="F285" s="6" t="e">
        <f>VLOOKUP(Tabla1[[#This Row],[ID_PARTIDO]],Original!$AT$1:$AY$46,4,FALSE)</f>
        <v>#VALUE!</v>
      </c>
      <c r="G285" s="6" t="e">
        <f>VLOOKUP(Tabla1[[#This Row],[ID_PARTIDO]],Original!$AT$1:$AY$46,5,FALSE)</f>
        <v>#VALUE!</v>
      </c>
      <c r="H285" t="s">
        <v>14</v>
      </c>
      <c r="I285" t="s">
        <v>7</v>
      </c>
      <c r="J285" t="s">
        <v>14</v>
      </c>
      <c r="K285" t="s">
        <v>7</v>
      </c>
      <c r="L285">
        <v>1</v>
      </c>
      <c r="M285">
        <v>0</v>
      </c>
    </row>
    <row r="286" spans="1:13">
      <c r="A286">
        <v>29</v>
      </c>
      <c r="B286">
        <v>1</v>
      </c>
      <c r="C286">
        <v>1</v>
      </c>
      <c r="D286" s="6" t="e">
        <f>VLOOKUP(Tabla1[[#This Row],[ID_PARTIDO]],Original!$AT$1:$AY$46,2,FALSE)</f>
        <v>#VALUE!</v>
      </c>
      <c r="E286" s="6" t="e">
        <f>VLOOKUP(Tabla1[[#This Row],[ID_PARTIDO]],Original!$AT$1:$AY$46,3,FALSE)</f>
        <v>#VALUE!</v>
      </c>
      <c r="F286" s="6" t="e">
        <f>VLOOKUP(Tabla1[[#This Row],[ID_PARTIDO]],Original!$AT$1:$AY$46,4,FALSE)</f>
        <v>#VALUE!</v>
      </c>
      <c r="G286" s="6" t="e">
        <f>VLOOKUP(Tabla1[[#This Row],[ID_PARTIDO]],Original!$AT$1:$AY$46,5,FALSE)</f>
        <v>#VALUE!</v>
      </c>
      <c r="H286" t="s">
        <v>7</v>
      </c>
      <c r="I286" t="s">
        <v>14</v>
      </c>
      <c r="J286" t="s">
        <v>14</v>
      </c>
      <c r="K286" t="s">
        <v>7</v>
      </c>
      <c r="L286">
        <v>1</v>
      </c>
      <c r="M286">
        <v>0</v>
      </c>
    </row>
    <row r="287" spans="1:13">
      <c r="A287">
        <v>29</v>
      </c>
      <c r="B287">
        <v>1</v>
      </c>
      <c r="C287">
        <v>2</v>
      </c>
      <c r="D287" s="6" t="e">
        <f>VLOOKUP(Tabla1[[#This Row],[ID_PARTIDO]],Original!$AT$1:$AY$46,2,FALSE)</f>
        <v>#VALUE!</v>
      </c>
      <c r="E287" s="6" t="e">
        <f>VLOOKUP(Tabla1[[#This Row],[ID_PARTIDO]],Original!$AT$1:$AY$46,3,FALSE)</f>
        <v>#VALUE!</v>
      </c>
      <c r="F287" s="6" t="e">
        <f>VLOOKUP(Tabla1[[#This Row],[ID_PARTIDO]],Original!$AT$1:$AY$46,4,FALSE)</f>
        <v>#VALUE!</v>
      </c>
      <c r="G287" s="6" t="e">
        <f>VLOOKUP(Tabla1[[#This Row],[ID_PARTIDO]],Original!$AT$1:$AY$46,5,FALSE)</f>
        <v>#VALUE!</v>
      </c>
      <c r="H287" t="s">
        <v>7</v>
      </c>
      <c r="I287" t="s">
        <v>14</v>
      </c>
      <c r="J287" t="s">
        <v>14</v>
      </c>
      <c r="K287" t="s">
        <v>7</v>
      </c>
      <c r="L287">
        <v>1</v>
      </c>
      <c r="M287">
        <v>0</v>
      </c>
    </row>
    <row r="288" spans="1:13">
      <c r="A288">
        <v>29</v>
      </c>
      <c r="B288">
        <v>1</v>
      </c>
      <c r="C288">
        <v>3</v>
      </c>
      <c r="D288" s="6" t="e">
        <f>VLOOKUP(Tabla1[[#This Row],[ID_PARTIDO]],Original!$AT$1:$AY$46,2,FALSE)</f>
        <v>#VALUE!</v>
      </c>
      <c r="E288" s="6" t="e">
        <f>VLOOKUP(Tabla1[[#This Row],[ID_PARTIDO]],Original!$AT$1:$AY$46,3,FALSE)</f>
        <v>#VALUE!</v>
      </c>
      <c r="F288" s="6" t="e">
        <f>VLOOKUP(Tabla1[[#This Row],[ID_PARTIDO]],Original!$AT$1:$AY$46,4,FALSE)</f>
        <v>#VALUE!</v>
      </c>
      <c r="G288" s="6" t="e">
        <f>VLOOKUP(Tabla1[[#This Row],[ID_PARTIDO]],Original!$AT$1:$AY$46,5,FALSE)</f>
        <v>#VALUE!</v>
      </c>
      <c r="H288" t="s">
        <v>7</v>
      </c>
      <c r="I288" t="s">
        <v>14</v>
      </c>
      <c r="J288" t="s">
        <v>14</v>
      </c>
      <c r="K288" t="s">
        <v>7</v>
      </c>
      <c r="L288">
        <v>0</v>
      </c>
      <c r="M288">
        <v>1</v>
      </c>
    </row>
    <row r="289" spans="1:13">
      <c r="A289">
        <v>29</v>
      </c>
      <c r="B289">
        <v>1</v>
      </c>
      <c r="C289">
        <v>4</v>
      </c>
      <c r="D289" s="6" t="e">
        <f>VLOOKUP(Tabla1[[#This Row],[ID_PARTIDO]],Original!$AT$1:$AY$46,2,FALSE)</f>
        <v>#VALUE!</v>
      </c>
      <c r="E289" s="6" t="e">
        <f>VLOOKUP(Tabla1[[#This Row],[ID_PARTIDO]],Original!$AT$1:$AY$46,3,FALSE)</f>
        <v>#VALUE!</v>
      </c>
      <c r="F289" s="6" t="e">
        <f>VLOOKUP(Tabla1[[#This Row],[ID_PARTIDO]],Original!$AT$1:$AY$46,4,FALSE)</f>
        <v>#VALUE!</v>
      </c>
      <c r="G289" s="6" t="e">
        <f>VLOOKUP(Tabla1[[#This Row],[ID_PARTIDO]],Original!$AT$1:$AY$46,5,FALSE)</f>
        <v>#VALUE!</v>
      </c>
      <c r="H289" t="s">
        <v>7</v>
      </c>
      <c r="I289" t="s">
        <v>14</v>
      </c>
      <c r="J289" t="s">
        <v>14</v>
      </c>
      <c r="K289" t="s">
        <v>7</v>
      </c>
      <c r="L289">
        <v>1</v>
      </c>
      <c r="M289">
        <v>0</v>
      </c>
    </row>
    <row r="290" spans="1:13">
      <c r="A290">
        <v>29</v>
      </c>
      <c r="B290">
        <v>1</v>
      </c>
      <c r="C290">
        <v>5</v>
      </c>
      <c r="D290" s="6" t="e">
        <f>VLOOKUP(Tabla1[[#This Row],[ID_PARTIDO]],Original!$AT$1:$AY$46,2,FALSE)</f>
        <v>#VALUE!</v>
      </c>
      <c r="E290" s="6" t="e">
        <f>VLOOKUP(Tabla1[[#This Row],[ID_PARTIDO]],Original!$AT$1:$AY$46,3,FALSE)</f>
        <v>#VALUE!</v>
      </c>
      <c r="F290" s="6" t="e">
        <f>VLOOKUP(Tabla1[[#This Row],[ID_PARTIDO]],Original!$AT$1:$AY$46,4,FALSE)</f>
        <v>#VALUE!</v>
      </c>
      <c r="G290" s="6" t="e">
        <f>VLOOKUP(Tabla1[[#This Row],[ID_PARTIDO]],Original!$AT$1:$AY$46,5,FALSE)</f>
        <v>#VALUE!</v>
      </c>
      <c r="H290" t="s">
        <v>7</v>
      </c>
      <c r="I290" t="s">
        <v>14</v>
      </c>
      <c r="J290" t="s">
        <v>14</v>
      </c>
      <c r="K290" t="s">
        <v>7</v>
      </c>
      <c r="L290">
        <v>1</v>
      </c>
      <c r="M290">
        <v>0</v>
      </c>
    </row>
    <row r="291" spans="1:13">
      <c r="A291">
        <v>29</v>
      </c>
      <c r="B291">
        <v>1</v>
      </c>
      <c r="C291">
        <v>6</v>
      </c>
      <c r="D291" s="6" t="e">
        <f>VLOOKUP(Tabla1[[#This Row],[ID_PARTIDO]],Original!$AT$1:$AY$46,2,FALSE)</f>
        <v>#VALUE!</v>
      </c>
      <c r="E291" s="6" t="e">
        <f>VLOOKUP(Tabla1[[#This Row],[ID_PARTIDO]],Original!$AT$1:$AY$46,3,FALSE)</f>
        <v>#VALUE!</v>
      </c>
      <c r="F291" s="6" t="e">
        <f>VLOOKUP(Tabla1[[#This Row],[ID_PARTIDO]],Original!$AT$1:$AY$46,4,FALSE)</f>
        <v>#VALUE!</v>
      </c>
      <c r="G291" s="6" t="e">
        <f>VLOOKUP(Tabla1[[#This Row],[ID_PARTIDO]],Original!$AT$1:$AY$46,5,FALSE)</f>
        <v>#VALUE!</v>
      </c>
      <c r="H291" t="s">
        <v>7</v>
      </c>
      <c r="I291" t="s">
        <v>14</v>
      </c>
      <c r="J291" t="s">
        <v>14</v>
      </c>
      <c r="K291" t="s">
        <v>7</v>
      </c>
      <c r="L291">
        <v>1</v>
      </c>
      <c r="M291">
        <v>0</v>
      </c>
    </row>
    <row r="292" spans="1:13">
      <c r="A292">
        <v>29</v>
      </c>
      <c r="B292">
        <v>1</v>
      </c>
      <c r="C292">
        <v>7</v>
      </c>
      <c r="D292" s="6" t="e">
        <f>VLOOKUP(Tabla1[[#This Row],[ID_PARTIDO]],Original!$AT$1:$AY$46,2,FALSE)</f>
        <v>#VALUE!</v>
      </c>
      <c r="E292" s="6" t="e">
        <f>VLOOKUP(Tabla1[[#This Row],[ID_PARTIDO]],Original!$AT$1:$AY$46,3,FALSE)</f>
        <v>#VALUE!</v>
      </c>
      <c r="F292" s="6" t="e">
        <f>VLOOKUP(Tabla1[[#This Row],[ID_PARTIDO]],Original!$AT$1:$AY$46,4,FALSE)</f>
        <v>#VALUE!</v>
      </c>
      <c r="G292" s="6" t="e">
        <f>VLOOKUP(Tabla1[[#This Row],[ID_PARTIDO]],Original!$AT$1:$AY$46,5,FALSE)</f>
        <v>#VALUE!</v>
      </c>
      <c r="H292" t="s">
        <v>7</v>
      </c>
      <c r="I292" t="s">
        <v>14</v>
      </c>
      <c r="J292" t="s">
        <v>14</v>
      </c>
      <c r="K292" t="s">
        <v>7</v>
      </c>
      <c r="L292">
        <v>0</v>
      </c>
      <c r="M292">
        <v>1</v>
      </c>
    </row>
    <row r="293" spans="1:13">
      <c r="A293">
        <v>29</v>
      </c>
      <c r="B293">
        <v>1</v>
      </c>
      <c r="C293">
        <v>8</v>
      </c>
      <c r="D293" s="6" t="e">
        <f>VLOOKUP(Tabla1[[#This Row],[ID_PARTIDO]],Original!$AT$1:$AY$46,2,FALSE)</f>
        <v>#VALUE!</v>
      </c>
      <c r="E293" s="6" t="e">
        <f>VLOOKUP(Tabla1[[#This Row],[ID_PARTIDO]],Original!$AT$1:$AY$46,3,FALSE)</f>
        <v>#VALUE!</v>
      </c>
      <c r="F293" s="6" t="e">
        <f>VLOOKUP(Tabla1[[#This Row],[ID_PARTIDO]],Original!$AT$1:$AY$46,4,FALSE)</f>
        <v>#VALUE!</v>
      </c>
      <c r="G293" s="6" t="e">
        <f>VLOOKUP(Tabla1[[#This Row],[ID_PARTIDO]],Original!$AT$1:$AY$46,5,FALSE)</f>
        <v>#VALUE!</v>
      </c>
      <c r="H293" t="s">
        <v>7</v>
      </c>
      <c r="I293" t="s">
        <v>14</v>
      </c>
      <c r="J293" t="s">
        <v>14</v>
      </c>
      <c r="K293" t="s">
        <v>7</v>
      </c>
      <c r="L293">
        <v>0</v>
      </c>
      <c r="M293">
        <v>1</v>
      </c>
    </row>
    <row r="294" spans="1:13">
      <c r="A294">
        <v>29</v>
      </c>
      <c r="B294">
        <v>1</v>
      </c>
      <c r="C294">
        <v>9</v>
      </c>
      <c r="D294" s="6" t="e">
        <f>VLOOKUP(Tabla1[[#This Row],[ID_PARTIDO]],Original!$AT$1:$AY$46,2,FALSE)</f>
        <v>#VALUE!</v>
      </c>
      <c r="E294" s="6" t="e">
        <f>VLOOKUP(Tabla1[[#This Row],[ID_PARTIDO]],Original!$AT$1:$AY$46,3,FALSE)</f>
        <v>#VALUE!</v>
      </c>
      <c r="F294" s="6" t="e">
        <f>VLOOKUP(Tabla1[[#This Row],[ID_PARTIDO]],Original!$AT$1:$AY$46,4,FALSE)</f>
        <v>#VALUE!</v>
      </c>
      <c r="G294" s="6" t="e">
        <f>VLOOKUP(Tabla1[[#This Row],[ID_PARTIDO]],Original!$AT$1:$AY$46,5,FALSE)</f>
        <v>#VALUE!</v>
      </c>
      <c r="H294" t="s">
        <v>7</v>
      </c>
      <c r="I294" t="s">
        <v>14</v>
      </c>
      <c r="J294" t="s">
        <v>14</v>
      </c>
      <c r="K294" t="s">
        <v>7</v>
      </c>
      <c r="L294">
        <v>0</v>
      </c>
      <c r="M294">
        <v>1</v>
      </c>
    </row>
    <row r="295" spans="1:13">
      <c r="A295">
        <v>29</v>
      </c>
      <c r="B295">
        <v>1</v>
      </c>
      <c r="C295">
        <v>10</v>
      </c>
      <c r="D295" s="6" t="e">
        <f>VLOOKUP(Tabla1[[#This Row],[ID_PARTIDO]],Original!$AT$1:$AY$46,2,FALSE)</f>
        <v>#VALUE!</v>
      </c>
      <c r="E295" s="6" t="e">
        <f>VLOOKUP(Tabla1[[#This Row],[ID_PARTIDO]],Original!$AT$1:$AY$46,3,FALSE)</f>
        <v>#VALUE!</v>
      </c>
      <c r="F295" s="6" t="e">
        <f>VLOOKUP(Tabla1[[#This Row],[ID_PARTIDO]],Original!$AT$1:$AY$46,4,FALSE)</f>
        <v>#VALUE!</v>
      </c>
      <c r="G295" s="6" t="e">
        <f>VLOOKUP(Tabla1[[#This Row],[ID_PARTIDO]],Original!$AT$1:$AY$46,5,FALSE)</f>
        <v>#VALUE!</v>
      </c>
      <c r="H295" t="s">
        <v>7</v>
      </c>
      <c r="I295" t="s">
        <v>14</v>
      </c>
      <c r="J295" t="s">
        <v>14</v>
      </c>
      <c r="K295" t="s">
        <v>7</v>
      </c>
      <c r="L295">
        <v>0</v>
      </c>
      <c r="M295">
        <v>1</v>
      </c>
    </row>
    <row r="296" spans="1:13">
      <c r="A296">
        <v>29</v>
      </c>
      <c r="B296">
        <v>1</v>
      </c>
      <c r="C296">
        <v>11</v>
      </c>
      <c r="D296" s="6" t="e">
        <f>VLOOKUP(Tabla1[[#This Row],[ID_PARTIDO]],Original!$AT$1:$AY$46,2,FALSE)</f>
        <v>#VALUE!</v>
      </c>
      <c r="E296" s="6" t="e">
        <f>VLOOKUP(Tabla1[[#This Row],[ID_PARTIDO]],Original!$AT$1:$AY$46,3,FALSE)</f>
        <v>#VALUE!</v>
      </c>
      <c r="F296" s="6" t="e">
        <f>VLOOKUP(Tabla1[[#This Row],[ID_PARTIDO]],Original!$AT$1:$AY$46,4,FALSE)</f>
        <v>#VALUE!</v>
      </c>
      <c r="G296" s="6" t="e">
        <f>VLOOKUP(Tabla1[[#This Row],[ID_PARTIDO]],Original!$AT$1:$AY$46,5,FALSE)</f>
        <v>#VALUE!</v>
      </c>
      <c r="H296" t="s">
        <v>7</v>
      </c>
      <c r="I296" t="s">
        <v>14</v>
      </c>
      <c r="J296" t="s">
        <v>14</v>
      </c>
      <c r="K296" t="s">
        <v>7</v>
      </c>
      <c r="L296">
        <v>1</v>
      </c>
      <c r="M296">
        <v>0</v>
      </c>
    </row>
    <row r="297" spans="1:13">
      <c r="A297">
        <v>29</v>
      </c>
      <c r="B297">
        <v>1</v>
      </c>
      <c r="C297">
        <v>12</v>
      </c>
      <c r="D297" s="6" t="e">
        <f>VLOOKUP(Tabla1[[#This Row],[ID_PARTIDO]],Original!$AT$1:$AY$46,2,FALSE)</f>
        <v>#VALUE!</v>
      </c>
      <c r="E297" s="6" t="e">
        <f>VLOOKUP(Tabla1[[#This Row],[ID_PARTIDO]],Original!$AT$1:$AY$46,3,FALSE)</f>
        <v>#VALUE!</v>
      </c>
      <c r="F297" s="6" t="e">
        <f>VLOOKUP(Tabla1[[#This Row],[ID_PARTIDO]],Original!$AT$1:$AY$46,4,FALSE)</f>
        <v>#VALUE!</v>
      </c>
      <c r="G297" s="6" t="e">
        <f>VLOOKUP(Tabla1[[#This Row],[ID_PARTIDO]],Original!$AT$1:$AY$46,5,FALSE)</f>
        <v>#VALUE!</v>
      </c>
      <c r="H297" t="s">
        <v>7</v>
      </c>
      <c r="I297" t="s">
        <v>14</v>
      </c>
      <c r="J297" t="s">
        <v>14</v>
      </c>
      <c r="K297" t="s">
        <v>7</v>
      </c>
      <c r="L297">
        <v>1</v>
      </c>
      <c r="M297">
        <v>0</v>
      </c>
    </row>
    <row r="298" spans="1:13">
      <c r="A298">
        <v>37</v>
      </c>
      <c r="B298">
        <v>1</v>
      </c>
      <c r="C298">
        <v>1</v>
      </c>
      <c r="D298" s="6" t="s">
        <v>16</v>
      </c>
      <c r="E298" s="6" t="s">
        <v>38</v>
      </c>
      <c r="F298" s="6" t="s">
        <v>8</v>
      </c>
      <c r="G298" s="6" t="s">
        <v>12</v>
      </c>
      <c r="H298" t="s">
        <v>14</v>
      </c>
      <c r="I298" t="s">
        <v>7</v>
      </c>
      <c r="J298" t="s">
        <v>7</v>
      </c>
      <c r="K298" t="s">
        <v>14</v>
      </c>
      <c r="L298">
        <v>0</v>
      </c>
      <c r="M298">
        <v>1</v>
      </c>
    </row>
    <row r="299" spans="1:13">
      <c r="A299">
        <v>37</v>
      </c>
      <c r="B299">
        <v>1</v>
      </c>
      <c r="C299">
        <v>2</v>
      </c>
      <c r="D299" s="6" t="s">
        <v>16</v>
      </c>
      <c r="E299" s="6" t="s">
        <v>38</v>
      </c>
      <c r="F299" s="6" t="s">
        <v>8</v>
      </c>
      <c r="G299" s="6" t="s">
        <v>12</v>
      </c>
      <c r="H299" t="s">
        <v>14</v>
      </c>
      <c r="I299" t="s">
        <v>7</v>
      </c>
      <c r="J299" t="s">
        <v>7</v>
      </c>
      <c r="K299" t="s">
        <v>14</v>
      </c>
      <c r="L299">
        <v>1</v>
      </c>
      <c r="M299">
        <v>0</v>
      </c>
    </row>
    <row r="300" spans="1:13">
      <c r="A300">
        <v>37</v>
      </c>
      <c r="B300">
        <v>1</v>
      </c>
      <c r="C300">
        <v>3</v>
      </c>
      <c r="D300" s="6" t="s">
        <v>16</v>
      </c>
      <c r="E300" s="6" t="s">
        <v>38</v>
      </c>
      <c r="F300" s="6" t="s">
        <v>8</v>
      </c>
      <c r="G300" s="6" t="s">
        <v>12</v>
      </c>
      <c r="H300" t="s">
        <v>14</v>
      </c>
      <c r="I300" t="s">
        <v>7</v>
      </c>
      <c r="J300" t="s">
        <v>7</v>
      </c>
      <c r="K300" t="s">
        <v>14</v>
      </c>
      <c r="L300">
        <v>0</v>
      </c>
      <c r="M300">
        <v>1</v>
      </c>
    </row>
    <row r="301" spans="1:13">
      <c r="A301">
        <v>37</v>
      </c>
      <c r="B301">
        <v>1</v>
      </c>
      <c r="C301">
        <v>4</v>
      </c>
      <c r="D301" s="6" t="s">
        <v>16</v>
      </c>
      <c r="E301" s="6" t="s">
        <v>38</v>
      </c>
      <c r="F301" s="6" t="s">
        <v>8</v>
      </c>
      <c r="G301" s="6" t="s">
        <v>12</v>
      </c>
      <c r="H301" t="s">
        <v>14</v>
      </c>
      <c r="I301" t="s">
        <v>7</v>
      </c>
      <c r="J301" t="s">
        <v>7</v>
      </c>
      <c r="K301" t="s">
        <v>14</v>
      </c>
      <c r="L301">
        <v>0</v>
      </c>
      <c r="M301">
        <v>1</v>
      </c>
    </row>
    <row r="302" spans="1:13">
      <c r="A302">
        <v>37</v>
      </c>
      <c r="B302">
        <v>1</v>
      </c>
      <c r="C302">
        <v>5</v>
      </c>
      <c r="D302" s="6" t="s">
        <v>16</v>
      </c>
      <c r="E302" s="6" t="s">
        <v>38</v>
      </c>
      <c r="F302" s="6" t="s">
        <v>8</v>
      </c>
      <c r="G302" s="6" t="s">
        <v>12</v>
      </c>
      <c r="H302" t="s">
        <v>14</v>
      </c>
      <c r="I302" t="s">
        <v>7</v>
      </c>
      <c r="J302" t="s">
        <v>7</v>
      </c>
      <c r="K302" t="s">
        <v>14</v>
      </c>
      <c r="L302">
        <v>0</v>
      </c>
      <c r="M302">
        <v>1</v>
      </c>
    </row>
    <row r="303" spans="1:13">
      <c r="A303">
        <v>37</v>
      </c>
      <c r="B303">
        <v>1</v>
      </c>
      <c r="C303">
        <v>6</v>
      </c>
      <c r="D303" s="6" t="s">
        <v>16</v>
      </c>
      <c r="E303" s="6" t="s">
        <v>38</v>
      </c>
      <c r="F303" s="6" t="s">
        <v>8</v>
      </c>
      <c r="G303" s="6" t="s">
        <v>12</v>
      </c>
      <c r="H303" t="s">
        <v>14</v>
      </c>
      <c r="I303" t="s">
        <v>7</v>
      </c>
      <c r="J303" t="s">
        <v>7</v>
      </c>
      <c r="K303" t="s">
        <v>14</v>
      </c>
      <c r="L303">
        <v>1</v>
      </c>
      <c r="M303">
        <v>0</v>
      </c>
    </row>
    <row r="304" spans="1:13">
      <c r="A304">
        <v>37</v>
      </c>
      <c r="B304">
        <v>1</v>
      </c>
      <c r="C304">
        <v>7</v>
      </c>
      <c r="D304" s="6" t="s">
        <v>16</v>
      </c>
      <c r="E304" s="6" t="s">
        <v>38</v>
      </c>
      <c r="F304" s="6" t="s">
        <v>8</v>
      </c>
      <c r="G304" s="6" t="s">
        <v>12</v>
      </c>
      <c r="H304" t="s">
        <v>14</v>
      </c>
      <c r="I304" t="s">
        <v>7</v>
      </c>
      <c r="J304" t="s">
        <v>7</v>
      </c>
      <c r="K304" t="s">
        <v>14</v>
      </c>
      <c r="L304">
        <v>0</v>
      </c>
      <c r="M304">
        <v>1</v>
      </c>
    </row>
    <row r="305" spans="1:13">
      <c r="A305">
        <v>37</v>
      </c>
      <c r="B305">
        <v>1</v>
      </c>
      <c r="C305">
        <v>8</v>
      </c>
      <c r="D305" s="6" t="s">
        <v>16</v>
      </c>
      <c r="E305" s="6" t="s">
        <v>38</v>
      </c>
      <c r="F305" s="6" t="s">
        <v>8</v>
      </c>
      <c r="G305" s="6" t="s">
        <v>12</v>
      </c>
      <c r="H305" t="s">
        <v>14</v>
      </c>
      <c r="I305" t="s">
        <v>7</v>
      </c>
      <c r="J305" t="s">
        <v>7</v>
      </c>
      <c r="K305" t="s">
        <v>14</v>
      </c>
      <c r="L305">
        <v>1</v>
      </c>
      <c r="M305">
        <v>0</v>
      </c>
    </row>
    <row r="306" spans="1:13">
      <c r="A306">
        <v>37</v>
      </c>
      <c r="B306">
        <v>1</v>
      </c>
      <c r="C306">
        <v>9</v>
      </c>
      <c r="D306" s="6" t="s">
        <v>16</v>
      </c>
      <c r="E306" s="6" t="s">
        <v>38</v>
      </c>
      <c r="F306" s="6" t="s">
        <v>8</v>
      </c>
      <c r="G306" s="6" t="s">
        <v>12</v>
      </c>
      <c r="H306" t="s">
        <v>14</v>
      </c>
      <c r="I306" t="s">
        <v>7</v>
      </c>
      <c r="J306" t="s">
        <v>7</v>
      </c>
      <c r="K306" t="s">
        <v>14</v>
      </c>
      <c r="L306">
        <v>1</v>
      </c>
      <c r="M306">
        <v>0</v>
      </c>
    </row>
    <row r="307" spans="1:13">
      <c r="A307">
        <v>37</v>
      </c>
      <c r="B307">
        <v>1</v>
      </c>
      <c r="C307">
        <v>10</v>
      </c>
      <c r="D307" s="6" t="s">
        <v>16</v>
      </c>
      <c r="E307" s="6" t="s">
        <v>38</v>
      </c>
      <c r="F307" s="6" t="s">
        <v>8</v>
      </c>
      <c r="G307" s="6" t="s">
        <v>12</v>
      </c>
      <c r="H307" t="s">
        <v>14</v>
      </c>
      <c r="I307" t="s">
        <v>7</v>
      </c>
      <c r="J307" t="s">
        <v>7</v>
      </c>
      <c r="K307" t="s">
        <v>14</v>
      </c>
      <c r="L307">
        <v>0</v>
      </c>
      <c r="M307">
        <v>1</v>
      </c>
    </row>
    <row r="308" spans="1:13">
      <c r="A308">
        <v>37</v>
      </c>
      <c r="B308">
        <v>1</v>
      </c>
      <c r="C308">
        <v>11</v>
      </c>
      <c r="D308" s="6" t="s">
        <v>16</v>
      </c>
      <c r="E308" s="6" t="s">
        <v>38</v>
      </c>
      <c r="F308" s="6" t="s">
        <v>8</v>
      </c>
      <c r="G308" s="6" t="s">
        <v>12</v>
      </c>
      <c r="H308" t="s">
        <v>14</v>
      </c>
      <c r="I308" t="s">
        <v>7</v>
      </c>
      <c r="J308" t="s">
        <v>7</v>
      </c>
      <c r="K308" t="s">
        <v>14</v>
      </c>
      <c r="L308">
        <v>0</v>
      </c>
      <c r="M308">
        <v>1</v>
      </c>
    </row>
    <row r="309" spans="1:13">
      <c r="A309">
        <v>23</v>
      </c>
      <c r="B309">
        <v>1</v>
      </c>
      <c r="C309">
        <v>1</v>
      </c>
      <c r="D309" s="6" t="e">
        <f>VLOOKUP(Tabla1[[#This Row],[ID_PARTIDO]],Original!$AT$1:$AY$46,2,FALSE)</f>
        <v>#VALUE!</v>
      </c>
      <c r="E309" s="6" t="e">
        <f>VLOOKUP(Tabla1[[#This Row],[ID_PARTIDO]],Original!$AT$1:$AY$46,3,FALSE)</f>
        <v>#VALUE!</v>
      </c>
      <c r="F309" s="6" t="e">
        <f>VLOOKUP(Tabla1[[#This Row],[ID_PARTIDO]],Original!$AT$1:$AY$46,4,FALSE)</f>
        <v>#VALUE!</v>
      </c>
      <c r="G309" s="6" t="e">
        <f>VLOOKUP(Tabla1[[#This Row],[ID_PARTIDO]],Original!$AT$1:$AY$46,5,FALSE)</f>
        <v>#VALUE!</v>
      </c>
      <c r="H309" t="s">
        <v>7</v>
      </c>
      <c r="I309" t="s">
        <v>14</v>
      </c>
      <c r="J309" t="s">
        <v>7</v>
      </c>
      <c r="K309" t="s">
        <v>14</v>
      </c>
      <c r="L309">
        <v>0</v>
      </c>
      <c r="M309">
        <v>1</v>
      </c>
    </row>
    <row r="310" spans="1:13">
      <c r="A310">
        <v>23</v>
      </c>
      <c r="B310">
        <v>1</v>
      </c>
      <c r="C310">
        <v>2</v>
      </c>
      <c r="D310" s="6" t="e">
        <f>VLOOKUP(Tabla1[[#This Row],[ID_PARTIDO]],Original!$AT$1:$AY$46,2,FALSE)</f>
        <v>#VALUE!</v>
      </c>
      <c r="E310" s="6" t="e">
        <f>VLOOKUP(Tabla1[[#This Row],[ID_PARTIDO]],Original!$AT$1:$AY$46,3,FALSE)</f>
        <v>#VALUE!</v>
      </c>
      <c r="F310" s="6" t="e">
        <f>VLOOKUP(Tabla1[[#This Row],[ID_PARTIDO]],Original!$AT$1:$AY$46,4,FALSE)</f>
        <v>#VALUE!</v>
      </c>
      <c r="G310" s="6" t="e">
        <f>VLOOKUP(Tabla1[[#This Row],[ID_PARTIDO]],Original!$AT$1:$AY$46,5,FALSE)</f>
        <v>#VALUE!</v>
      </c>
      <c r="H310" t="s">
        <v>7</v>
      </c>
      <c r="I310" t="s">
        <v>14</v>
      </c>
      <c r="J310" t="s">
        <v>7</v>
      </c>
      <c r="K310" t="s">
        <v>14</v>
      </c>
      <c r="L310">
        <v>1</v>
      </c>
      <c r="M310">
        <v>0</v>
      </c>
    </row>
    <row r="311" spans="1:13">
      <c r="A311">
        <v>23</v>
      </c>
      <c r="B311">
        <v>1</v>
      </c>
      <c r="C311">
        <v>3</v>
      </c>
      <c r="D311" s="6" t="e">
        <f>VLOOKUP(Tabla1[[#This Row],[ID_PARTIDO]],Original!$AT$1:$AY$46,2,FALSE)</f>
        <v>#VALUE!</v>
      </c>
      <c r="E311" s="6" t="e">
        <f>VLOOKUP(Tabla1[[#This Row],[ID_PARTIDO]],Original!$AT$1:$AY$46,3,FALSE)</f>
        <v>#VALUE!</v>
      </c>
      <c r="F311" s="6" t="e">
        <f>VLOOKUP(Tabla1[[#This Row],[ID_PARTIDO]],Original!$AT$1:$AY$46,4,FALSE)</f>
        <v>#VALUE!</v>
      </c>
      <c r="G311" s="6" t="e">
        <f>VLOOKUP(Tabla1[[#This Row],[ID_PARTIDO]],Original!$AT$1:$AY$46,5,FALSE)</f>
        <v>#VALUE!</v>
      </c>
      <c r="H311" t="s">
        <v>7</v>
      </c>
      <c r="I311" t="s">
        <v>14</v>
      </c>
      <c r="J311" t="s">
        <v>7</v>
      </c>
      <c r="K311" t="s">
        <v>14</v>
      </c>
      <c r="L311">
        <v>0</v>
      </c>
      <c r="M311">
        <v>1</v>
      </c>
    </row>
    <row r="312" spans="1:13">
      <c r="A312">
        <v>23</v>
      </c>
      <c r="B312">
        <v>1</v>
      </c>
      <c r="C312">
        <v>4</v>
      </c>
      <c r="D312" s="6" t="e">
        <f>VLOOKUP(Tabla1[[#This Row],[ID_PARTIDO]],Original!$AT$1:$AY$46,2,FALSE)</f>
        <v>#VALUE!</v>
      </c>
      <c r="E312" s="6" t="e">
        <f>VLOOKUP(Tabla1[[#This Row],[ID_PARTIDO]],Original!$AT$1:$AY$46,3,FALSE)</f>
        <v>#VALUE!</v>
      </c>
      <c r="F312" s="6" t="e">
        <f>VLOOKUP(Tabla1[[#This Row],[ID_PARTIDO]],Original!$AT$1:$AY$46,4,FALSE)</f>
        <v>#VALUE!</v>
      </c>
      <c r="G312" s="6" t="e">
        <f>VLOOKUP(Tabla1[[#This Row],[ID_PARTIDO]],Original!$AT$1:$AY$46,5,FALSE)</f>
        <v>#VALUE!</v>
      </c>
      <c r="H312" t="s">
        <v>7</v>
      </c>
      <c r="I312" t="s">
        <v>14</v>
      </c>
      <c r="J312" t="s">
        <v>7</v>
      </c>
      <c r="K312" t="s">
        <v>14</v>
      </c>
      <c r="L312">
        <v>1</v>
      </c>
      <c r="M312">
        <v>0</v>
      </c>
    </row>
    <row r="313" spans="1:13">
      <c r="A313">
        <v>23</v>
      </c>
      <c r="B313">
        <v>1</v>
      </c>
      <c r="C313">
        <v>5</v>
      </c>
      <c r="D313" s="6" t="e">
        <f>VLOOKUP(Tabla1[[#This Row],[ID_PARTIDO]],Original!$AT$1:$AY$46,2,FALSE)</f>
        <v>#VALUE!</v>
      </c>
      <c r="E313" s="6" t="e">
        <f>VLOOKUP(Tabla1[[#This Row],[ID_PARTIDO]],Original!$AT$1:$AY$46,3,FALSE)</f>
        <v>#VALUE!</v>
      </c>
      <c r="F313" s="6" t="e">
        <f>VLOOKUP(Tabla1[[#This Row],[ID_PARTIDO]],Original!$AT$1:$AY$46,4,FALSE)</f>
        <v>#VALUE!</v>
      </c>
      <c r="G313" s="6" t="e">
        <f>VLOOKUP(Tabla1[[#This Row],[ID_PARTIDO]],Original!$AT$1:$AY$46,5,FALSE)</f>
        <v>#VALUE!</v>
      </c>
      <c r="H313" t="s">
        <v>7</v>
      </c>
      <c r="I313" t="s">
        <v>14</v>
      </c>
      <c r="J313" t="s">
        <v>7</v>
      </c>
      <c r="K313" t="s">
        <v>14</v>
      </c>
      <c r="L313">
        <v>1</v>
      </c>
      <c r="M313">
        <v>0</v>
      </c>
    </row>
    <row r="314" spans="1:13">
      <c r="A314">
        <v>23</v>
      </c>
      <c r="B314">
        <v>1</v>
      </c>
      <c r="C314">
        <v>6</v>
      </c>
      <c r="D314" s="6" t="e">
        <f>VLOOKUP(Tabla1[[#This Row],[ID_PARTIDO]],Original!$AT$1:$AY$46,2,FALSE)</f>
        <v>#VALUE!</v>
      </c>
      <c r="E314" s="6" t="e">
        <f>VLOOKUP(Tabla1[[#This Row],[ID_PARTIDO]],Original!$AT$1:$AY$46,3,FALSE)</f>
        <v>#VALUE!</v>
      </c>
      <c r="F314" s="6" t="e">
        <f>VLOOKUP(Tabla1[[#This Row],[ID_PARTIDO]],Original!$AT$1:$AY$46,4,FALSE)</f>
        <v>#VALUE!</v>
      </c>
      <c r="G314" s="6" t="e">
        <f>VLOOKUP(Tabla1[[#This Row],[ID_PARTIDO]],Original!$AT$1:$AY$46,5,FALSE)</f>
        <v>#VALUE!</v>
      </c>
      <c r="H314" t="s">
        <v>7</v>
      </c>
      <c r="I314" t="s">
        <v>14</v>
      </c>
      <c r="J314" t="s">
        <v>7</v>
      </c>
      <c r="K314" t="s">
        <v>14</v>
      </c>
      <c r="L314">
        <v>0</v>
      </c>
      <c r="M314">
        <v>1</v>
      </c>
    </row>
    <row r="315" spans="1:13">
      <c r="A315">
        <v>23</v>
      </c>
      <c r="B315">
        <v>1</v>
      </c>
      <c r="C315">
        <v>7</v>
      </c>
      <c r="D315" s="6" t="e">
        <f>VLOOKUP(Tabla1[[#This Row],[ID_PARTIDO]],Original!$AT$1:$AY$46,2,FALSE)</f>
        <v>#VALUE!</v>
      </c>
      <c r="E315" s="6" t="e">
        <f>VLOOKUP(Tabla1[[#This Row],[ID_PARTIDO]],Original!$AT$1:$AY$46,3,FALSE)</f>
        <v>#VALUE!</v>
      </c>
      <c r="F315" s="6" t="e">
        <f>VLOOKUP(Tabla1[[#This Row],[ID_PARTIDO]],Original!$AT$1:$AY$46,4,FALSE)</f>
        <v>#VALUE!</v>
      </c>
      <c r="G315" s="6" t="e">
        <f>VLOOKUP(Tabla1[[#This Row],[ID_PARTIDO]],Original!$AT$1:$AY$46,5,FALSE)</f>
        <v>#VALUE!</v>
      </c>
      <c r="H315" t="s">
        <v>7</v>
      </c>
      <c r="I315" t="s">
        <v>14</v>
      </c>
      <c r="J315" t="s">
        <v>7</v>
      </c>
      <c r="K315" t="s">
        <v>14</v>
      </c>
      <c r="L315">
        <v>0</v>
      </c>
      <c r="M315">
        <v>1</v>
      </c>
    </row>
    <row r="316" spans="1:13">
      <c r="A316">
        <v>23</v>
      </c>
      <c r="B316">
        <v>1</v>
      </c>
      <c r="C316">
        <v>8</v>
      </c>
      <c r="D316" s="6" t="e">
        <f>VLOOKUP(Tabla1[[#This Row],[ID_PARTIDO]],Original!$AT$1:$AY$46,2,FALSE)</f>
        <v>#VALUE!</v>
      </c>
      <c r="E316" s="6" t="e">
        <f>VLOOKUP(Tabla1[[#This Row],[ID_PARTIDO]],Original!$AT$1:$AY$46,3,FALSE)</f>
        <v>#VALUE!</v>
      </c>
      <c r="F316" s="6" t="e">
        <f>VLOOKUP(Tabla1[[#This Row],[ID_PARTIDO]],Original!$AT$1:$AY$46,4,FALSE)</f>
        <v>#VALUE!</v>
      </c>
      <c r="G316" s="6" t="e">
        <f>VLOOKUP(Tabla1[[#This Row],[ID_PARTIDO]],Original!$AT$1:$AY$46,5,FALSE)</f>
        <v>#VALUE!</v>
      </c>
      <c r="H316" t="s">
        <v>7</v>
      </c>
      <c r="I316" t="s">
        <v>14</v>
      </c>
      <c r="J316" t="s">
        <v>7</v>
      </c>
      <c r="K316" t="s">
        <v>14</v>
      </c>
      <c r="L316">
        <v>1</v>
      </c>
      <c r="M316">
        <v>0</v>
      </c>
    </row>
    <row r="317" spans="1:13">
      <c r="A317">
        <v>23</v>
      </c>
      <c r="B317">
        <v>1</v>
      </c>
      <c r="C317">
        <v>9</v>
      </c>
      <c r="D317" s="6" t="e">
        <f>VLOOKUP(Tabla1[[#This Row],[ID_PARTIDO]],Original!$AT$1:$AY$46,2,FALSE)</f>
        <v>#VALUE!</v>
      </c>
      <c r="E317" s="6" t="e">
        <f>VLOOKUP(Tabla1[[#This Row],[ID_PARTIDO]],Original!$AT$1:$AY$46,3,FALSE)</f>
        <v>#VALUE!</v>
      </c>
      <c r="F317" s="6" t="e">
        <f>VLOOKUP(Tabla1[[#This Row],[ID_PARTIDO]],Original!$AT$1:$AY$46,4,FALSE)</f>
        <v>#VALUE!</v>
      </c>
      <c r="G317" s="6" t="e">
        <f>VLOOKUP(Tabla1[[#This Row],[ID_PARTIDO]],Original!$AT$1:$AY$46,5,FALSE)</f>
        <v>#VALUE!</v>
      </c>
      <c r="H317" t="s">
        <v>7</v>
      </c>
      <c r="I317" t="s">
        <v>14</v>
      </c>
      <c r="J317" t="s">
        <v>7</v>
      </c>
      <c r="K317" t="s">
        <v>14</v>
      </c>
      <c r="L317">
        <v>0</v>
      </c>
      <c r="M317">
        <v>1</v>
      </c>
    </row>
    <row r="318" spans="1:13">
      <c r="A318">
        <v>23</v>
      </c>
      <c r="B318">
        <v>1</v>
      </c>
      <c r="C318">
        <v>10</v>
      </c>
      <c r="D318" s="6" t="e">
        <f>VLOOKUP(Tabla1[[#This Row],[ID_PARTIDO]],Original!$AT$1:$AY$46,2,FALSE)</f>
        <v>#VALUE!</v>
      </c>
      <c r="E318" s="6" t="e">
        <f>VLOOKUP(Tabla1[[#This Row],[ID_PARTIDO]],Original!$AT$1:$AY$46,3,FALSE)</f>
        <v>#VALUE!</v>
      </c>
      <c r="F318" s="6" t="e">
        <f>VLOOKUP(Tabla1[[#This Row],[ID_PARTIDO]],Original!$AT$1:$AY$46,4,FALSE)</f>
        <v>#VALUE!</v>
      </c>
      <c r="G318" s="6" t="e">
        <f>VLOOKUP(Tabla1[[#This Row],[ID_PARTIDO]],Original!$AT$1:$AY$46,5,FALSE)</f>
        <v>#VALUE!</v>
      </c>
      <c r="H318" t="s">
        <v>7</v>
      </c>
      <c r="I318" t="s">
        <v>14</v>
      </c>
      <c r="J318" t="s">
        <v>7</v>
      </c>
      <c r="K318" t="s">
        <v>14</v>
      </c>
      <c r="L318">
        <v>1</v>
      </c>
      <c r="M318">
        <v>0</v>
      </c>
    </row>
    <row r="319" spans="1:13">
      <c r="A319">
        <v>23</v>
      </c>
      <c r="B319">
        <v>1</v>
      </c>
      <c r="C319">
        <v>11</v>
      </c>
      <c r="D319" s="6" t="e">
        <f>VLOOKUP(Tabla1[[#This Row],[ID_PARTIDO]],Original!$AT$1:$AY$46,2,FALSE)</f>
        <v>#VALUE!</v>
      </c>
      <c r="E319" s="6" t="e">
        <f>VLOOKUP(Tabla1[[#This Row],[ID_PARTIDO]],Original!$AT$1:$AY$46,3,FALSE)</f>
        <v>#VALUE!</v>
      </c>
      <c r="F319" s="6" t="e">
        <f>VLOOKUP(Tabla1[[#This Row],[ID_PARTIDO]],Original!$AT$1:$AY$46,4,FALSE)</f>
        <v>#VALUE!</v>
      </c>
      <c r="G319" s="6" t="e">
        <f>VLOOKUP(Tabla1[[#This Row],[ID_PARTIDO]],Original!$AT$1:$AY$46,5,FALSE)</f>
        <v>#VALUE!</v>
      </c>
      <c r="H319" t="s">
        <v>7</v>
      </c>
      <c r="I319" t="s">
        <v>14</v>
      </c>
      <c r="J319" t="s">
        <v>7</v>
      </c>
      <c r="K319" t="s">
        <v>14</v>
      </c>
      <c r="L319">
        <v>1</v>
      </c>
      <c r="M319">
        <v>0</v>
      </c>
    </row>
    <row r="320" spans="1:13">
      <c r="A320">
        <v>23</v>
      </c>
      <c r="B320">
        <v>1</v>
      </c>
      <c r="C320">
        <v>12</v>
      </c>
      <c r="D320" s="6" t="e">
        <f>VLOOKUP(Tabla1[[#This Row],[ID_PARTIDO]],Original!$AT$1:$AY$46,2,FALSE)</f>
        <v>#VALUE!</v>
      </c>
      <c r="E320" s="6" t="e">
        <f>VLOOKUP(Tabla1[[#This Row],[ID_PARTIDO]],Original!$AT$1:$AY$46,3,FALSE)</f>
        <v>#VALUE!</v>
      </c>
      <c r="F320" s="6" t="e">
        <f>VLOOKUP(Tabla1[[#This Row],[ID_PARTIDO]],Original!$AT$1:$AY$46,4,FALSE)</f>
        <v>#VALUE!</v>
      </c>
      <c r="G320" s="6" t="e">
        <f>VLOOKUP(Tabla1[[#This Row],[ID_PARTIDO]],Original!$AT$1:$AY$46,5,FALSE)</f>
        <v>#VALUE!</v>
      </c>
      <c r="H320" t="s">
        <v>7</v>
      </c>
      <c r="I320" t="s">
        <v>14</v>
      </c>
      <c r="J320" t="s">
        <v>7</v>
      </c>
      <c r="K320" t="s">
        <v>14</v>
      </c>
      <c r="L320">
        <v>1</v>
      </c>
      <c r="M320">
        <v>0</v>
      </c>
    </row>
    <row r="321" spans="1:13">
      <c r="A321">
        <v>35</v>
      </c>
      <c r="B321">
        <v>1</v>
      </c>
      <c r="C321">
        <v>1</v>
      </c>
      <c r="D321" s="6" t="e">
        <f>VLOOKUP(Tabla1[[#This Row],[ID_PARTIDO]],Original!$AT$1:$AY$46,2,FALSE)</f>
        <v>#VALUE!</v>
      </c>
      <c r="E321" s="6" t="e">
        <f>VLOOKUP(Tabla1[[#This Row],[ID_PARTIDO]],Original!$AT$1:$AY$46,3,FALSE)</f>
        <v>#VALUE!</v>
      </c>
      <c r="F321" s="6" t="e">
        <f>VLOOKUP(Tabla1[[#This Row],[ID_PARTIDO]],Original!$AT$1:$AY$46,4,FALSE)</f>
        <v>#VALUE!</v>
      </c>
      <c r="G321" s="6" t="e">
        <f>VLOOKUP(Tabla1[[#This Row],[ID_PARTIDO]],Original!$AT$1:$AY$46,5,FALSE)</f>
        <v>#VALUE!</v>
      </c>
      <c r="H321" t="s">
        <v>7</v>
      </c>
      <c r="I321" t="s">
        <v>14</v>
      </c>
      <c r="J321" t="s">
        <v>14</v>
      </c>
      <c r="K321" t="s">
        <v>7</v>
      </c>
      <c r="L321">
        <v>0</v>
      </c>
      <c r="M321">
        <v>1</v>
      </c>
    </row>
    <row r="322" spans="1:13">
      <c r="A322">
        <v>35</v>
      </c>
      <c r="B322">
        <v>1</v>
      </c>
      <c r="C322">
        <v>2</v>
      </c>
      <c r="D322" s="6" t="e">
        <f>VLOOKUP(Tabla1[[#This Row],[ID_PARTIDO]],Original!$AT$1:$AY$46,2,FALSE)</f>
        <v>#VALUE!</v>
      </c>
      <c r="E322" s="6" t="e">
        <f>VLOOKUP(Tabla1[[#This Row],[ID_PARTIDO]],Original!$AT$1:$AY$46,3,FALSE)</f>
        <v>#VALUE!</v>
      </c>
      <c r="F322" s="6" t="e">
        <f>VLOOKUP(Tabla1[[#This Row],[ID_PARTIDO]],Original!$AT$1:$AY$46,4,FALSE)</f>
        <v>#VALUE!</v>
      </c>
      <c r="G322" s="6" t="e">
        <f>VLOOKUP(Tabla1[[#This Row],[ID_PARTIDO]],Original!$AT$1:$AY$46,5,FALSE)</f>
        <v>#VALUE!</v>
      </c>
      <c r="H322" t="s">
        <v>7</v>
      </c>
      <c r="I322" t="s">
        <v>14</v>
      </c>
      <c r="J322" t="s">
        <v>14</v>
      </c>
      <c r="K322" t="s">
        <v>7</v>
      </c>
      <c r="L322">
        <v>0</v>
      </c>
      <c r="M322">
        <v>1</v>
      </c>
    </row>
    <row r="323" spans="1:13">
      <c r="A323">
        <v>35</v>
      </c>
      <c r="B323">
        <v>1</v>
      </c>
      <c r="C323">
        <v>3</v>
      </c>
      <c r="D323" s="6" t="e">
        <f>VLOOKUP(Tabla1[[#This Row],[ID_PARTIDO]],Original!$AT$1:$AY$46,2,FALSE)</f>
        <v>#VALUE!</v>
      </c>
      <c r="E323" s="6" t="e">
        <f>VLOOKUP(Tabla1[[#This Row],[ID_PARTIDO]],Original!$AT$1:$AY$46,3,FALSE)</f>
        <v>#VALUE!</v>
      </c>
      <c r="F323" s="6" t="e">
        <f>VLOOKUP(Tabla1[[#This Row],[ID_PARTIDO]],Original!$AT$1:$AY$46,4,FALSE)</f>
        <v>#VALUE!</v>
      </c>
      <c r="G323" s="6" t="e">
        <f>VLOOKUP(Tabla1[[#This Row],[ID_PARTIDO]],Original!$AT$1:$AY$46,5,FALSE)</f>
        <v>#VALUE!</v>
      </c>
      <c r="H323" t="s">
        <v>7</v>
      </c>
      <c r="I323" t="s">
        <v>14</v>
      </c>
      <c r="J323" t="s">
        <v>14</v>
      </c>
      <c r="K323" t="s">
        <v>7</v>
      </c>
      <c r="L323">
        <v>0</v>
      </c>
      <c r="M323">
        <v>1</v>
      </c>
    </row>
    <row r="324" spans="1:13">
      <c r="A324">
        <v>35</v>
      </c>
      <c r="B324">
        <v>1</v>
      </c>
      <c r="C324">
        <v>4</v>
      </c>
      <c r="D324" s="6" t="e">
        <f>VLOOKUP(Tabla1[[#This Row],[ID_PARTIDO]],Original!$AT$1:$AY$46,2,FALSE)</f>
        <v>#VALUE!</v>
      </c>
      <c r="E324" s="6" t="e">
        <f>VLOOKUP(Tabla1[[#This Row],[ID_PARTIDO]],Original!$AT$1:$AY$46,3,FALSE)</f>
        <v>#VALUE!</v>
      </c>
      <c r="F324" s="6" t="e">
        <f>VLOOKUP(Tabla1[[#This Row],[ID_PARTIDO]],Original!$AT$1:$AY$46,4,FALSE)</f>
        <v>#VALUE!</v>
      </c>
      <c r="G324" s="6" t="e">
        <f>VLOOKUP(Tabla1[[#This Row],[ID_PARTIDO]],Original!$AT$1:$AY$46,5,FALSE)</f>
        <v>#VALUE!</v>
      </c>
      <c r="H324" t="s">
        <v>7</v>
      </c>
      <c r="I324" t="s">
        <v>14</v>
      </c>
      <c r="J324" t="s">
        <v>14</v>
      </c>
      <c r="K324" t="s">
        <v>7</v>
      </c>
      <c r="L324">
        <v>0</v>
      </c>
      <c r="M324">
        <v>1</v>
      </c>
    </row>
    <row r="325" spans="1:13">
      <c r="A325">
        <v>35</v>
      </c>
      <c r="B325">
        <v>1</v>
      </c>
      <c r="C325">
        <v>5</v>
      </c>
      <c r="D325" s="6" t="e">
        <f>VLOOKUP(Tabla1[[#This Row],[ID_PARTIDO]],Original!$AT$1:$AY$46,2,FALSE)</f>
        <v>#VALUE!</v>
      </c>
      <c r="E325" s="6" t="e">
        <f>VLOOKUP(Tabla1[[#This Row],[ID_PARTIDO]],Original!$AT$1:$AY$46,3,FALSE)</f>
        <v>#VALUE!</v>
      </c>
      <c r="F325" s="6" t="e">
        <f>VLOOKUP(Tabla1[[#This Row],[ID_PARTIDO]],Original!$AT$1:$AY$46,4,FALSE)</f>
        <v>#VALUE!</v>
      </c>
      <c r="G325" s="6" t="e">
        <f>VLOOKUP(Tabla1[[#This Row],[ID_PARTIDO]],Original!$AT$1:$AY$46,5,FALSE)</f>
        <v>#VALUE!</v>
      </c>
      <c r="H325" t="s">
        <v>7</v>
      </c>
      <c r="I325" t="s">
        <v>14</v>
      </c>
      <c r="J325" t="s">
        <v>14</v>
      </c>
      <c r="K325" t="s">
        <v>7</v>
      </c>
      <c r="L325">
        <v>0</v>
      </c>
      <c r="M325">
        <v>1</v>
      </c>
    </row>
    <row r="326" spans="1:13">
      <c r="A326">
        <v>35</v>
      </c>
      <c r="B326">
        <v>1</v>
      </c>
      <c r="C326">
        <v>6</v>
      </c>
      <c r="D326" s="6" t="e">
        <f>VLOOKUP(Tabla1[[#This Row],[ID_PARTIDO]],Original!$AT$1:$AY$46,2,FALSE)</f>
        <v>#VALUE!</v>
      </c>
      <c r="E326" s="6" t="e">
        <f>VLOOKUP(Tabla1[[#This Row],[ID_PARTIDO]],Original!$AT$1:$AY$46,3,FALSE)</f>
        <v>#VALUE!</v>
      </c>
      <c r="F326" s="6" t="e">
        <f>VLOOKUP(Tabla1[[#This Row],[ID_PARTIDO]],Original!$AT$1:$AY$46,4,FALSE)</f>
        <v>#VALUE!</v>
      </c>
      <c r="G326" s="6" t="e">
        <f>VLOOKUP(Tabla1[[#This Row],[ID_PARTIDO]],Original!$AT$1:$AY$46,5,FALSE)</f>
        <v>#VALUE!</v>
      </c>
      <c r="H326" t="s">
        <v>7</v>
      </c>
      <c r="I326" t="s">
        <v>14</v>
      </c>
      <c r="J326" t="s">
        <v>14</v>
      </c>
      <c r="K326" t="s">
        <v>7</v>
      </c>
      <c r="L326">
        <v>1</v>
      </c>
      <c r="M326">
        <v>0</v>
      </c>
    </row>
    <row r="327" spans="1:13">
      <c r="A327">
        <v>35</v>
      </c>
      <c r="B327">
        <v>1</v>
      </c>
      <c r="C327">
        <v>7</v>
      </c>
      <c r="D327" s="6" t="e">
        <f>VLOOKUP(Tabla1[[#This Row],[ID_PARTIDO]],Original!$AT$1:$AY$46,2,FALSE)</f>
        <v>#VALUE!</v>
      </c>
      <c r="E327" s="6" t="e">
        <f>VLOOKUP(Tabla1[[#This Row],[ID_PARTIDO]],Original!$AT$1:$AY$46,3,FALSE)</f>
        <v>#VALUE!</v>
      </c>
      <c r="F327" s="6" t="e">
        <f>VLOOKUP(Tabla1[[#This Row],[ID_PARTIDO]],Original!$AT$1:$AY$46,4,FALSE)</f>
        <v>#VALUE!</v>
      </c>
      <c r="G327" s="6" t="e">
        <f>VLOOKUP(Tabla1[[#This Row],[ID_PARTIDO]],Original!$AT$1:$AY$46,5,FALSE)</f>
        <v>#VALUE!</v>
      </c>
      <c r="H327" t="s">
        <v>7</v>
      </c>
      <c r="I327" t="s">
        <v>14</v>
      </c>
      <c r="J327" t="s">
        <v>14</v>
      </c>
      <c r="K327" t="s">
        <v>7</v>
      </c>
      <c r="L327">
        <v>0</v>
      </c>
      <c r="M327">
        <v>1</v>
      </c>
    </row>
    <row r="328" spans="1:13">
      <c r="A328">
        <v>35</v>
      </c>
      <c r="B328">
        <v>1</v>
      </c>
      <c r="C328">
        <v>8</v>
      </c>
      <c r="D328" s="6" t="e">
        <f>VLOOKUP(Tabla1[[#This Row],[ID_PARTIDO]],Original!$AT$1:$AY$46,2,FALSE)</f>
        <v>#VALUE!</v>
      </c>
      <c r="E328" s="6" t="e">
        <f>VLOOKUP(Tabla1[[#This Row],[ID_PARTIDO]],Original!$AT$1:$AY$46,3,FALSE)</f>
        <v>#VALUE!</v>
      </c>
      <c r="F328" s="6" t="e">
        <f>VLOOKUP(Tabla1[[#This Row],[ID_PARTIDO]],Original!$AT$1:$AY$46,4,FALSE)</f>
        <v>#VALUE!</v>
      </c>
      <c r="G328" s="6" t="e">
        <f>VLOOKUP(Tabla1[[#This Row],[ID_PARTIDO]],Original!$AT$1:$AY$46,5,FALSE)</f>
        <v>#VALUE!</v>
      </c>
      <c r="H328" t="s">
        <v>7</v>
      </c>
      <c r="I328" t="s">
        <v>14</v>
      </c>
      <c r="J328" t="s">
        <v>14</v>
      </c>
      <c r="K328" t="s">
        <v>7</v>
      </c>
      <c r="L328">
        <v>0</v>
      </c>
      <c r="M328">
        <v>1</v>
      </c>
    </row>
    <row r="329" spans="1:13">
      <c r="A329">
        <v>25</v>
      </c>
      <c r="B329">
        <v>1</v>
      </c>
      <c r="C329">
        <v>1</v>
      </c>
      <c r="D329" s="6" t="e">
        <f>VLOOKUP(Tabla1[[#This Row],[ID_PARTIDO]],Original!$AT$1:$AY$46,2,FALSE)</f>
        <v>#VALUE!</v>
      </c>
      <c r="E329" s="6" t="e">
        <f>VLOOKUP(Tabla1[[#This Row],[ID_PARTIDO]],Original!$AT$1:$AY$46,3,FALSE)</f>
        <v>#VALUE!</v>
      </c>
      <c r="F329" s="6" t="e">
        <f>VLOOKUP(Tabla1[[#This Row],[ID_PARTIDO]],Original!$AT$1:$AY$46,4,FALSE)</f>
        <v>#VALUE!</v>
      </c>
      <c r="G329" s="6" t="e">
        <f>VLOOKUP(Tabla1[[#This Row],[ID_PARTIDO]],Original!$AT$1:$AY$46,5,FALSE)</f>
        <v>#VALUE!</v>
      </c>
      <c r="H329" t="s">
        <v>14</v>
      </c>
      <c r="I329" t="s">
        <v>7</v>
      </c>
      <c r="J329" t="s">
        <v>7</v>
      </c>
      <c r="K329" t="s">
        <v>14</v>
      </c>
      <c r="L329">
        <v>0</v>
      </c>
      <c r="M329">
        <v>1</v>
      </c>
    </row>
    <row r="330" spans="1:13">
      <c r="A330">
        <v>25</v>
      </c>
      <c r="B330">
        <v>1</v>
      </c>
      <c r="C330">
        <v>2</v>
      </c>
      <c r="D330" s="6" t="e">
        <f>VLOOKUP(Tabla1[[#This Row],[ID_PARTIDO]],Original!$AT$1:$AY$46,2,FALSE)</f>
        <v>#VALUE!</v>
      </c>
      <c r="E330" s="6" t="e">
        <f>VLOOKUP(Tabla1[[#This Row],[ID_PARTIDO]],Original!$AT$1:$AY$46,3,FALSE)</f>
        <v>#VALUE!</v>
      </c>
      <c r="F330" s="6" t="e">
        <f>VLOOKUP(Tabla1[[#This Row],[ID_PARTIDO]],Original!$AT$1:$AY$46,4,FALSE)</f>
        <v>#VALUE!</v>
      </c>
      <c r="G330" s="6" t="e">
        <f>VLOOKUP(Tabla1[[#This Row],[ID_PARTIDO]],Original!$AT$1:$AY$46,5,FALSE)</f>
        <v>#VALUE!</v>
      </c>
      <c r="H330" t="s">
        <v>14</v>
      </c>
      <c r="I330" t="s">
        <v>7</v>
      </c>
      <c r="J330" t="s">
        <v>7</v>
      </c>
      <c r="K330" t="s">
        <v>14</v>
      </c>
      <c r="L330">
        <v>1</v>
      </c>
      <c r="M330">
        <v>0</v>
      </c>
    </row>
    <row r="331" spans="1:13">
      <c r="A331">
        <v>25</v>
      </c>
      <c r="B331">
        <v>1</v>
      </c>
      <c r="C331">
        <v>3</v>
      </c>
      <c r="D331" s="6" t="e">
        <f>VLOOKUP(Tabla1[[#This Row],[ID_PARTIDO]],Original!$AT$1:$AY$46,2,FALSE)</f>
        <v>#VALUE!</v>
      </c>
      <c r="E331" s="6" t="e">
        <f>VLOOKUP(Tabla1[[#This Row],[ID_PARTIDO]],Original!$AT$1:$AY$46,3,FALSE)</f>
        <v>#VALUE!</v>
      </c>
      <c r="F331" s="6" t="e">
        <f>VLOOKUP(Tabla1[[#This Row],[ID_PARTIDO]],Original!$AT$1:$AY$46,4,FALSE)</f>
        <v>#VALUE!</v>
      </c>
      <c r="G331" s="6" t="e">
        <f>VLOOKUP(Tabla1[[#This Row],[ID_PARTIDO]],Original!$AT$1:$AY$46,5,FALSE)</f>
        <v>#VALUE!</v>
      </c>
      <c r="H331" t="s">
        <v>14</v>
      </c>
      <c r="I331" t="s">
        <v>7</v>
      </c>
      <c r="J331" t="s">
        <v>7</v>
      </c>
      <c r="K331" t="s">
        <v>14</v>
      </c>
      <c r="L331">
        <v>1</v>
      </c>
      <c r="M331">
        <v>0</v>
      </c>
    </row>
    <row r="332" spans="1:13">
      <c r="A332">
        <v>25</v>
      </c>
      <c r="B332">
        <v>1</v>
      </c>
      <c r="C332">
        <v>4</v>
      </c>
      <c r="D332" s="6" t="e">
        <f>VLOOKUP(Tabla1[[#This Row],[ID_PARTIDO]],Original!$AT$1:$AY$46,2,FALSE)</f>
        <v>#VALUE!</v>
      </c>
      <c r="E332" s="6" t="e">
        <f>VLOOKUP(Tabla1[[#This Row],[ID_PARTIDO]],Original!$AT$1:$AY$46,3,FALSE)</f>
        <v>#VALUE!</v>
      </c>
      <c r="F332" s="6" t="e">
        <f>VLOOKUP(Tabla1[[#This Row],[ID_PARTIDO]],Original!$AT$1:$AY$46,4,FALSE)</f>
        <v>#VALUE!</v>
      </c>
      <c r="G332" s="6" t="e">
        <f>VLOOKUP(Tabla1[[#This Row],[ID_PARTIDO]],Original!$AT$1:$AY$46,5,FALSE)</f>
        <v>#VALUE!</v>
      </c>
      <c r="H332" t="s">
        <v>14</v>
      </c>
      <c r="I332" t="s">
        <v>7</v>
      </c>
      <c r="J332" t="s">
        <v>7</v>
      </c>
      <c r="K332" t="s">
        <v>14</v>
      </c>
      <c r="L332">
        <v>1</v>
      </c>
      <c r="M332">
        <v>0</v>
      </c>
    </row>
    <row r="333" spans="1:13">
      <c r="A333">
        <v>25</v>
      </c>
      <c r="B333">
        <v>1</v>
      </c>
      <c r="C333">
        <v>5</v>
      </c>
      <c r="D333" s="6" t="e">
        <f>VLOOKUP(Tabla1[[#This Row],[ID_PARTIDO]],Original!$AT$1:$AY$46,2,FALSE)</f>
        <v>#VALUE!</v>
      </c>
      <c r="E333" s="6" t="e">
        <f>VLOOKUP(Tabla1[[#This Row],[ID_PARTIDO]],Original!$AT$1:$AY$46,3,FALSE)</f>
        <v>#VALUE!</v>
      </c>
      <c r="F333" s="6" t="e">
        <f>VLOOKUP(Tabla1[[#This Row],[ID_PARTIDO]],Original!$AT$1:$AY$46,4,FALSE)</f>
        <v>#VALUE!</v>
      </c>
      <c r="G333" s="6" t="e">
        <f>VLOOKUP(Tabla1[[#This Row],[ID_PARTIDO]],Original!$AT$1:$AY$46,5,FALSE)</f>
        <v>#VALUE!</v>
      </c>
      <c r="H333" t="s">
        <v>14</v>
      </c>
      <c r="I333" t="s">
        <v>7</v>
      </c>
      <c r="J333" t="s">
        <v>7</v>
      </c>
      <c r="K333" t="s">
        <v>14</v>
      </c>
      <c r="L333">
        <v>1</v>
      </c>
      <c r="M333">
        <v>0</v>
      </c>
    </row>
    <row r="334" spans="1:13">
      <c r="A334">
        <v>25</v>
      </c>
      <c r="B334">
        <v>1</v>
      </c>
      <c r="C334">
        <v>6</v>
      </c>
      <c r="D334" s="6" t="e">
        <f>VLOOKUP(Tabla1[[#This Row],[ID_PARTIDO]],Original!$AT$1:$AY$46,2,FALSE)</f>
        <v>#VALUE!</v>
      </c>
      <c r="E334" s="6" t="e">
        <f>VLOOKUP(Tabla1[[#This Row],[ID_PARTIDO]],Original!$AT$1:$AY$46,3,FALSE)</f>
        <v>#VALUE!</v>
      </c>
      <c r="F334" s="6" t="e">
        <f>VLOOKUP(Tabla1[[#This Row],[ID_PARTIDO]],Original!$AT$1:$AY$46,4,FALSE)</f>
        <v>#VALUE!</v>
      </c>
      <c r="G334" s="6" t="e">
        <f>VLOOKUP(Tabla1[[#This Row],[ID_PARTIDO]],Original!$AT$1:$AY$46,5,FALSE)</f>
        <v>#VALUE!</v>
      </c>
      <c r="H334" t="s">
        <v>14</v>
      </c>
      <c r="I334" t="s">
        <v>7</v>
      </c>
      <c r="J334" t="s">
        <v>7</v>
      </c>
      <c r="K334" t="s">
        <v>14</v>
      </c>
      <c r="L334">
        <v>0</v>
      </c>
      <c r="M334">
        <v>1</v>
      </c>
    </row>
    <row r="335" spans="1:13">
      <c r="A335">
        <v>25</v>
      </c>
      <c r="B335">
        <v>1</v>
      </c>
      <c r="C335">
        <v>7</v>
      </c>
      <c r="D335" s="6" t="e">
        <f>VLOOKUP(Tabla1[[#This Row],[ID_PARTIDO]],Original!$AT$1:$AY$46,2,FALSE)</f>
        <v>#VALUE!</v>
      </c>
      <c r="E335" s="6" t="e">
        <f>VLOOKUP(Tabla1[[#This Row],[ID_PARTIDO]],Original!$AT$1:$AY$46,3,FALSE)</f>
        <v>#VALUE!</v>
      </c>
      <c r="F335" s="6" t="e">
        <f>VLOOKUP(Tabla1[[#This Row],[ID_PARTIDO]],Original!$AT$1:$AY$46,4,FALSE)</f>
        <v>#VALUE!</v>
      </c>
      <c r="G335" s="6" t="e">
        <f>VLOOKUP(Tabla1[[#This Row],[ID_PARTIDO]],Original!$AT$1:$AY$46,5,FALSE)</f>
        <v>#VALUE!</v>
      </c>
      <c r="H335" t="s">
        <v>14</v>
      </c>
      <c r="I335" t="s">
        <v>7</v>
      </c>
      <c r="J335" t="s">
        <v>7</v>
      </c>
      <c r="K335" t="s">
        <v>14</v>
      </c>
      <c r="L335">
        <v>1</v>
      </c>
      <c r="M335">
        <v>0</v>
      </c>
    </row>
    <row r="336" spans="1:13">
      <c r="A336">
        <v>25</v>
      </c>
      <c r="B336">
        <v>1</v>
      </c>
      <c r="C336">
        <v>8</v>
      </c>
      <c r="D336" s="6" t="e">
        <f>VLOOKUP(Tabla1[[#This Row],[ID_PARTIDO]],Original!$AT$1:$AY$46,2,FALSE)</f>
        <v>#VALUE!</v>
      </c>
      <c r="E336" s="6" t="e">
        <f>VLOOKUP(Tabla1[[#This Row],[ID_PARTIDO]],Original!$AT$1:$AY$46,3,FALSE)</f>
        <v>#VALUE!</v>
      </c>
      <c r="F336" s="6" t="e">
        <f>VLOOKUP(Tabla1[[#This Row],[ID_PARTIDO]],Original!$AT$1:$AY$46,4,FALSE)</f>
        <v>#VALUE!</v>
      </c>
      <c r="G336" s="6" t="e">
        <f>VLOOKUP(Tabla1[[#This Row],[ID_PARTIDO]],Original!$AT$1:$AY$46,5,FALSE)</f>
        <v>#VALUE!</v>
      </c>
      <c r="H336" t="s">
        <v>14</v>
      </c>
      <c r="I336" t="s">
        <v>7</v>
      </c>
      <c r="J336" t="s">
        <v>7</v>
      </c>
      <c r="K336" t="s">
        <v>14</v>
      </c>
      <c r="L336">
        <v>0</v>
      </c>
      <c r="M336">
        <v>1</v>
      </c>
    </row>
    <row r="337" spans="1:13">
      <c r="A337">
        <v>25</v>
      </c>
      <c r="B337">
        <v>1</v>
      </c>
      <c r="C337">
        <v>9</v>
      </c>
      <c r="D337" s="6" t="e">
        <f>VLOOKUP(Tabla1[[#This Row],[ID_PARTIDO]],Original!$AT$1:$AY$46,2,FALSE)</f>
        <v>#VALUE!</v>
      </c>
      <c r="E337" s="6" t="e">
        <f>VLOOKUP(Tabla1[[#This Row],[ID_PARTIDO]],Original!$AT$1:$AY$46,3,FALSE)</f>
        <v>#VALUE!</v>
      </c>
      <c r="F337" s="6" t="e">
        <f>VLOOKUP(Tabla1[[#This Row],[ID_PARTIDO]],Original!$AT$1:$AY$46,4,FALSE)</f>
        <v>#VALUE!</v>
      </c>
      <c r="G337" s="6" t="e">
        <f>VLOOKUP(Tabla1[[#This Row],[ID_PARTIDO]],Original!$AT$1:$AY$46,5,FALSE)</f>
        <v>#VALUE!</v>
      </c>
      <c r="H337" t="s">
        <v>14</v>
      </c>
      <c r="I337" t="s">
        <v>7</v>
      </c>
      <c r="J337" t="s">
        <v>7</v>
      </c>
      <c r="K337" t="s">
        <v>14</v>
      </c>
      <c r="L337">
        <v>0</v>
      </c>
      <c r="M337">
        <v>1</v>
      </c>
    </row>
    <row r="338" spans="1:13">
      <c r="A338">
        <v>25</v>
      </c>
      <c r="B338">
        <v>1</v>
      </c>
      <c r="C338">
        <v>10</v>
      </c>
      <c r="D338" s="6" t="e">
        <f>VLOOKUP(Tabla1[[#This Row],[ID_PARTIDO]],Original!$AT$1:$AY$46,2,FALSE)</f>
        <v>#VALUE!</v>
      </c>
      <c r="E338" s="6" t="e">
        <f>VLOOKUP(Tabla1[[#This Row],[ID_PARTIDO]],Original!$AT$1:$AY$46,3,FALSE)</f>
        <v>#VALUE!</v>
      </c>
      <c r="F338" s="6" t="e">
        <f>VLOOKUP(Tabla1[[#This Row],[ID_PARTIDO]],Original!$AT$1:$AY$46,4,FALSE)</f>
        <v>#VALUE!</v>
      </c>
      <c r="G338" s="6" t="e">
        <f>VLOOKUP(Tabla1[[#This Row],[ID_PARTIDO]],Original!$AT$1:$AY$46,5,FALSE)</f>
        <v>#VALUE!</v>
      </c>
      <c r="H338" t="s">
        <v>14</v>
      </c>
      <c r="I338" t="s">
        <v>7</v>
      </c>
      <c r="J338" t="s">
        <v>7</v>
      </c>
      <c r="K338" t="s">
        <v>14</v>
      </c>
      <c r="L338">
        <v>1</v>
      </c>
      <c r="M338">
        <v>0</v>
      </c>
    </row>
    <row r="339" spans="1:13">
      <c r="A339">
        <v>25</v>
      </c>
      <c r="B339">
        <v>1</v>
      </c>
      <c r="C339">
        <v>11</v>
      </c>
      <c r="D339" s="6" t="e">
        <f>VLOOKUP(Tabla1[[#This Row],[ID_PARTIDO]],Original!$AT$1:$AY$46,2,FALSE)</f>
        <v>#VALUE!</v>
      </c>
      <c r="E339" s="6" t="e">
        <f>VLOOKUP(Tabla1[[#This Row],[ID_PARTIDO]],Original!$AT$1:$AY$46,3,FALSE)</f>
        <v>#VALUE!</v>
      </c>
      <c r="F339" s="6" t="e">
        <f>VLOOKUP(Tabla1[[#This Row],[ID_PARTIDO]],Original!$AT$1:$AY$46,4,FALSE)</f>
        <v>#VALUE!</v>
      </c>
      <c r="G339" s="6" t="e">
        <f>VLOOKUP(Tabla1[[#This Row],[ID_PARTIDO]],Original!$AT$1:$AY$46,5,FALSE)</f>
        <v>#VALUE!</v>
      </c>
      <c r="H339" t="s">
        <v>14</v>
      </c>
      <c r="I339" t="s">
        <v>7</v>
      </c>
      <c r="J339" t="s">
        <v>7</v>
      </c>
      <c r="K339" t="s">
        <v>14</v>
      </c>
      <c r="L339">
        <v>0</v>
      </c>
      <c r="M339">
        <v>1</v>
      </c>
    </row>
    <row r="340" spans="1:13">
      <c r="A340">
        <v>25</v>
      </c>
      <c r="B340">
        <v>1</v>
      </c>
      <c r="C340">
        <v>12</v>
      </c>
      <c r="D340" s="6" t="e">
        <f>VLOOKUP(Tabla1[[#This Row],[ID_PARTIDO]],Original!$AT$1:$AY$46,2,FALSE)</f>
        <v>#VALUE!</v>
      </c>
      <c r="E340" s="6" t="e">
        <f>VLOOKUP(Tabla1[[#This Row],[ID_PARTIDO]],Original!$AT$1:$AY$46,3,FALSE)</f>
        <v>#VALUE!</v>
      </c>
      <c r="F340" s="6" t="e">
        <f>VLOOKUP(Tabla1[[#This Row],[ID_PARTIDO]],Original!$AT$1:$AY$46,4,FALSE)</f>
        <v>#VALUE!</v>
      </c>
      <c r="G340" s="6" t="e">
        <f>VLOOKUP(Tabla1[[#This Row],[ID_PARTIDO]],Original!$AT$1:$AY$46,5,FALSE)</f>
        <v>#VALUE!</v>
      </c>
      <c r="H340" t="s">
        <v>14</v>
      </c>
      <c r="I340" t="s">
        <v>7</v>
      </c>
      <c r="J340" t="s">
        <v>7</v>
      </c>
      <c r="K340" t="s">
        <v>14</v>
      </c>
      <c r="L340">
        <v>0</v>
      </c>
      <c r="M340">
        <v>1</v>
      </c>
    </row>
    <row r="341" spans="1:13">
      <c r="A341">
        <v>25</v>
      </c>
      <c r="B341">
        <v>1</v>
      </c>
      <c r="C341">
        <v>13</v>
      </c>
      <c r="D341" s="6" t="e">
        <f>VLOOKUP(Tabla1[[#This Row],[ID_PARTIDO]],Original!$AT$1:$AY$46,2,FALSE)</f>
        <v>#VALUE!</v>
      </c>
      <c r="E341" s="6" t="e">
        <f>VLOOKUP(Tabla1[[#This Row],[ID_PARTIDO]],Original!$AT$1:$AY$46,3,FALSE)</f>
        <v>#VALUE!</v>
      </c>
      <c r="F341" s="6" t="e">
        <f>VLOOKUP(Tabla1[[#This Row],[ID_PARTIDO]],Original!$AT$1:$AY$46,4,FALSE)</f>
        <v>#VALUE!</v>
      </c>
      <c r="G341" s="6" t="e">
        <f>VLOOKUP(Tabla1[[#This Row],[ID_PARTIDO]],Original!$AT$1:$AY$46,5,FALSE)</f>
        <v>#VALUE!</v>
      </c>
      <c r="H341" t="s">
        <v>14</v>
      </c>
      <c r="I341" t="s">
        <v>7</v>
      </c>
      <c r="J341" t="s">
        <v>7</v>
      </c>
      <c r="K341" t="s">
        <v>14</v>
      </c>
      <c r="L341">
        <v>1</v>
      </c>
      <c r="M341">
        <v>0</v>
      </c>
    </row>
    <row r="342" spans="1:13">
      <c r="A342">
        <v>11</v>
      </c>
      <c r="B342">
        <v>1</v>
      </c>
      <c r="C342">
        <v>1</v>
      </c>
      <c r="D342" s="6" t="e">
        <f>VLOOKUP(Tabla1[[#This Row],[ID_PARTIDO]],Original!$AT$1:$AY$46,2,FALSE)</f>
        <v>#VALUE!</v>
      </c>
      <c r="E342" s="6" t="e">
        <f>VLOOKUP(Tabla1[[#This Row],[ID_PARTIDO]],Original!$AT$1:$AY$46,3,FALSE)</f>
        <v>#VALUE!</v>
      </c>
      <c r="F342" s="6" t="e">
        <f>VLOOKUP(Tabla1[[#This Row],[ID_PARTIDO]],Original!$AT$1:$AY$46,4,FALSE)</f>
        <v>#VALUE!</v>
      </c>
      <c r="G342" s="6" t="e">
        <f>VLOOKUP(Tabla1[[#This Row],[ID_PARTIDO]],Original!$AT$1:$AY$46,5,FALSE)</f>
        <v>#VALUE!</v>
      </c>
      <c r="H342" t="s">
        <v>14</v>
      </c>
      <c r="I342" t="s">
        <v>7</v>
      </c>
      <c r="J342" t="s">
        <v>14</v>
      </c>
      <c r="K342" t="s">
        <v>7</v>
      </c>
      <c r="L342">
        <v>0</v>
      </c>
      <c r="M342">
        <v>1</v>
      </c>
    </row>
    <row r="343" spans="1:13">
      <c r="A343">
        <v>11</v>
      </c>
      <c r="B343">
        <v>1</v>
      </c>
      <c r="C343">
        <v>2</v>
      </c>
      <c r="D343" s="6" t="e">
        <f>VLOOKUP(Tabla1[[#This Row],[ID_PARTIDO]],Original!$AT$1:$AY$46,2,FALSE)</f>
        <v>#VALUE!</v>
      </c>
      <c r="E343" s="6" t="e">
        <f>VLOOKUP(Tabla1[[#This Row],[ID_PARTIDO]],Original!$AT$1:$AY$46,3,FALSE)</f>
        <v>#VALUE!</v>
      </c>
      <c r="F343" s="6" t="e">
        <f>VLOOKUP(Tabla1[[#This Row],[ID_PARTIDO]],Original!$AT$1:$AY$46,4,FALSE)</f>
        <v>#VALUE!</v>
      </c>
      <c r="G343" s="6" t="e">
        <f>VLOOKUP(Tabla1[[#This Row],[ID_PARTIDO]],Original!$AT$1:$AY$46,5,FALSE)</f>
        <v>#VALUE!</v>
      </c>
      <c r="H343" t="s">
        <v>14</v>
      </c>
      <c r="I343" t="s">
        <v>7</v>
      </c>
      <c r="J343" t="s">
        <v>14</v>
      </c>
      <c r="K343" t="s">
        <v>7</v>
      </c>
      <c r="L343">
        <v>0</v>
      </c>
      <c r="M343">
        <v>1</v>
      </c>
    </row>
    <row r="344" spans="1:13">
      <c r="A344">
        <v>11</v>
      </c>
      <c r="B344">
        <v>1</v>
      </c>
      <c r="C344">
        <v>3</v>
      </c>
      <c r="D344" s="6" t="e">
        <f>VLOOKUP(Tabla1[[#This Row],[ID_PARTIDO]],Original!$AT$1:$AY$46,2,FALSE)</f>
        <v>#VALUE!</v>
      </c>
      <c r="E344" s="6" t="e">
        <f>VLOOKUP(Tabla1[[#This Row],[ID_PARTIDO]],Original!$AT$1:$AY$46,3,FALSE)</f>
        <v>#VALUE!</v>
      </c>
      <c r="F344" s="6" t="e">
        <f>VLOOKUP(Tabla1[[#This Row],[ID_PARTIDO]],Original!$AT$1:$AY$46,4,FALSE)</f>
        <v>#VALUE!</v>
      </c>
      <c r="G344" s="6" t="e">
        <f>VLOOKUP(Tabla1[[#This Row],[ID_PARTIDO]],Original!$AT$1:$AY$46,5,FALSE)</f>
        <v>#VALUE!</v>
      </c>
      <c r="H344" t="s">
        <v>14</v>
      </c>
      <c r="I344" t="s">
        <v>7</v>
      </c>
      <c r="J344" t="s">
        <v>14</v>
      </c>
      <c r="K344" t="s">
        <v>7</v>
      </c>
      <c r="L344">
        <v>1</v>
      </c>
      <c r="M344">
        <v>0</v>
      </c>
    </row>
    <row r="345" spans="1:13">
      <c r="A345">
        <v>11</v>
      </c>
      <c r="B345">
        <v>1</v>
      </c>
      <c r="C345">
        <v>4</v>
      </c>
      <c r="D345" s="6" t="e">
        <f>VLOOKUP(Tabla1[[#This Row],[ID_PARTIDO]],Original!$AT$1:$AY$46,2,FALSE)</f>
        <v>#VALUE!</v>
      </c>
      <c r="E345" s="6" t="e">
        <f>VLOOKUP(Tabla1[[#This Row],[ID_PARTIDO]],Original!$AT$1:$AY$46,3,FALSE)</f>
        <v>#VALUE!</v>
      </c>
      <c r="F345" s="6" t="e">
        <f>VLOOKUP(Tabla1[[#This Row],[ID_PARTIDO]],Original!$AT$1:$AY$46,4,FALSE)</f>
        <v>#VALUE!</v>
      </c>
      <c r="G345" s="6" t="e">
        <f>VLOOKUP(Tabla1[[#This Row],[ID_PARTIDO]],Original!$AT$1:$AY$46,5,FALSE)</f>
        <v>#VALUE!</v>
      </c>
      <c r="H345" t="s">
        <v>14</v>
      </c>
      <c r="I345" t="s">
        <v>7</v>
      </c>
      <c r="J345" t="s">
        <v>14</v>
      </c>
      <c r="K345" t="s">
        <v>7</v>
      </c>
      <c r="L345">
        <v>1</v>
      </c>
      <c r="M345">
        <v>0</v>
      </c>
    </row>
    <row r="346" spans="1:13">
      <c r="A346">
        <v>11</v>
      </c>
      <c r="B346">
        <v>1</v>
      </c>
      <c r="C346">
        <v>5</v>
      </c>
      <c r="D346" s="6" t="e">
        <f>VLOOKUP(Tabla1[[#This Row],[ID_PARTIDO]],Original!$AT$1:$AY$46,2,FALSE)</f>
        <v>#VALUE!</v>
      </c>
      <c r="E346" s="6" t="e">
        <f>VLOOKUP(Tabla1[[#This Row],[ID_PARTIDO]],Original!$AT$1:$AY$46,3,FALSE)</f>
        <v>#VALUE!</v>
      </c>
      <c r="F346" s="6" t="e">
        <f>VLOOKUP(Tabla1[[#This Row],[ID_PARTIDO]],Original!$AT$1:$AY$46,4,FALSE)</f>
        <v>#VALUE!</v>
      </c>
      <c r="G346" s="6" t="e">
        <f>VLOOKUP(Tabla1[[#This Row],[ID_PARTIDO]],Original!$AT$1:$AY$46,5,FALSE)</f>
        <v>#VALUE!</v>
      </c>
      <c r="H346" t="s">
        <v>14</v>
      </c>
      <c r="I346" t="s">
        <v>7</v>
      </c>
      <c r="J346" t="s">
        <v>14</v>
      </c>
      <c r="K346" t="s">
        <v>7</v>
      </c>
      <c r="L346">
        <v>1</v>
      </c>
      <c r="M346">
        <v>0</v>
      </c>
    </row>
    <row r="347" spans="1:13">
      <c r="A347">
        <v>11</v>
      </c>
      <c r="B347">
        <v>1</v>
      </c>
      <c r="C347">
        <v>6</v>
      </c>
      <c r="D347" s="6" t="e">
        <f>VLOOKUP(Tabla1[[#This Row],[ID_PARTIDO]],Original!$AT$1:$AY$46,2,FALSE)</f>
        <v>#VALUE!</v>
      </c>
      <c r="E347" s="6" t="e">
        <f>VLOOKUP(Tabla1[[#This Row],[ID_PARTIDO]],Original!$AT$1:$AY$46,3,FALSE)</f>
        <v>#VALUE!</v>
      </c>
      <c r="F347" s="6" t="e">
        <f>VLOOKUP(Tabla1[[#This Row],[ID_PARTIDO]],Original!$AT$1:$AY$46,4,FALSE)</f>
        <v>#VALUE!</v>
      </c>
      <c r="G347" s="6" t="e">
        <f>VLOOKUP(Tabla1[[#This Row],[ID_PARTIDO]],Original!$AT$1:$AY$46,5,FALSE)</f>
        <v>#VALUE!</v>
      </c>
      <c r="H347" t="s">
        <v>14</v>
      </c>
      <c r="I347" t="s">
        <v>7</v>
      </c>
      <c r="J347" t="s">
        <v>14</v>
      </c>
      <c r="K347" t="s">
        <v>7</v>
      </c>
      <c r="L347">
        <v>0</v>
      </c>
      <c r="M347">
        <v>1</v>
      </c>
    </row>
    <row r="348" spans="1:13">
      <c r="A348">
        <v>11</v>
      </c>
      <c r="B348">
        <v>1</v>
      </c>
      <c r="C348">
        <v>7</v>
      </c>
      <c r="D348" s="6" t="e">
        <f>VLOOKUP(Tabla1[[#This Row],[ID_PARTIDO]],Original!$AT$1:$AY$46,2,FALSE)</f>
        <v>#VALUE!</v>
      </c>
      <c r="E348" s="6" t="e">
        <f>VLOOKUP(Tabla1[[#This Row],[ID_PARTIDO]],Original!$AT$1:$AY$46,3,FALSE)</f>
        <v>#VALUE!</v>
      </c>
      <c r="F348" s="6" t="e">
        <f>VLOOKUP(Tabla1[[#This Row],[ID_PARTIDO]],Original!$AT$1:$AY$46,4,FALSE)</f>
        <v>#VALUE!</v>
      </c>
      <c r="G348" s="6" t="e">
        <f>VLOOKUP(Tabla1[[#This Row],[ID_PARTIDO]],Original!$AT$1:$AY$46,5,FALSE)</f>
        <v>#VALUE!</v>
      </c>
      <c r="H348" t="s">
        <v>14</v>
      </c>
      <c r="I348" t="s">
        <v>7</v>
      </c>
      <c r="J348" t="s">
        <v>14</v>
      </c>
      <c r="K348" t="s">
        <v>7</v>
      </c>
      <c r="L348">
        <v>1</v>
      </c>
      <c r="M348">
        <v>0</v>
      </c>
    </row>
    <row r="349" spans="1:13">
      <c r="A349">
        <v>11</v>
      </c>
      <c r="B349">
        <v>1</v>
      </c>
      <c r="C349">
        <v>8</v>
      </c>
      <c r="D349" s="6" t="e">
        <f>VLOOKUP(Tabla1[[#This Row],[ID_PARTIDO]],Original!$AT$1:$AY$46,2,FALSE)</f>
        <v>#VALUE!</v>
      </c>
      <c r="E349" s="6" t="e">
        <f>VLOOKUP(Tabla1[[#This Row],[ID_PARTIDO]],Original!$AT$1:$AY$46,3,FALSE)</f>
        <v>#VALUE!</v>
      </c>
      <c r="F349" s="6" t="e">
        <f>VLOOKUP(Tabla1[[#This Row],[ID_PARTIDO]],Original!$AT$1:$AY$46,4,FALSE)</f>
        <v>#VALUE!</v>
      </c>
      <c r="G349" s="6" t="e">
        <f>VLOOKUP(Tabla1[[#This Row],[ID_PARTIDO]],Original!$AT$1:$AY$46,5,FALSE)</f>
        <v>#VALUE!</v>
      </c>
      <c r="H349" t="s">
        <v>14</v>
      </c>
      <c r="I349" t="s">
        <v>7</v>
      </c>
      <c r="J349" t="s">
        <v>14</v>
      </c>
      <c r="K349" t="s">
        <v>7</v>
      </c>
      <c r="L349">
        <v>0</v>
      </c>
      <c r="M349">
        <v>1</v>
      </c>
    </row>
    <row r="350" spans="1:13">
      <c r="A350">
        <v>11</v>
      </c>
      <c r="B350">
        <v>1</v>
      </c>
      <c r="C350">
        <v>9</v>
      </c>
      <c r="D350" s="6" t="e">
        <f>VLOOKUP(Tabla1[[#This Row],[ID_PARTIDO]],Original!$AT$1:$AY$46,2,FALSE)</f>
        <v>#VALUE!</v>
      </c>
      <c r="E350" s="6" t="e">
        <f>VLOOKUP(Tabla1[[#This Row],[ID_PARTIDO]],Original!$AT$1:$AY$46,3,FALSE)</f>
        <v>#VALUE!</v>
      </c>
      <c r="F350" s="6" t="e">
        <f>VLOOKUP(Tabla1[[#This Row],[ID_PARTIDO]],Original!$AT$1:$AY$46,4,FALSE)</f>
        <v>#VALUE!</v>
      </c>
      <c r="G350" s="6" t="e">
        <f>VLOOKUP(Tabla1[[#This Row],[ID_PARTIDO]],Original!$AT$1:$AY$46,5,FALSE)</f>
        <v>#VALUE!</v>
      </c>
      <c r="H350" t="s">
        <v>14</v>
      </c>
      <c r="I350" t="s">
        <v>7</v>
      </c>
      <c r="J350" t="s">
        <v>14</v>
      </c>
      <c r="K350" t="s">
        <v>7</v>
      </c>
      <c r="L350">
        <v>1</v>
      </c>
      <c r="M350">
        <v>0</v>
      </c>
    </row>
    <row r="351" spans="1:13">
      <c r="A351">
        <v>11</v>
      </c>
      <c r="B351">
        <v>1</v>
      </c>
      <c r="C351">
        <v>10</v>
      </c>
      <c r="D351" s="6" t="e">
        <f>VLOOKUP(Tabla1[[#This Row],[ID_PARTIDO]],Original!$AT$1:$AY$46,2,FALSE)</f>
        <v>#VALUE!</v>
      </c>
      <c r="E351" s="6" t="e">
        <f>VLOOKUP(Tabla1[[#This Row],[ID_PARTIDO]],Original!$AT$1:$AY$46,3,FALSE)</f>
        <v>#VALUE!</v>
      </c>
      <c r="F351" s="6" t="e">
        <f>VLOOKUP(Tabla1[[#This Row],[ID_PARTIDO]],Original!$AT$1:$AY$46,4,FALSE)</f>
        <v>#VALUE!</v>
      </c>
      <c r="G351" s="6" t="e">
        <f>VLOOKUP(Tabla1[[#This Row],[ID_PARTIDO]],Original!$AT$1:$AY$46,5,FALSE)</f>
        <v>#VALUE!</v>
      </c>
      <c r="H351" t="s">
        <v>14</v>
      </c>
      <c r="I351" t="s">
        <v>7</v>
      </c>
      <c r="J351" t="s">
        <v>14</v>
      </c>
      <c r="K351" t="s">
        <v>7</v>
      </c>
      <c r="L351">
        <v>1</v>
      </c>
      <c r="M351">
        <v>0</v>
      </c>
    </row>
    <row r="352" spans="1:13">
      <c r="A352">
        <v>11</v>
      </c>
      <c r="B352">
        <v>1</v>
      </c>
      <c r="C352">
        <v>11</v>
      </c>
      <c r="D352" s="6" t="e">
        <f>VLOOKUP(Tabla1[[#This Row],[ID_PARTIDO]],Original!$AT$1:$AY$46,2,FALSE)</f>
        <v>#VALUE!</v>
      </c>
      <c r="E352" s="6" t="e">
        <f>VLOOKUP(Tabla1[[#This Row],[ID_PARTIDO]],Original!$AT$1:$AY$46,3,FALSE)</f>
        <v>#VALUE!</v>
      </c>
      <c r="F352" s="6" t="e">
        <f>VLOOKUP(Tabla1[[#This Row],[ID_PARTIDO]],Original!$AT$1:$AY$46,4,FALSE)</f>
        <v>#VALUE!</v>
      </c>
      <c r="G352" s="6" t="e">
        <f>VLOOKUP(Tabla1[[#This Row],[ID_PARTIDO]],Original!$AT$1:$AY$46,5,FALSE)</f>
        <v>#VALUE!</v>
      </c>
      <c r="H352" t="s">
        <v>14</v>
      </c>
      <c r="I352" t="s">
        <v>7</v>
      </c>
      <c r="J352" t="s">
        <v>14</v>
      </c>
      <c r="K352" t="s">
        <v>7</v>
      </c>
      <c r="L352">
        <v>0</v>
      </c>
      <c r="M352">
        <v>1</v>
      </c>
    </row>
    <row r="353" spans="1:13">
      <c r="A353">
        <v>11</v>
      </c>
      <c r="B353">
        <v>1</v>
      </c>
      <c r="C353">
        <v>12</v>
      </c>
      <c r="D353" s="6" t="e">
        <f>VLOOKUP(Tabla1[[#This Row],[ID_PARTIDO]],Original!$AT$1:$AY$46,2,FALSE)</f>
        <v>#VALUE!</v>
      </c>
      <c r="E353" s="6" t="e">
        <f>VLOOKUP(Tabla1[[#This Row],[ID_PARTIDO]],Original!$AT$1:$AY$46,3,FALSE)</f>
        <v>#VALUE!</v>
      </c>
      <c r="F353" s="6" t="e">
        <f>VLOOKUP(Tabla1[[#This Row],[ID_PARTIDO]],Original!$AT$1:$AY$46,4,FALSE)</f>
        <v>#VALUE!</v>
      </c>
      <c r="G353" s="6" t="e">
        <f>VLOOKUP(Tabla1[[#This Row],[ID_PARTIDO]],Original!$AT$1:$AY$46,5,FALSE)</f>
        <v>#VALUE!</v>
      </c>
      <c r="H353" t="s">
        <v>14</v>
      </c>
      <c r="I353" t="s">
        <v>7</v>
      </c>
      <c r="J353" t="s">
        <v>14</v>
      </c>
      <c r="K353" t="s">
        <v>7</v>
      </c>
      <c r="L353">
        <v>0</v>
      </c>
      <c r="M353">
        <v>1</v>
      </c>
    </row>
    <row r="354" spans="1:13">
      <c r="A354">
        <v>11</v>
      </c>
      <c r="B354">
        <v>1</v>
      </c>
      <c r="C354">
        <v>13</v>
      </c>
      <c r="D354" s="6" t="e">
        <f>VLOOKUP(Tabla1[[#This Row],[ID_PARTIDO]],Original!$AT$1:$AY$46,2,FALSE)</f>
        <v>#VALUE!</v>
      </c>
      <c r="E354" s="6" t="e">
        <f>VLOOKUP(Tabla1[[#This Row],[ID_PARTIDO]],Original!$AT$1:$AY$46,3,FALSE)</f>
        <v>#VALUE!</v>
      </c>
      <c r="F354" s="6" t="e">
        <f>VLOOKUP(Tabla1[[#This Row],[ID_PARTIDO]],Original!$AT$1:$AY$46,4,FALSE)</f>
        <v>#VALUE!</v>
      </c>
      <c r="G354" s="6" t="e">
        <f>VLOOKUP(Tabla1[[#This Row],[ID_PARTIDO]],Original!$AT$1:$AY$46,5,FALSE)</f>
        <v>#VALUE!</v>
      </c>
      <c r="H354" t="s">
        <v>14</v>
      </c>
      <c r="I354" t="s">
        <v>7</v>
      </c>
      <c r="J354" t="s">
        <v>14</v>
      </c>
      <c r="K354" t="s">
        <v>7</v>
      </c>
      <c r="L354">
        <v>1</v>
      </c>
      <c r="M354">
        <v>0</v>
      </c>
    </row>
    <row r="355" spans="1:13">
      <c r="A355">
        <v>21</v>
      </c>
      <c r="B355">
        <v>1</v>
      </c>
      <c r="C355">
        <v>1</v>
      </c>
      <c r="D355" s="6" t="e">
        <f>VLOOKUP(Tabla1[[#This Row],[ID_PARTIDO]],Original!$AT$1:$AY$46,2,FALSE)</f>
        <v>#VALUE!</v>
      </c>
      <c r="E355" s="6" t="e">
        <f>VLOOKUP(Tabla1[[#This Row],[ID_PARTIDO]],Original!$AT$1:$AY$46,3,FALSE)</f>
        <v>#VALUE!</v>
      </c>
      <c r="F355" s="6" t="e">
        <f>VLOOKUP(Tabla1[[#This Row],[ID_PARTIDO]],Original!$AT$1:$AY$46,4,FALSE)</f>
        <v>#VALUE!</v>
      </c>
      <c r="G355" s="6" t="e">
        <f>VLOOKUP(Tabla1[[#This Row],[ID_PARTIDO]],Original!$AT$1:$AY$46,5,FALSE)</f>
        <v>#VALUE!</v>
      </c>
      <c r="H355" t="s">
        <v>7</v>
      </c>
      <c r="I355" t="s">
        <v>14</v>
      </c>
      <c r="J355" t="s">
        <v>7</v>
      </c>
      <c r="K355" t="s">
        <v>14</v>
      </c>
      <c r="L355">
        <v>0</v>
      </c>
      <c r="M355">
        <v>1</v>
      </c>
    </row>
    <row r="356" spans="1:13">
      <c r="A356">
        <v>21</v>
      </c>
      <c r="B356">
        <v>1</v>
      </c>
      <c r="C356">
        <v>2</v>
      </c>
      <c r="D356" s="6" t="e">
        <f>VLOOKUP(Tabla1[[#This Row],[ID_PARTIDO]],Original!$AT$1:$AY$46,2,FALSE)</f>
        <v>#VALUE!</v>
      </c>
      <c r="E356" s="6" t="e">
        <f>VLOOKUP(Tabla1[[#This Row],[ID_PARTIDO]],Original!$AT$1:$AY$46,3,FALSE)</f>
        <v>#VALUE!</v>
      </c>
      <c r="F356" s="6" t="e">
        <f>VLOOKUP(Tabla1[[#This Row],[ID_PARTIDO]],Original!$AT$1:$AY$46,4,FALSE)</f>
        <v>#VALUE!</v>
      </c>
      <c r="G356" s="6" t="e">
        <f>VLOOKUP(Tabla1[[#This Row],[ID_PARTIDO]],Original!$AT$1:$AY$46,5,FALSE)</f>
        <v>#VALUE!</v>
      </c>
      <c r="H356" t="s">
        <v>7</v>
      </c>
      <c r="I356" t="s">
        <v>14</v>
      </c>
      <c r="J356" t="s">
        <v>7</v>
      </c>
      <c r="K356" t="s">
        <v>14</v>
      </c>
      <c r="L356">
        <v>0</v>
      </c>
      <c r="M356">
        <v>1</v>
      </c>
    </row>
    <row r="357" spans="1:13">
      <c r="A357">
        <v>21</v>
      </c>
      <c r="B357">
        <v>1</v>
      </c>
      <c r="C357">
        <v>3</v>
      </c>
      <c r="D357" s="6" t="e">
        <f>VLOOKUP(Tabla1[[#This Row],[ID_PARTIDO]],Original!$AT$1:$AY$46,2,FALSE)</f>
        <v>#VALUE!</v>
      </c>
      <c r="E357" s="6" t="e">
        <f>VLOOKUP(Tabla1[[#This Row],[ID_PARTIDO]],Original!$AT$1:$AY$46,3,FALSE)</f>
        <v>#VALUE!</v>
      </c>
      <c r="F357" s="6" t="e">
        <f>VLOOKUP(Tabla1[[#This Row],[ID_PARTIDO]],Original!$AT$1:$AY$46,4,FALSE)</f>
        <v>#VALUE!</v>
      </c>
      <c r="G357" s="6" t="e">
        <f>VLOOKUP(Tabla1[[#This Row],[ID_PARTIDO]],Original!$AT$1:$AY$46,5,FALSE)</f>
        <v>#VALUE!</v>
      </c>
      <c r="H357" t="s">
        <v>7</v>
      </c>
      <c r="I357" t="s">
        <v>14</v>
      </c>
      <c r="J357" t="s">
        <v>7</v>
      </c>
      <c r="K357" t="s">
        <v>14</v>
      </c>
      <c r="L357">
        <v>1</v>
      </c>
      <c r="M357">
        <v>0</v>
      </c>
    </row>
    <row r="358" spans="1:13">
      <c r="A358">
        <v>21</v>
      </c>
      <c r="B358">
        <v>1</v>
      </c>
      <c r="C358">
        <v>4</v>
      </c>
      <c r="D358" s="6" t="e">
        <f>VLOOKUP(Tabla1[[#This Row],[ID_PARTIDO]],Original!$AT$1:$AY$46,2,FALSE)</f>
        <v>#VALUE!</v>
      </c>
      <c r="E358" s="6" t="e">
        <f>VLOOKUP(Tabla1[[#This Row],[ID_PARTIDO]],Original!$AT$1:$AY$46,3,FALSE)</f>
        <v>#VALUE!</v>
      </c>
      <c r="F358" s="6" t="e">
        <f>VLOOKUP(Tabla1[[#This Row],[ID_PARTIDO]],Original!$AT$1:$AY$46,4,FALSE)</f>
        <v>#VALUE!</v>
      </c>
      <c r="G358" s="6" t="e">
        <f>VLOOKUP(Tabla1[[#This Row],[ID_PARTIDO]],Original!$AT$1:$AY$46,5,FALSE)</f>
        <v>#VALUE!</v>
      </c>
      <c r="H358" t="s">
        <v>7</v>
      </c>
      <c r="I358" t="s">
        <v>14</v>
      </c>
      <c r="J358" t="s">
        <v>7</v>
      </c>
      <c r="K358" t="s">
        <v>14</v>
      </c>
      <c r="L358">
        <v>0</v>
      </c>
      <c r="M358">
        <v>1</v>
      </c>
    </row>
    <row r="359" spans="1:13">
      <c r="A359">
        <v>21</v>
      </c>
      <c r="B359">
        <v>1</v>
      </c>
      <c r="C359">
        <v>5</v>
      </c>
      <c r="D359" s="6" t="e">
        <f>VLOOKUP(Tabla1[[#This Row],[ID_PARTIDO]],Original!$AT$1:$AY$46,2,FALSE)</f>
        <v>#VALUE!</v>
      </c>
      <c r="E359" s="6" t="e">
        <f>VLOOKUP(Tabla1[[#This Row],[ID_PARTIDO]],Original!$AT$1:$AY$46,3,FALSE)</f>
        <v>#VALUE!</v>
      </c>
      <c r="F359" s="6" t="e">
        <f>VLOOKUP(Tabla1[[#This Row],[ID_PARTIDO]],Original!$AT$1:$AY$46,4,FALSE)</f>
        <v>#VALUE!</v>
      </c>
      <c r="G359" s="6" t="e">
        <f>VLOOKUP(Tabla1[[#This Row],[ID_PARTIDO]],Original!$AT$1:$AY$46,5,FALSE)</f>
        <v>#VALUE!</v>
      </c>
      <c r="H359" t="s">
        <v>7</v>
      </c>
      <c r="I359" t="s">
        <v>14</v>
      </c>
      <c r="J359" t="s">
        <v>7</v>
      </c>
      <c r="K359" t="s">
        <v>14</v>
      </c>
      <c r="L359">
        <v>1</v>
      </c>
      <c r="M359">
        <v>0</v>
      </c>
    </row>
    <row r="360" spans="1:13">
      <c r="A360">
        <v>21</v>
      </c>
      <c r="B360">
        <v>1</v>
      </c>
      <c r="C360">
        <v>6</v>
      </c>
      <c r="D360" s="6" t="e">
        <f>VLOOKUP(Tabla1[[#This Row],[ID_PARTIDO]],Original!$AT$1:$AY$46,2,FALSE)</f>
        <v>#VALUE!</v>
      </c>
      <c r="E360" s="6" t="e">
        <f>VLOOKUP(Tabla1[[#This Row],[ID_PARTIDO]],Original!$AT$1:$AY$46,3,FALSE)</f>
        <v>#VALUE!</v>
      </c>
      <c r="F360" s="6" t="e">
        <f>VLOOKUP(Tabla1[[#This Row],[ID_PARTIDO]],Original!$AT$1:$AY$46,4,FALSE)</f>
        <v>#VALUE!</v>
      </c>
      <c r="G360" s="6" t="e">
        <f>VLOOKUP(Tabla1[[#This Row],[ID_PARTIDO]],Original!$AT$1:$AY$46,5,FALSE)</f>
        <v>#VALUE!</v>
      </c>
      <c r="H360" t="s">
        <v>7</v>
      </c>
      <c r="I360" t="s">
        <v>14</v>
      </c>
      <c r="J360" t="s">
        <v>7</v>
      </c>
      <c r="K360" t="s">
        <v>14</v>
      </c>
      <c r="L360">
        <v>0</v>
      </c>
      <c r="M360">
        <v>1</v>
      </c>
    </row>
    <row r="361" spans="1:13">
      <c r="A361">
        <v>21</v>
      </c>
      <c r="B361">
        <v>1</v>
      </c>
      <c r="C361">
        <v>7</v>
      </c>
      <c r="D361" s="6" t="e">
        <f>VLOOKUP(Tabla1[[#This Row],[ID_PARTIDO]],Original!$AT$1:$AY$46,2,FALSE)</f>
        <v>#VALUE!</v>
      </c>
      <c r="E361" s="6" t="e">
        <f>VLOOKUP(Tabla1[[#This Row],[ID_PARTIDO]],Original!$AT$1:$AY$46,3,FALSE)</f>
        <v>#VALUE!</v>
      </c>
      <c r="F361" s="6" t="e">
        <f>VLOOKUP(Tabla1[[#This Row],[ID_PARTIDO]],Original!$AT$1:$AY$46,4,FALSE)</f>
        <v>#VALUE!</v>
      </c>
      <c r="G361" s="6" t="e">
        <f>VLOOKUP(Tabla1[[#This Row],[ID_PARTIDO]],Original!$AT$1:$AY$46,5,FALSE)</f>
        <v>#VALUE!</v>
      </c>
      <c r="H361" t="s">
        <v>7</v>
      </c>
      <c r="I361" t="s">
        <v>14</v>
      </c>
      <c r="J361" t="s">
        <v>7</v>
      </c>
      <c r="K361" t="s">
        <v>14</v>
      </c>
      <c r="L361">
        <v>0</v>
      </c>
      <c r="M361">
        <v>1</v>
      </c>
    </row>
    <row r="362" spans="1:13">
      <c r="A362">
        <v>21</v>
      </c>
      <c r="B362">
        <v>1</v>
      </c>
      <c r="C362">
        <v>8</v>
      </c>
      <c r="D362" s="6" t="e">
        <f>VLOOKUP(Tabla1[[#This Row],[ID_PARTIDO]],Original!$AT$1:$AY$46,2,FALSE)</f>
        <v>#VALUE!</v>
      </c>
      <c r="E362" s="6" t="e">
        <f>VLOOKUP(Tabla1[[#This Row],[ID_PARTIDO]],Original!$AT$1:$AY$46,3,FALSE)</f>
        <v>#VALUE!</v>
      </c>
      <c r="F362" s="6" t="e">
        <f>VLOOKUP(Tabla1[[#This Row],[ID_PARTIDO]],Original!$AT$1:$AY$46,4,FALSE)</f>
        <v>#VALUE!</v>
      </c>
      <c r="G362" s="6" t="e">
        <f>VLOOKUP(Tabla1[[#This Row],[ID_PARTIDO]],Original!$AT$1:$AY$46,5,FALSE)</f>
        <v>#VALUE!</v>
      </c>
      <c r="H362" t="s">
        <v>7</v>
      </c>
      <c r="I362" t="s">
        <v>14</v>
      </c>
      <c r="J362" t="s">
        <v>7</v>
      </c>
      <c r="K362" t="s">
        <v>14</v>
      </c>
      <c r="L362">
        <v>0</v>
      </c>
      <c r="M362">
        <v>1</v>
      </c>
    </row>
    <row r="363" spans="1:13">
      <c r="A363">
        <v>21</v>
      </c>
      <c r="B363">
        <v>1</v>
      </c>
      <c r="C363">
        <v>9</v>
      </c>
      <c r="D363" s="6" t="e">
        <f>VLOOKUP(Tabla1[[#This Row],[ID_PARTIDO]],Original!$AT$1:$AY$46,2,FALSE)</f>
        <v>#VALUE!</v>
      </c>
      <c r="E363" s="6" t="e">
        <f>VLOOKUP(Tabla1[[#This Row],[ID_PARTIDO]],Original!$AT$1:$AY$46,3,FALSE)</f>
        <v>#VALUE!</v>
      </c>
      <c r="F363" s="6" t="e">
        <f>VLOOKUP(Tabla1[[#This Row],[ID_PARTIDO]],Original!$AT$1:$AY$46,4,FALSE)</f>
        <v>#VALUE!</v>
      </c>
      <c r="G363" s="6" t="e">
        <f>VLOOKUP(Tabla1[[#This Row],[ID_PARTIDO]],Original!$AT$1:$AY$46,5,FALSE)</f>
        <v>#VALUE!</v>
      </c>
      <c r="H363" t="s">
        <v>7</v>
      </c>
      <c r="I363" t="s">
        <v>14</v>
      </c>
      <c r="J363" t="s">
        <v>7</v>
      </c>
      <c r="K363" t="s">
        <v>14</v>
      </c>
      <c r="L363">
        <v>0</v>
      </c>
      <c r="M363">
        <v>1</v>
      </c>
    </row>
    <row r="364" spans="1:13">
      <c r="A364">
        <v>33</v>
      </c>
      <c r="B364">
        <v>1</v>
      </c>
      <c r="C364">
        <v>1</v>
      </c>
      <c r="D364" s="6" t="e">
        <f>VLOOKUP(Tabla1[[#This Row],[ID_PARTIDO]],Original!$AT$1:$AY$46,2,FALSE)</f>
        <v>#VALUE!</v>
      </c>
      <c r="E364" s="6" t="e">
        <f>VLOOKUP(Tabla1[[#This Row],[ID_PARTIDO]],Original!$AT$1:$AY$46,3,FALSE)</f>
        <v>#VALUE!</v>
      </c>
      <c r="F364" s="6" t="e">
        <f>VLOOKUP(Tabla1[[#This Row],[ID_PARTIDO]],Original!$AT$1:$AY$46,4,FALSE)</f>
        <v>#VALUE!</v>
      </c>
      <c r="G364" s="6" t="e">
        <f>VLOOKUP(Tabla1[[#This Row],[ID_PARTIDO]],Original!$AT$1:$AY$46,5,FALSE)</f>
        <v>#VALUE!</v>
      </c>
      <c r="H364" t="s">
        <v>7</v>
      </c>
      <c r="I364" t="s">
        <v>14</v>
      </c>
      <c r="J364" t="s">
        <v>14</v>
      </c>
      <c r="K364" t="s">
        <v>7</v>
      </c>
      <c r="L364">
        <v>1</v>
      </c>
      <c r="M364">
        <v>0</v>
      </c>
    </row>
    <row r="365" spans="1:13">
      <c r="A365">
        <v>33</v>
      </c>
      <c r="B365">
        <v>1</v>
      </c>
      <c r="C365">
        <v>2</v>
      </c>
      <c r="D365" s="6" t="e">
        <f>VLOOKUP(Tabla1[[#This Row],[ID_PARTIDO]],Original!$AT$1:$AY$46,2,FALSE)</f>
        <v>#VALUE!</v>
      </c>
      <c r="E365" s="6" t="e">
        <f>VLOOKUP(Tabla1[[#This Row],[ID_PARTIDO]],Original!$AT$1:$AY$46,3,FALSE)</f>
        <v>#VALUE!</v>
      </c>
      <c r="F365" s="6" t="e">
        <f>VLOOKUP(Tabla1[[#This Row],[ID_PARTIDO]],Original!$AT$1:$AY$46,4,FALSE)</f>
        <v>#VALUE!</v>
      </c>
      <c r="G365" s="6" t="e">
        <f>VLOOKUP(Tabla1[[#This Row],[ID_PARTIDO]],Original!$AT$1:$AY$46,5,FALSE)</f>
        <v>#VALUE!</v>
      </c>
      <c r="H365" t="s">
        <v>7</v>
      </c>
      <c r="I365" t="s">
        <v>14</v>
      </c>
      <c r="J365" t="s">
        <v>14</v>
      </c>
      <c r="K365" t="s">
        <v>7</v>
      </c>
      <c r="L365">
        <v>1</v>
      </c>
      <c r="M365">
        <v>0</v>
      </c>
    </row>
    <row r="366" spans="1:13">
      <c r="A366">
        <v>33</v>
      </c>
      <c r="B366">
        <v>1</v>
      </c>
      <c r="C366">
        <v>3</v>
      </c>
      <c r="D366" s="6" t="e">
        <f>VLOOKUP(Tabla1[[#This Row],[ID_PARTIDO]],Original!$AT$1:$AY$46,2,FALSE)</f>
        <v>#VALUE!</v>
      </c>
      <c r="E366" s="6" t="e">
        <f>VLOOKUP(Tabla1[[#This Row],[ID_PARTIDO]],Original!$AT$1:$AY$46,3,FALSE)</f>
        <v>#VALUE!</v>
      </c>
      <c r="F366" s="6" t="e">
        <f>VLOOKUP(Tabla1[[#This Row],[ID_PARTIDO]],Original!$AT$1:$AY$46,4,FALSE)</f>
        <v>#VALUE!</v>
      </c>
      <c r="G366" s="6" t="e">
        <f>VLOOKUP(Tabla1[[#This Row],[ID_PARTIDO]],Original!$AT$1:$AY$46,5,FALSE)</f>
        <v>#VALUE!</v>
      </c>
      <c r="H366" t="s">
        <v>7</v>
      </c>
      <c r="I366" t="s">
        <v>14</v>
      </c>
      <c r="J366" t="s">
        <v>14</v>
      </c>
      <c r="K366" t="s">
        <v>7</v>
      </c>
      <c r="L366">
        <v>0</v>
      </c>
      <c r="M366">
        <v>1</v>
      </c>
    </row>
    <row r="367" spans="1:13">
      <c r="A367">
        <v>33</v>
      </c>
      <c r="B367">
        <v>1</v>
      </c>
      <c r="C367">
        <v>4</v>
      </c>
      <c r="D367" s="6" t="e">
        <f>VLOOKUP(Tabla1[[#This Row],[ID_PARTIDO]],Original!$AT$1:$AY$46,2,FALSE)</f>
        <v>#VALUE!</v>
      </c>
      <c r="E367" s="6" t="e">
        <f>VLOOKUP(Tabla1[[#This Row],[ID_PARTIDO]],Original!$AT$1:$AY$46,3,FALSE)</f>
        <v>#VALUE!</v>
      </c>
      <c r="F367" s="6" t="e">
        <f>VLOOKUP(Tabla1[[#This Row],[ID_PARTIDO]],Original!$AT$1:$AY$46,4,FALSE)</f>
        <v>#VALUE!</v>
      </c>
      <c r="G367" s="6" t="e">
        <f>VLOOKUP(Tabla1[[#This Row],[ID_PARTIDO]],Original!$AT$1:$AY$46,5,FALSE)</f>
        <v>#VALUE!</v>
      </c>
      <c r="H367" t="s">
        <v>7</v>
      </c>
      <c r="I367" t="s">
        <v>14</v>
      </c>
      <c r="J367" t="s">
        <v>14</v>
      </c>
      <c r="K367" t="s">
        <v>7</v>
      </c>
      <c r="L367">
        <v>0</v>
      </c>
      <c r="M367">
        <v>1</v>
      </c>
    </row>
    <row r="368" spans="1:13">
      <c r="A368">
        <v>33</v>
      </c>
      <c r="B368">
        <v>1</v>
      </c>
      <c r="C368">
        <v>5</v>
      </c>
      <c r="D368" s="6" t="e">
        <f>VLOOKUP(Tabla1[[#This Row],[ID_PARTIDO]],Original!$AT$1:$AY$46,2,FALSE)</f>
        <v>#VALUE!</v>
      </c>
      <c r="E368" s="6" t="e">
        <f>VLOOKUP(Tabla1[[#This Row],[ID_PARTIDO]],Original!$AT$1:$AY$46,3,FALSE)</f>
        <v>#VALUE!</v>
      </c>
      <c r="F368" s="6" t="e">
        <f>VLOOKUP(Tabla1[[#This Row],[ID_PARTIDO]],Original!$AT$1:$AY$46,4,FALSE)</f>
        <v>#VALUE!</v>
      </c>
      <c r="G368" s="6" t="e">
        <f>VLOOKUP(Tabla1[[#This Row],[ID_PARTIDO]],Original!$AT$1:$AY$46,5,FALSE)</f>
        <v>#VALUE!</v>
      </c>
      <c r="H368" t="s">
        <v>7</v>
      </c>
      <c r="I368" t="s">
        <v>14</v>
      </c>
      <c r="J368" t="s">
        <v>14</v>
      </c>
      <c r="K368" t="s">
        <v>7</v>
      </c>
      <c r="L368">
        <v>1</v>
      </c>
      <c r="M368">
        <v>0</v>
      </c>
    </row>
    <row r="369" spans="1:13">
      <c r="A369">
        <v>33</v>
      </c>
      <c r="B369">
        <v>1</v>
      </c>
      <c r="C369">
        <v>6</v>
      </c>
      <c r="D369" s="6" t="e">
        <f>VLOOKUP(Tabla1[[#This Row],[ID_PARTIDO]],Original!$AT$1:$AY$46,2,FALSE)</f>
        <v>#VALUE!</v>
      </c>
      <c r="E369" s="6" t="e">
        <f>VLOOKUP(Tabla1[[#This Row],[ID_PARTIDO]],Original!$AT$1:$AY$46,3,FALSE)</f>
        <v>#VALUE!</v>
      </c>
      <c r="F369" s="6" t="e">
        <f>VLOOKUP(Tabla1[[#This Row],[ID_PARTIDO]],Original!$AT$1:$AY$46,4,FALSE)</f>
        <v>#VALUE!</v>
      </c>
      <c r="G369" s="6" t="e">
        <f>VLOOKUP(Tabla1[[#This Row],[ID_PARTIDO]],Original!$AT$1:$AY$46,5,FALSE)</f>
        <v>#VALUE!</v>
      </c>
      <c r="H369" t="s">
        <v>7</v>
      </c>
      <c r="I369" t="s">
        <v>14</v>
      </c>
      <c r="J369" t="s">
        <v>14</v>
      </c>
      <c r="K369" t="s">
        <v>7</v>
      </c>
      <c r="L369">
        <v>1</v>
      </c>
      <c r="M369">
        <v>0</v>
      </c>
    </row>
    <row r="370" spans="1:13">
      <c r="A370">
        <v>33</v>
      </c>
      <c r="B370">
        <v>1</v>
      </c>
      <c r="C370">
        <v>7</v>
      </c>
      <c r="D370" s="6" t="e">
        <f>VLOOKUP(Tabla1[[#This Row],[ID_PARTIDO]],Original!$AT$1:$AY$46,2,FALSE)</f>
        <v>#VALUE!</v>
      </c>
      <c r="E370" s="6" t="e">
        <f>VLOOKUP(Tabla1[[#This Row],[ID_PARTIDO]],Original!$AT$1:$AY$46,3,FALSE)</f>
        <v>#VALUE!</v>
      </c>
      <c r="F370" s="6" t="e">
        <f>VLOOKUP(Tabla1[[#This Row],[ID_PARTIDO]],Original!$AT$1:$AY$46,4,FALSE)</f>
        <v>#VALUE!</v>
      </c>
      <c r="G370" s="6" t="e">
        <f>VLOOKUP(Tabla1[[#This Row],[ID_PARTIDO]],Original!$AT$1:$AY$46,5,FALSE)</f>
        <v>#VALUE!</v>
      </c>
      <c r="H370" t="s">
        <v>7</v>
      </c>
      <c r="I370" t="s">
        <v>14</v>
      </c>
      <c r="J370" t="s">
        <v>14</v>
      </c>
      <c r="K370" t="s">
        <v>7</v>
      </c>
      <c r="L370">
        <v>0</v>
      </c>
      <c r="M370">
        <v>1</v>
      </c>
    </row>
    <row r="371" spans="1:13">
      <c r="A371">
        <v>33</v>
      </c>
      <c r="B371">
        <v>1</v>
      </c>
      <c r="C371">
        <v>8</v>
      </c>
      <c r="D371" s="6" t="e">
        <f>VLOOKUP(Tabla1[[#This Row],[ID_PARTIDO]],Original!$AT$1:$AY$46,2,FALSE)</f>
        <v>#VALUE!</v>
      </c>
      <c r="E371" s="6" t="e">
        <f>VLOOKUP(Tabla1[[#This Row],[ID_PARTIDO]],Original!$AT$1:$AY$46,3,FALSE)</f>
        <v>#VALUE!</v>
      </c>
      <c r="F371" s="6" t="e">
        <f>VLOOKUP(Tabla1[[#This Row],[ID_PARTIDO]],Original!$AT$1:$AY$46,4,FALSE)</f>
        <v>#VALUE!</v>
      </c>
      <c r="G371" s="6" t="e">
        <f>VLOOKUP(Tabla1[[#This Row],[ID_PARTIDO]],Original!$AT$1:$AY$46,5,FALSE)</f>
        <v>#VALUE!</v>
      </c>
      <c r="H371" t="s">
        <v>7</v>
      </c>
      <c r="I371" t="s">
        <v>14</v>
      </c>
      <c r="J371" t="s">
        <v>14</v>
      </c>
      <c r="K371" t="s">
        <v>7</v>
      </c>
      <c r="L371">
        <v>0</v>
      </c>
      <c r="M371">
        <v>1</v>
      </c>
    </row>
    <row r="372" spans="1:13">
      <c r="A372">
        <v>33</v>
      </c>
      <c r="B372">
        <v>1</v>
      </c>
      <c r="C372">
        <v>9</v>
      </c>
      <c r="D372" s="6" t="e">
        <f>VLOOKUP(Tabla1[[#This Row],[ID_PARTIDO]],Original!$AT$1:$AY$46,2,FALSE)</f>
        <v>#VALUE!</v>
      </c>
      <c r="E372" s="6" t="e">
        <f>VLOOKUP(Tabla1[[#This Row],[ID_PARTIDO]],Original!$AT$1:$AY$46,3,FALSE)</f>
        <v>#VALUE!</v>
      </c>
      <c r="F372" s="6" t="e">
        <f>VLOOKUP(Tabla1[[#This Row],[ID_PARTIDO]],Original!$AT$1:$AY$46,4,FALSE)</f>
        <v>#VALUE!</v>
      </c>
      <c r="G372" s="6" t="e">
        <f>VLOOKUP(Tabla1[[#This Row],[ID_PARTIDO]],Original!$AT$1:$AY$46,5,FALSE)</f>
        <v>#VALUE!</v>
      </c>
      <c r="H372" t="s">
        <v>7</v>
      </c>
      <c r="I372" t="s">
        <v>14</v>
      </c>
      <c r="J372" t="s">
        <v>14</v>
      </c>
      <c r="K372" t="s">
        <v>7</v>
      </c>
      <c r="L372">
        <v>1</v>
      </c>
      <c r="M372">
        <v>0</v>
      </c>
    </row>
    <row r="373" spans="1:13">
      <c r="A373">
        <v>33</v>
      </c>
      <c r="B373">
        <v>1</v>
      </c>
      <c r="C373">
        <v>10</v>
      </c>
      <c r="D373" s="6" t="e">
        <f>VLOOKUP(Tabla1[[#This Row],[ID_PARTIDO]],Original!$AT$1:$AY$46,2,FALSE)</f>
        <v>#VALUE!</v>
      </c>
      <c r="E373" s="6" t="e">
        <f>VLOOKUP(Tabla1[[#This Row],[ID_PARTIDO]],Original!$AT$1:$AY$46,3,FALSE)</f>
        <v>#VALUE!</v>
      </c>
      <c r="F373" s="6" t="e">
        <f>VLOOKUP(Tabla1[[#This Row],[ID_PARTIDO]],Original!$AT$1:$AY$46,4,FALSE)</f>
        <v>#VALUE!</v>
      </c>
      <c r="G373" s="6" t="e">
        <f>VLOOKUP(Tabla1[[#This Row],[ID_PARTIDO]],Original!$AT$1:$AY$46,5,FALSE)</f>
        <v>#VALUE!</v>
      </c>
      <c r="H373" t="s">
        <v>7</v>
      </c>
      <c r="I373" t="s">
        <v>14</v>
      </c>
      <c r="J373" t="s">
        <v>14</v>
      </c>
      <c r="K373" t="s">
        <v>7</v>
      </c>
      <c r="L373">
        <v>0</v>
      </c>
      <c r="M373">
        <v>1</v>
      </c>
    </row>
    <row r="374" spans="1:13">
      <c r="A374">
        <v>33</v>
      </c>
      <c r="B374">
        <v>1</v>
      </c>
      <c r="C374">
        <v>11</v>
      </c>
      <c r="D374" s="6" t="e">
        <f>VLOOKUP(Tabla1[[#This Row],[ID_PARTIDO]],Original!$AT$1:$AY$46,2,FALSE)</f>
        <v>#VALUE!</v>
      </c>
      <c r="E374" s="6" t="e">
        <f>VLOOKUP(Tabla1[[#This Row],[ID_PARTIDO]],Original!$AT$1:$AY$46,3,FALSE)</f>
        <v>#VALUE!</v>
      </c>
      <c r="F374" s="6" t="e">
        <f>VLOOKUP(Tabla1[[#This Row],[ID_PARTIDO]],Original!$AT$1:$AY$46,4,FALSE)</f>
        <v>#VALUE!</v>
      </c>
      <c r="G374" s="6" t="e">
        <f>VLOOKUP(Tabla1[[#This Row],[ID_PARTIDO]],Original!$AT$1:$AY$46,5,FALSE)</f>
        <v>#VALUE!</v>
      </c>
      <c r="H374" t="s">
        <v>7</v>
      </c>
      <c r="I374" t="s">
        <v>14</v>
      </c>
      <c r="J374" t="s">
        <v>14</v>
      </c>
      <c r="K374" t="s">
        <v>7</v>
      </c>
      <c r="L374">
        <v>1</v>
      </c>
      <c r="M374">
        <v>0</v>
      </c>
    </row>
    <row r="375" spans="1:13">
      <c r="A375">
        <v>33</v>
      </c>
      <c r="B375">
        <v>1</v>
      </c>
      <c r="C375">
        <v>12</v>
      </c>
      <c r="D375" s="6" t="e">
        <f>VLOOKUP(Tabla1[[#This Row],[ID_PARTIDO]],Original!$AT$1:$AY$46,2,FALSE)</f>
        <v>#VALUE!</v>
      </c>
      <c r="E375" s="6" t="e">
        <f>VLOOKUP(Tabla1[[#This Row],[ID_PARTIDO]],Original!$AT$1:$AY$46,3,FALSE)</f>
        <v>#VALUE!</v>
      </c>
      <c r="F375" s="6" t="e">
        <f>VLOOKUP(Tabla1[[#This Row],[ID_PARTIDO]],Original!$AT$1:$AY$46,4,FALSE)</f>
        <v>#VALUE!</v>
      </c>
      <c r="G375" s="6" t="e">
        <f>VLOOKUP(Tabla1[[#This Row],[ID_PARTIDO]],Original!$AT$1:$AY$46,5,FALSE)</f>
        <v>#VALUE!</v>
      </c>
      <c r="H375" t="s">
        <v>7</v>
      </c>
      <c r="I375" t="s">
        <v>14</v>
      </c>
      <c r="J375" t="s">
        <v>14</v>
      </c>
      <c r="K375" t="s">
        <v>7</v>
      </c>
      <c r="L375">
        <v>1</v>
      </c>
      <c r="M375">
        <v>0</v>
      </c>
    </row>
    <row r="376" spans="1:13">
      <c r="A376">
        <v>5</v>
      </c>
      <c r="B376">
        <v>1</v>
      </c>
      <c r="C376">
        <v>1</v>
      </c>
      <c r="D376" s="6" t="e">
        <f>VLOOKUP(Tabla1[[#This Row],[ID_PARTIDO]],Original!$AT$1:$AY$46,2,FALSE)</f>
        <v>#VALUE!</v>
      </c>
      <c r="E376" s="6" t="e">
        <f>VLOOKUP(Tabla1[[#This Row],[ID_PARTIDO]],Original!$AT$1:$AY$46,3,FALSE)</f>
        <v>#VALUE!</v>
      </c>
      <c r="F376" s="6" t="e">
        <f>VLOOKUP(Tabla1[[#This Row],[ID_PARTIDO]],Original!$AT$1:$AY$46,4,FALSE)</f>
        <v>#VALUE!</v>
      </c>
      <c r="G376" s="6" t="e">
        <f>VLOOKUP(Tabla1[[#This Row],[ID_PARTIDO]],Original!$AT$1:$AY$46,5,FALSE)</f>
        <v>#VALUE!</v>
      </c>
      <c r="H376" t="s">
        <v>7</v>
      </c>
      <c r="I376" t="s">
        <v>14</v>
      </c>
      <c r="J376" t="s">
        <v>14</v>
      </c>
      <c r="K376" t="s">
        <v>7</v>
      </c>
      <c r="L376">
        <v>0</v>
      </c>
      <c r="M376">
        <v>1</v>
      </c>
    </row>
    <row r="377" spans="1:13">
      <c r="A377">
        <v>5</v>
      </c>
      <c r="B377">
        <v>1</v>
      </c>
      <c r="C377">
        <v>2</v>
      </c>
      <c r="D377" s="6" t="e">
        <f>VLOOKUP(Tabla1[[#This Row],[ID_PARTIDO]],Original!$AT$1:$AY$46,2,FALSE)</f>
        <v>#VALUE!</v>
      </c>
      <c r="E377" s="6" t="e">
        <f>VLOOKUP(Tabla1[[#This Row],[ID_PARTIDO]],Original!$AT$1:$AY$46,3,FALSE)</f>
        <v>#VALUE!</v>
      </c>
      <c r="F377" s="6" t="e">
        <f>VLOOKUP(Tabla1[[#This Row],[ID_PARTIDO]],Original!$AT$1:$AY$46,4,FALSE)</f>
        <v>#VALUE!</v>
      </c>
      <c r="G377" s="6" t="e">
        <f>VLOOKUP(Tabla1[[#This Row],[ID_PARTIDO]],Original!$AT$1:$AY$46,5,FALSE)</f>
        <v>#VALUE!</v>
      </c>
      <c r="H377" t="s">
        <v>7</v>
      </c>
      <c r="I377" t="s">
        <v>14</v>
      </c>
      <c r="J377" t="s">
        <v>14</v>
      </c>
      <c r="K377" t="s">
        <v>7</v>
      </c>
      <c r="L377">
        <v>1</v>
      </c>
      <c r="M377">
        <v>0</v>
      </c>
    </row>
    <row r="378" spans="1:13">
      <c r="A378">
        <v>5</v>
      </c>
      <c r="B378">
        <v>1</v>
      </c>
      <c r="C378">
        <v>3</v>
      </c>
      <c r="D378" s="6" t="e">
        <f>VLOOKUP(Tabla1[[#This Row],[ID_PARTIDO]],Original!$AT$1:$AY$46,2,FALSE)</f>
        <v>#VALUE!</v>
      </c>
      <c r="E378" s="6" t="e">
        <f>VLOOKUP(Tabla1[[#This Row],[ID_PARTIDO]],Original!$AT$1:$AY$46,3,FALSE)</f>
        <v>#VALUE!</v>
      </c>
      <c r="F378" s="6" t="e">
        <f>VLOOKUP(Tabla1[[#This Row],[ID_PARTIDO]],Original!$AT$1:$AY$46,4,FALSE)</f>
        <v>#VALUE!</v>
      </c>
      <c r="G378" s="6" t="e">
        <f>VLOOKUP(Tabla1[[#This Row],[ID_PARTIDO]],Original!$AT$1:$AY$46,5,FALSE)</f>
        <v>#VALUE!</v>
      </c>
      <c r="H378" t="s">
        <v>7</v>
      </c>
      <c r="I378" t="s">
        <v>14</v>
      </c>
      <c r="J378" t="s">
        <v>14</v>
      </c>
      <c r="K378" t="s">
        <v>7</v>
      </c>
      <c r="L378">
        <v>1</v>
      </c>
      <c r="M378">
        <v>0</v>
      </c>
    </row>
    <row r="379" spans="1:13">
      <c r="A379">
        <v>5</v>
      </c>
      <c r="B379">
        <v>1</v>
      </c>
      <c r="C379">
        <v>4</v>
      </c>
      <c r="D379" s="6" t="e">
        <f>VLOOKUP(Tabla1[[#This Row],[ID_PARTIDO]],Original!$AT$1:$AY$46,2,FALSE)</f>
        <v>#VALUE!</v>
      </c>
      <c r="E379" s="6" t="e">
        <f>VLOOKUP(Tabla1[[#This Row],[ID_PARTIDO]],Original!$AT$1:$AY$46,3,FALSE)</f>
        <v>#VALUE!</v>
      </c>
      <c r="F379" s="6" t="e">
        <f>VLOOKUP(Tabla1[[#This Row],[ID_PARTIDO]],Original!$AT$1:$AY$46,4,FALSE)</f>
        <v>#VALUE!</v>
      </c>
      <c r="G379" s="6" t="e">
        <f>VLOOKUP(Tabla1[[#This Row],[ID_PARTIDO]],Original!$AT$1:$AY$46,5,FALSE)</f>
        <v>#VALUE!</v>
      </c>
      <c r="H379" t="s">
        <v>7</v>
      </c>
      <c r="I379" t="s">
        <v>14</v>
      </c>
      <c r="J379" t="s">
        <v>14</v>
      </c>
      <c r="K379" t="s">
        <v>7</v>
      </c>
      <c r="L379">
        <v>1</v>
      </c>
      <c r="M379">
        <v>0</v>
      </c>
    </row>
    <row r="380" spans="1:13">
      <c r="A380">
        <v>5</v>
      </c>
      <c r="B380">
        <v>1</v>
      </c>
      <c r="C380">
        <v>5</v>
      </c>
      <c r="D380" s="6" t="e">
        <f>VLOOKUP(Tabla1[[#This Row],[ID_PARTIDO]],Original!$AT$1:$AY$46,2,FALSE)</f>
        <v>#VALUE!</v>
      </c>
      <c r="E380" s="6" t="e">
        <f>VLOOKUP(Tabla1[[#This Row],[ID_PARTIDO]],Original!$AT$1:$AY$46,3,FALSE)</f>
        <v>#VALUE!</v>
      </c>
      <c r="F380" s="6" t="e">
        <f>VLOOKUP(Tabla1[[#This Row],[ID_PARTIDO]],Original!$AT$1:$AY$46,4,FALSE)</f>
        <v>#VALUE!</v>
      </c>
      <c r="G380" s="6" t="e">
        <f>VLOOKUP(Tabla1[[#This Row],[ID_PARTIDO]],Original!$AT$1:$AY$46,5,FALSE)</f>
        <v>#VALUE!</v>
      </c>
      <c r="H380" t="s">
        <v>7</v>
      </c>
      <c r="I380" t="s">
        <v>14</v>
      </c>
      <c r="J380" t="s">
        <v>14</v>
      </c>
      <c r="K380" t="s">
        <v>7</v>
      </c>
      <c r="L380">
        <v>0</v>
      </c>
      <c r="M380">
        <v>1</v>
      </c>
    </row>
    <row r="381" spans="1:13">
      <c r="A381">
        <v>5</v>
      </c>
      <c r="B381">
        <v>1</v>
      </c>
      <c r="C381">
        <v>6</v>
      </c>
      <c r="D381" s="6" t="e">
        <f>VLOOKUP(Tabla1[[#This Row],[ID_PARTIDO]],Original!$AT$1:$AY$46,2,FALSE)</f>
        <v>#VALUE!</v>
      </c>
      <c r="E381" s="6" t="e">
        <f>VLOOKUP(Tabla1[[#This Row],[ID_PARTIDO]],Original!$AT$1:$AY$46,3,FALSE)</f>
        <v>#VALUE!</v>
      </c>
      <c r="F381" s="6" t="e">
        <f>VLOOKUP(Tabla1[[#This Row],[ID_PARTIDO]],Original!$AT$1:$AY$46,4,FALSE)</f>
        <v>#VALUE!</v>
      </c>
      <c r="G381" s="6" t="e">
        <f>VLOOKUP(Tabla1[[#This Row],[ID_PARTIDO]],Original!$AT$1:$AY$46,5,FALSE)</f>
        <v>#VALUE!</v>
      </c>
      <c r="H381" t="s">
        <v>7</v>
      </c>
      <c r="I381" t="s">
        <v>14</v>
      </c>
      <c r="J381" t="s">
        <v>14</v>
      </c>
      <c r="K381" t="s">
        <v>7</v>
      </c>
      <c r="L381">
        <v>0</v>
      </c>
      <c r="M381">
        <v>1</v>
      </c>
    </row>
    <row r="382" spans="1:13">
      <c r="A382">
        <v>5</v>
      </c>
      <c r="B382">
        <v>1</v>
      </c>
      <c r="C382">
        <v>7</v>
      </c>
      <c r="D382" s="6" t="e">
        <f>VLOOKUP(Tabla1[[#This Row],[ID_PARTIDO]],Original!$AT$1:$AY$46,2,FALSE)</f>
        <v>#VALUE!</v>
      </c>
      <c r="E382" s="6" t="e">
        <f>VLOOKUP(Tabla1[[#This Row],[ID_PARTIDO]],Original!$AT$1:$AY$46,3,FALSE)</f>
        <v>#VALUE!</v>
      </c>
      <c r="F382" s="6" t="e">
        <f>VLOOKUP(Tabla1[[#This Row],[ID_PARTIDO]],Original!$AT$1:$AY$46,4,FALSE)</f>
        <v>#VALUE!</v>
      </c>
      <c r="G382" s="6" t="e">
        <f>VLOOKUP(Tabla1[[#This Row],[ID_PARTIDO]],Original!$AT$1:$AY$46,5,FALSE)</f>
        <v>#VALUE!</v>
      </c>
      <c r="H382" t="s">
        <v>7</v>
      </c>
      <c r="I382" t="s">
        <v>14</v>
      </c>
      <c r="J382" t="s">
        <v>14</v>
      </c>
      <c r="K382" t="s">
        <v>7</v>
      </c>
      <c r="L382">
        <v>1</v>
      </c>
      <c r="M382">
        <v>0</v>
      </c>
    </row>
    <row r="383" spans="1:13">
      <c r="A383">
        <v>5</v>
      </c>
      <c r="B383">
        <v>1</v>
      </c>
      <c r="C383">
        <v>8</v>
      </c>
      <c r="D383" s="6" t="e">
        <f>VLOOKUP(Tabla1[[#This Row],[ID_PARTIDO]],Original!$AT$1:$AY$46,2,FALSE)</f>
        <v>#VALUE!</v>
      </c>
      <c r="E383" s="6" t="e">
        <f>VLOOKUP(Tabla1[[#This Row],[ID_PARTIDO]],Original!$AT$1:$AY$46,3,FALSE)</f>
        <v>#VALUE!</v>
      </c>
      <c r="F383" s="6" t="e">
        <f>VLOOKUP(Tabla1[[#This Row],[ID_PARTIDO]],Original!$AT$1:$AY$46,4,FALSE)</f>
        <v>#VALUE!</v>
      </c>
      <c r="G383" s="6" t="e">
        <f>VLOOKUP(Tabla1[[#This Row],[ID_PARTIDO]],Original!$AT$1:$AY$46,5,FALSE)</f>
        <v>#VALUE!</v>
      </c>
      <c r="H383" t="s">
        <v>7</v>
      </c>
      <c r="I383" t="s">
        <v>14</v>
      </c>
      <c r="J383" t="s">
        <v>14</v>
      </c>
      <c r="K383" t="s">
        <v>7</v>
      </c>
      <c r="L383">
        <v>0</v>
      </c>
      <c r="M383">
        <v>1</v>
      </c>
    </row>
    <row r="384" spans="1:13">
      <c r="A384">
        <v>5</v>
      </c>
      <c r="B384">
        <v>1</v>
      </c>
      <c r="C384">
        <v>9</v>
      </c>
      <c r="D384" s="6" t="e">
        <f>VLOOKUP(Tabla1[[#This Row],[ID_PARTIDO]],Original!$AT$1:$AY$46,2,FALSE)</f>
        <v>#VALUE!</v>
      </c>
      <c r="E384" s="6" t="e">
        <f>VLOOKUP(Tabla1[[#This Row],[ID_PARTIDO]],Original!$AT$1:$AY$46,3,FALSE)</f>
        <v>#VALUE!</v>
      </c>
      <c r="F384" s="6" t="e">
        <f>VLOOKUP(Tabla1[[#This Row],[ID_PARTIDO]],Original!$AT$1:$AY$46,4,FALSE)</f>
        <v>#VALUE!</v>
      </c>
      <c r="G384" s="6" t="e">
        <f>VLOOKUP(Tabla1[[#This Row],[ID_PARTIDO]],Original!$AT$1:$AY$46,5,FALSE)</f>
        <v>#VALUE!</v>
      </c>
      <c r="H384" t="s">
        <v>7</v>
      </c>
      <c r="I384" t="s">
        <v>14</v>
      </c>
      <c r="J384" t="s">
        <v>14</v>
      </c>
      <c r="K384" t="s">
        <v>7</v>
      </c>
      <c r="L384">
        <v>1</v>
      </c>
      <c r="M384">
        <v>0</v>
      </c>
    </row>
    <row r="385" spans="1:13">
      <c r="A385">
        <v>5</v>
      </c>
      <c r="B385">
        <v>1</v>
      </c>
      <c r="C385">
        <v>10</v>
      </c>
      <c r="D385" s="6" t="e">
        <f>VLOOKUP(Tabla1[[#This Row],[ID_PARTIDO]],Original!$AT$1:$AY$46,2,FALSE)</f>
        <v>#VALUE!</v>
      </c>
      <c r="E385" s="6" t="e">
        <f>VLOOKUP(Tabla1[[#This Row],[ID_PARTIDO]],Original!$AT$1:$AY$46,3,FALSE)</f>
        <v>#VALUE!</v>
      </c>
      <c r="F385" s="6" t="e">
        <f>VLOOKUP(Tabla1[[#This Row],[ID_PARTIDO]],Original!$AT$1:$AY$46,4,FALSE)</f>
        <v>#VALUE!</v>
      </c>
      <c r="G385" s="6" t="e">
        <f>VLOOKUP(Tabla1[[#This Row],[ID_PARTIDO]],Original!$AT$1:$AY$46,5,FALSE)</f>
        <v>#VALUE!</v>
      </c>
      <c r="H385" t="s">
        <v>7</v>
      </c>
      <c r="I385" t="s">
        <v>14</v>
      </c>
      <c r="J385" t="s">
        <v>14</v>
      </c>
      <c r="K385" t="s">
        <v>7</v>
      </c>
      <c r="L385">
        <v>1</v>
      </c>
      <c r="M385">
        <v>0</v>
      </c>
    </row>
    <row r="386" spans="1:13">
      <c r="A386">
        <v>5</v>
      </c>
      <c r="B386">
        <v>1</v>
      </c>
      <c r="C386">
        <v>11</v>
      </c>
      <c r="D386" s="6" t="e">
        <f>VLOOKUP(Tabla1[[#This Row],[ID_PARTIDO]],Original!$AT$1:$AY$46,2,FALSE)</f>
        <v>#VALUE!</v>
      </c>
      <c r="E386" s="6" t="e">
        <f>VLOOKUP(Tabla1[[#This Row],[ID_PARTIDO]],Original!$AT$1:$AY$46,3,FALSE)</f>
        <v>#VALUE!</v>
      </c>
      <c r="F386" s="6" t="e">
        <f>VLOOKUP(Tabla1[[#This Row],[ID_PARTIDO]],Original!$AT$1:$AY$46,4,FALSE)</f>
        <v>#VALUE!</v>
      </c>
      <c r="G386" s="6" t="e">
        <f>VLOOKUP(Tabla1[[#This Row],[ID_PARTIDO]],Original!$AT$1:$AY$46,5,FALSE)</f>
        <v>#VALUE!</v>
      </c>
      <c r="H386" t="s">
        <v>7</v>
      </c>
      <c r="I386" t="s">
        <v>14</v>
      </c>
      <c r="J386" t="s">
        <v>14</v>
      </c>
      <c r="K386" t="s">
        <v>7</v>
      </c>
      <c r="L386">
        <v>0</v>
      </c>
      <c r="M386">
        <v>1</v>
      </c>
    </row>
    <row r="387" spans="1:13">
      <c r="A387">
        <v>5</v>
      </c>
      <c r="B387">
        <v>1</v>
      </c>
      <c r="C387">
        <v>12</v>
      </c>
      <c r="D387" s="6" t="e">
        <f>VLOOKUP(Tabla1[[#This Row],[ID_PARTIDO]],Original!$AT$1:$AY$46,2,FALSE)</f>
        <v>#VALUE!</v>
      </c>
      <c r="E387" s="6" t="e">
        <f>VLOOKUP(Tabla1[[#This Row],[ID_PARTIDO]],Original!$AT$1:$AY$46,3,FALSE)</f>
        <v>#VALUE!</v>
      </c>
      <c r="F387" s="6" t="e">
        <f>VLOOKUP(Tabla1[[#This Row],[ID_PARTIDO]],Original!$AT$1:$AY$46,4,FALSE)</f>
        <v>#VALUE!</v>
      </c>
      <c r="G387" s="6" t="e">
        <f>VLOOKUP(Tabla1[[#This Row],[ID_PARTIDO]],Original!$AT$1:$AY$46,5,FALSE)</f>
        <v>#VALUE!</v>
      </c>
      <c r="H387" t="s">
        <v>7</v>
      </c>
      <c r="I387" t="s">
        <v>14</v>
      </c>
      <c r="J387" t="s">
        <v>14</v>
      </c>
      <c r="K387" t="s">
        <v>7</v>
      </c>
      <c r="L387">
        <v>0</v>
      </c>
      <c r="M387">
        <v>1</v>
      </c>
    </row>
    <row r="388" spans="1:13">
      <c r="A388">
        <v>5</v>
      </c>
      <c r="B388">
        <v>1</v>
      </c>
      <c r="C388">
        <v>13</v>
      </c>
      <c r="D388" s="6" t="e">
        <f>VLOOKUP(Tabla1[[#This Row],[ID_PARTIDO]],Original!$AT$1:$AY$46,2,FALSE)</f>
        <v>#VALUE!</v>
      </c>
      <c r="E388" s="6" t="e">
        <f>VLOOKUP(Tabla1[[#This Row],[ID_PARTIDO]],Original!$AT$1:$AY$46,3,FALSE)</f>
        <v>#VALUE!</v>
      </c>
      <c r="F388" s="6" t="e">
        <f>VLOOKUP(Tabla1[[#This Row],[ID_PARTIDO]],Original!$AT$1:$AY$46,4,FALSE)</f>
        <v>#VALUE!</v>
      </c>
      <c r="G388" s="6" t="e">
        <f>VLOOKUP(Tabla1[[#This Row],[ID_PARTIDO]],Original!$AT$1:$AY$46,5,FALSE)</f>
        <v>#VALUE!</v>
      </c>
      <c r="H388" t="s">
        <v>7</v>
      </c>
      <c r="I388" t="s">
        <v>14</v>
      </c>
      <c r="J388" t="s">
        <v>14</v>
      </c>
      <c r="K388" t="s">
        <v>7</v>
      </c>
      <c r="L388">
        <v>1</v>
      </c>
      <c r="M388">
        <v>0</v>
      </c>
    </row>
    <row r="389" spans="1:13">
      <c r="A389">
        <v>31</v>
      </c>
      <c r="B389">
        <v>1</v>
      </c>
      <c r="C389">
        <v>1</v>
      </c>
      <c r="D389" s="6" t="e">
        <f>VLOOKUP(Tabla1[[#This Row],[ID_PARTIDO]],Original!$AT$1:$AY$46,2,FALSE)</f>
        <v>#VALUE!</v>
      </c>
      <c r="E389" s="6" t="e">
        <f>VLOOKUP(Tabla1[[#This Row],[ID_PARTIDO]],Original!$AT$1:$AY$46,3,FALSE)</f>
        <v>#VALUE!</v>
      </c>
      <c r="F389" s="6" t="e">
        <f>VLOOKUP(Tabla1[[#This Row],[ID_PARTIDO]],Original!$AT$1:$AY$46,4,FALSE)</f>
        <v>#VALUE!</v>
      </c>
      <c r="G389" s="6" t="e">
        <f>VLOOKUP(Tabla1[[#This Row],[ID_PARTIDO]],Original!$AT$1:$AY$46,5,FALSE)</f>
        <v>#VALUE!</v>
      </c>
      <c r="H389" t="s">
        <v>14</v>
      </c>
      <c r="I389" t="s">
        <v>7</v>
      </c>
      <c r="J389" t="s">
        <v>14</v>
      </c>
      <c r="K389" t="s">
        <v>7</v>
      </c>
      <c r="L389">
        <v>0</v>
      </c>
      <c r="M389">
        <v>1</v>
      </c>
    </row>
    <row r="390" spans="1:13">
      <c r="A390">
        <v>31</v>
      </c>
      <c r="B390">
        <v>1</v>
      </c>
      <c r="C390">
        <v>2</v>
      </c>
      <c r="D390" s="6" t="e">
        <f>VLOOKUP(Tabla1[[#This Row],[ID_PARTIDO]],Original!$AT$1:$AY$46,2,FALSE)</f>
        <v>#VALUE!</v>
      </c>
      <c r="E390" s="6" t="e">
        <f>VLOOKUP(Tabla1[[#This Row],[ID_PARTIDO]],Original!$AT$1:$AY$46,3,FALSE)</f>
        <v>#VALUE!</v>
      </c>
      <c r="F390" s="6" t="e">
        <f>VLOOKUP(Tabla1[[#This Row],[ID_PARTIDO]],Original!$AT$1:$AY$46,4,FALSE)</f>
        <v>#VALUE!</v>
      </c>
      <c r="G390" s="6" t="e">
        <f>VLOOKUP(Tabla1[[#This Row],[ID_PARTIDO]],Original!$AT$1:$AY$46,5,FALSE)</f>
        <v>#VALUE!</v>
      </c>
      <c r="H390" t="s">
        <v>14</v>
      </c>
      <c r="I390" t="s">
        <v>7</v>
      </c>
      <c r="J390" t="s">
        <v>14</v>
      </c>
      <c r="K390" t="s">
        <v>7</v>
      </c>
      <c r="L390">
        <v>1</v>
      </c>
      <c r="M390">
        <v>0</v>
      </c>
    </row>
    <row r="391" spans="1:13">
      <c r="A391">
        <v>31</v>
      </c>
      <c r="B391">
        <v>1</v>
      </c>
      <c r="C391">
        <v>3</v>
      </c>
      <c r="D391" s="6" t="e">
        <f>VLOOKUP(Tabla1[[#This Row],[ID_PARTIDO]],Original!$AT$1:$AY$46,2,FALSE)</f>
        <v>#VALUE!</v>
      </c>
      <c r="E391" s="6" t="e">
        <f>VLOOKUP(Tabla1[[#This Row],[ID_PARTIDO]],Original!$AT$1:$AY$46,3,FALSE)</f>
        <v>#VALUE!</v>
      </c>
      <c r="F391" s="6" t="e">
        <f>VLOOKUP(Tabla1[[#This Row],[ID_PARTIDO]],Original!$AT$1:$AY$46,4,FALSE)</f>
        <v>#VALUE!</v>
      </c>
      <c r="G391" s="6" t="e">
        <f>VLOOKUP(Tabla1[[#This Row],[ID_PARTIDO]],Original!$AT$1:$AY$46,5,FALSE)</f>
        <v>#VALUE!</v>
      </c>
      <c r="H391" t="s">
        <v>14</v>
      </c>
      <c r="I391" t="s">
        <v>7</v>
      </c>
      <c r="J391" t="s">
        <v>14</v>
      </c>
      <c r="K391" t="s">
        <v>7</v>
      </c>
      <c r="L391">
        <v>0</v>
      </c>
      <c r="M391">
        <v>1</v>
      </c>
    </row>
    <row r="392" spans="1:13">
      <c r="A392">
        <v>31</v>
      </c>
      <c r="B392">
        <v>1</v>
      </c>
      <c r="C392">
        <v>4</v>
      </c>
      <c r="D392" s="6" t="e">
        <f>VLOOKUP(Tabla1[[#This Row],[ID_PARTIDO]],Original!$AT$1:$AY$46,2,FALSE)</f>
        <v>#VALUE!</v>
      </c>
      <c r="E392" s="6" t="e">
        <f>VLOOKUP(Tabla1[[#This Row],[ID_PARTIDO]],Original!$AT$1:$AY$46,3,FALSE)</f>
        <v>#VALUE!</v>
      </c>
      <c r="F392" s="6" t="e">
        <f>VLOOKUP(Tabla1[[#This Row],[ID_PARTIDO]],Original!$AT$1:$AY$46,4,FALSE)</f>
        <v>#VALUE!</v>
      </c>
      <c r="G392" s="6" t="e">
        <f>VLOOKUP(Tabla1[[#This Row],[ID_PARTIDO]],Original!$AT$1:$AY$46,5,FALSE)</f>
        <v>#VALUE!</v>
      </c>
      <c r="H392" t="s">
        <v>14</v>
      </c>
      <c r="I392" t="s">
        <v>7</v>
      </c>
      <c r="J392" t="s">
        <v>14</v>
      </c>
      <c r="K392" t="s">
        <v>7</v>
      </c>
      <c r="L392">
        <v>0</v>
      </c>
      <c r="M392">
        <v>1</v>
      </c>
    </row>
    <row r="393" spans="1:13">
      <c r="A393">
        <v>31</v>
      </c>
      <c r="B393">
        <v>1</v>
      </c>
      <c r="C393">
        <v>5</v>
      </c>
      <c r="D393" s="6" t="e">
        <f>VLOOKUP(Tabla1[[#This Row],[ID_PARTIDO]],Original!$AT$1:$AY$46,2,FALSE)</f>
        <v>#VALUE!</v>
      </c>
      <c r="E393" s="6" t="e">
        <f>VLOOKUP(Tabla1[[#This Row],[ID_PARTIDO]],Original!$AT$1:$AY$46,3,FALSE)</f>
        <v>#VALUE!</v>
      </c>
      <c r="F393" s="6" t="e">
        <f>VLOOKUP(Tabla1[[#This Row],[ID_PARTIDO]],Original!$AT$1:$AY$46,4,FALSE)</f>
        <v>#VALUE!</v>
      </c>
      <c r="G393" s="6" t="e">
        <f>VLOOKUP(Tabla1[[#This Row],[ID_PARTIDO]],Original!$AT$1:$AY$46,5,FALSE)</f>
        <v>#VALUE!</v>
      </c>
      <c r="H393" t="s">
        <v>14</v>
      </c>
      <c r="I393" t="s">
        <v>7</v>
      </c>
      <c r="J393" t="s">
        <v>14</v>
      </c>
      <c r="K393" t="s">
        <v>7</v>
      </c>
      <c r="L393">
        <v>0</v>
      </c>
      <c r="M393">
        <v>1</v>
      </c>
    </row>
    <row r="394" spans="1:13">
      <c r="A394">
        <v>31</v>
      </c>
      <c r="B394">
        <v>1</v>
      </c>
      <c r="C394">
        <v>6</v>
      </c>
      <c r="D394" s="6" t="e">
        <f>VLOOKUP(Tabla1[[#This Row],[ID_PARTIDO]],Original!$AT$1:$AY$46,2,FALSE)</f>
        <v>#VALUE!</v>
      </c>
      <c r="E394" s="6" t="e">
        <f>VLOOKUP(Tabla1[[#This Row],[ID_PARTIDO]],Original!$AT$1:$AY$46,3,FALSE)</f>
        <v>#VALUE!</v>
      </c>
      <c r="F394" s="6" t="e">
        <f>VLOOKUP(Tabla1[[#This Row],[ID_PARTIDO]],Original!$AT$1:$AY$46,4,FALSE)</f>
        <v>#VALUE!</v>
      </c>
      <c r="G394" s="6" t="e">
        <f>VLOOKUP(Tabla1[[#This Row],[ID_PARTIDO]],Original!$AT$1:$AY$46,5,FALSE)</f>
        <v>#VALUE!</v>
      </c>
      <c r="H394" t="s">
        <v>14</v>
      </c>
      <c r="I394" t="s">
        <v>7</v>
      </c>
      <c r="J394" t="s">
        <v>14</v>
      </c>
      <c r="K394" t="s">
        <v>7</v>
      </c>
      <c r="L394">
        <v>0</v>
      </c>
      <c r="M394">
        <v>1</v>
      </c>
    </row>
    <row r="395" spans="1:13">
      <c r="A395">
        <v>31</v>
      </c>
      <c r="B395">
        <v>1</v>
      </c>
      <c r="C395">
        <v>7</v>
      </c>
      <c r="D395" s="6" t="e">
        <f>VLOOKUP(Tabla1[[#This Row],[ID_PARTIDO]],Original!$AT$1:$AY$46,2,FALSE)</f>
        <v>#VALUE!</v>
      </c>
      <c r="E395" s="6" t="e">
        <f>VLOOKUP(Tabla1[[#This Row],[ID_PARTIDO]],Original!$AT$1:$AY$46,3,FALSE)</f>
        <v>#VALUE!</v>
      </c>
      <c r="F395" s="6" t="e">
        <f>VLOOKUP(Tabla1[[#This Row],[ID_PARTIDO]],Original!$AT$1:$AY$46,4,FALSE)</f>
        <v>#VALUE!</v>
      </c>
      <c r="G395" s="6" t="e">
        <f>VLOOKUP(Tabla1[[#This Row],[ID_PARTIDO]],Original!$AT$1:$AY$46,5,FALSE)</f>
        <v>#VALUE!</v>
      </c>
      <c r="H395" t="s">
        <v>14</v>
      </c>
      <c r="I395" t="s">
        <v>7</v>
      </c>
      <c r="J395" t="s">
        <v>14</v>
      </c>
      <c r="K395" t="s">
        <v>7</v>
      </c>
      <c r="L395">
        <v>0</v>
      </c>
      <c r="M395">
        <v>1</v>
      </c>
    </row>
    <row r="396" spans="1:13">
      <c r="A396">
        <v>31</v>
      </c>
      <c r="B396">
        <v>1</v>
      </c>
      <c r="C396">
        <v>8</v>
      </c>
      <c r="D396" s="6" t="e">
        <f>VLOOKUP(Tabla1[[#This Row],[ID_PARTIDO]],Original!$AT$1:$AY$46,2,FALSE)</f>
        <v>#VALUE!</v>
      </c>
      <c r="E396" s="6" t="e">
        <f>VLOOKUP(Tabla1[[#This Row],[ID_PARTIDO]],Original!$AT$1:$AY$46,3,FALSE)</f>
        <v>#VALUE!</v>
      </c>
      <c r="F396" s="6" t="e">
        <f>VLOOKUP(Tabla1[[#This Row],[ID_PARTIDO]],Original!$AT$1:$AY$46,4,FALSE)</f>
        <v>#VALUE!</v>
      </c>
      <c r="G396" s="6" t="e">
        <f>VLOOKUP(Tabla1[[#This Row],[ID_PARTIDO]],Original!$AT$1:$AY$46,5,FALSE)</f>
        <v>#VALUE!</v>
      </c>
      <c r="H396" t="s">
        <v>14</v>
      </c>
      <c r="I396" t="s">
        <v>7</v>
      </c>
      <c r="J396" t="s">
        <v>14</v>
      </c>
      <c r="K396" t="s">
        <v>7</v>
      </c>
      <c r="L396">
        <v>0</v>
      </c>
      <c r="M396">
        <v>1</v>
      </c>
    </row>
    <row r="397" spans="1:13">
      <c r="A397">
        <v>13</v>
      </c>
      <c r="B397">
        <v>1</v>
      </c>
      <c r="C397">
        <v>1</v>
      </c>
      <c r="D397" s="6" t="e">
        <f>VLOOKUP(Tabla1[[#This Row],[ID_PARTIDO]],Original!$AT$1:$AY$46,2,FALSE)</f>
        <v>#VALUE!</v>
      </c>
      <c r="E397" s="6" t="e">
        <f>VLOOKUP(Tabla1[[#This Row],[ID_PARTIDO]],Original!$AT$1:$AY$46,3,FALSE)</f>
        <v>#VALUE!</v>
      </c>
      <c r="F397" s="6" t="e">
        <f>VLOOKUP(Tabla1[[#This Row],[ID_PARTIDO]],Original!$AT$1:$AY$46,4,FALSE)</f>
        <v>#VALUE!</v>
      </c>
      <c r="G397" s="6" t="e">
        <f>VLOOKUP(Tabla1[[#This Row],[ID_PARTIDO]],Original!$AT$1:$AY$46,5,FALSE)</f>
        <v>#VALUE!</v>
      </c>
      <c r="H397" t="s">
        <v>14</v>
      </c>
      <c r="I397" t="s">
        <v>7</v>
      </c>
      <c r="J397" s="9" t="s">
        <v>7</v>
      </c>
      <c r="K397" s="9" t="s">
        <v>14</v>
      </c>
      <c r="L397">
        <v>0</v>
      </c>
      <c r="M397">
        <v>1</v>
      </c>
    </row>
    <row r="398" spans="1:13">
      <c r="A398">
        <v>13</v>
      </c>
      <c r="B398">
        <v>1</v>
      </c>
      <c r="C398">
        <v>2</v>
      </c>
      <c r="D398" s="6" t="e">
        <f>VLOOKUP(Tabla1[[#This Row],[ID_PARTIDO]],Original!$AT$1:$AY$46,2,FALSE)</f>
        <v>#VALUE!</v>
      </c>
      <c r="E398" s="6" t="e">
        <f>VLOOKUP(Tabla1[[#This Row],[ID_PARTIDO]],Original!$AT$1:$AY$46,3,FALSE)</f>
        <v>#VALUE!</v>
      </c>
      <c r="F398" s="6" t="e">
        <f>VLOOKUP(Tabla1[[#This Row],[ID_PARTIDO]],Original!$AT$1:$AY$46,4,FALSE)</f>
        <v>#VALUE!</v>
      </c>
      <c r="G398" s="6" t="e">
        <f>VLOOKUP(Tabla1[[#This Row],[ID_PARTIDO]],Original!$AT$1:$AY$46,5,FALSE)</f>
        <v>#VALUE!</v>
      </c>
      <c r="H398" t="s">
        <v>14</v>
      </c>
      <c r="I398" t="s">
        <v>7</v>
      </c>
      <c r="J398" t="s">
        <v>7</v>
      </c>
      <c r="K398" t="s">
        <v>14</v>
      </c>
      <c r="L398">
        <v>0</v>
      </c>
      <c r="M398">
        <v>1</v>
      </c>
    </row>
    <row r="399" spans="1:13">
      <c r="A399">
        <v>13</v>
      </c>
      <c r="B399">
        <v>1</v>
      </c>
      <c r="C399">
        <v>3</v>
      </c>
      <c r="D399" s="6" t="e">
        <f>VLOOKUP(Tabla1[[#This Row],[ID_PARTIDO]],Original!$AT$1:$AY$46,2,FALSE)</f>
        <v>#VALUE!</v>
      </c>
      <c r="E399" s="6" t="e">
        <f>VLOOKUP(Tabla1[[#This Row],[ID_PARTIDO]],Original!$AT$1:$AY$46,3,FALSE)</f>
        <v>#VALUE!</v>
      </c>
      <c r="F399" s="6" t="e">
        <f>VLOOKUP(Tabla1[[#This Row],[ID_PARTIDO]],Original!$AT$1:$AY$46,4,FALSE)</f>
        <v>#VALUE!</v>
      </c>
      <c r="G399" s="6" t="e">
        <f>VLOOKUP(Tabla1[[#This Row],[ID_PARTIDO]],Original!$AT$1:$AY$46,5,FALSE)</f>
        <v>#VALUE!</v>
      </c>
      <c r="H399" t="s">
        <v>14</v>
      </c>
      <c r="I399" t="s">
        <v>7</v>
      </c>
      <c r="J399" t="s">
        <v>7</v>
      </c>
      <c r="K399" t="s">
        <v>14</v>
      </c>
      <c r="L399">
        <v>0</v>
      </c>
      <c r="M399">
        <v>1</v>
      </c>
    </row>
    <row r="400" spans="1:13">
      <c r="A400">
        <v>13</v>
      </c>
      <c r="B400">
        <v>1</v>
      </c>
      <c r="C400">
        <v>4</v>
      </c>
      <c r="D400" s="6" t="e">
        <f>VLOOKUP(Tabla1[[#This Row],[ID_PARTIDO]],Original!$AT$1:$AY$46,2,FALSE)</f>
        <v>#VALUE!</v>
      </c>
      <c r="E400" s="6" t="e">
        <f>VLOOKUP(Tabla1[[#This Row],[ID_PARTIDO]],Original!$AT$1:$AY$46,3,FALSE)</f>
        <v>#VALUE!</v>
      </c>
      <c r="F400" s="6" t="e">
        <f>VLOOKUP(Tabla1[[#This Row],[ID_PARTIDO]],Original!$AT$1:$AY$46,4,FALSE)</f>
        <v>#VALUE!</v>
      </c>
      <c r="G400" s="6" t="e">
        <f>VLOOKUP(Tabla1[[#This Row],[ID_PARTIDO]],Original!$AT$1:$AY$46,5,FALSE)</f>
        <v>#VALUE!</v>
      </c>
      <c r="H400" t="s">
        <v>14</v>
      </c>
      <c r="I400" t="s">
        <v>7</v>
      </c>
      <c r="J400" t="s">
        <v>7</v>
      </c>
      <c r="K400" t="s">
        <v>14</v>
      </c>
      <c r="L400">
        <v>1</v>
      </c>
      <c r="M400">
        <v>0</v>
      </c>
    </row>
    <row r="401" spans="1:13">
      <c r="A401">
        <v>13</v>
      </c>
      <c r="B401">
        <v>1</v>
      </c>
      <c r="C401">
        <v>5</v>
      </c>
      <c r="D401" s="6" t="e">
        <f>VLOOKUP(Tabla1[[#This Row],[ID_PARTIDO]],Original!$AT$1:$AY$46,2,FALSE)</f>
        <v>#VALUE!</v>
      </c>
      <c r="E401" s="6" t="e">
        <f>VLOOKUP(Tabla1[[#This Row],[ID_PARTIDO]],Original!$AT$1:$AY$46,3,FALSE)</f>
        <v>#VALUE!</v>
      </c>
      <c r="F401" s="6" t="e">
        <f>VLOOKUP(Tabla1[[#This Row],[ID_PARTIDO]],Original!$AT$1:$AY$46,4,FALSE)</f>
        <v>#VALUE!</v>
      </c>
      <c r="G401" s="6" t="e">
        <f>VLOOKUP(Tabla1[[#This Row],[ID_PARTIDO]],Original!$AT$1:$AY$46,5,FALSE)</f>
        <v>#VALUE!</v>
      </c>
      <c r="H401" t="s">
        <v>14</v>
      </c>
      <c r="I401" t="s">
        <v>7</v>
      </c>
      <c r="J401" t="s">
        <v>7</v>
      </c>
      <c r="K401" t="s">
        <v>14</v>
      </c>
      <c r="L401">
        <v>1</v>
      </c>
      <c r="M401">
        <v>0</v>
      </c>
    </row>
    <row r="402" spans="1:13">
      <c r="A402">
        <v>13</v>
      </c>
      <c r="B402">
        <v>1</v>
      </c>
      <c r="C402">
        <v>6</v>
      </c>
      <c r="D402" s="6" t="e">
        <f>VLOOKUP(Tabla1[[#This Row],[ID_PARTIDO]],Original!$AT$1:$AY$46,2,FALSE)</f>
        <v>#VALUE!</v>
      </c>
      <c r="E402" s="6" t="e">
        <f>VLOOKUP(Tabla1[[#This Row],[ID_PARTIDO]],Original!$AT$1:$AY$46,3,FALSE)</f>
        <v>#VALUE!</v>
      </c>
      <c r="F402" s="6" t="e">
        <f>VLOOKUP(Tabla1[[#This Row],[ID_PARTIDO]],Original!$AT$1:$AY$46,4,FALSE)</f>
        <v>#VALUE!</v>
      </c>
      <c r="G402" s="6" t="e">
        <f>VLOOKUP(Tabla1[[#This Row],[ID_PARTIDO]],Original!$AT$1:$AY$46,5,FALSE)</f>
        <v>#VALUE!</v>
      </c>
      <c r="H402" t="s">
        <v>14</v>
      </c>
      <c r="I402" t="s">
        <v>7</v>
      </c>
      <c r="J402" t="s">
        <v>7</v>
      </c>
      <c r="K402" t="s">
        <v>14</v>
      </c>
      <c r="L402">
        <v>0</v>
      </c>
      <c r="M402">
        <v>1</v>
      </c>
    </row>
    <row r="403" spans="1:13">
      <c r="A403">
        <v>13</v>
      </c>
      <c r="B403">
        <v>1</v>
      </c>
      <c r="C403">
        <v>7</v>
      </c>
      <c r="D403" s="6" t="e">
        <f>VLOOKUP(Tabla1[[#This Row],[ID_PARTIDO]],Original!$AT$1:$AY$46,2,FALSE)</f>
        <v>#VALUE!</v>
      </c>
      <c r="E403" s="6" t="e">
        <f>VLOOKUP(Tabla1[[#This Row],[ID_PARTIDO]],Original!$AT$1:$AY$46,3,FALSE)</f>
        <v>#VALUE!</v>
      </c>
      <c r="F403" s="6" t="e">
        <f>VLOOKUP(Tabla1[[#This Row],[ID_PARTIDO]],Original!$AT$1:$AY$46,4,FALSE)</f>
        <v>#VALUE!</v>
      </c>
      <c r="G403" s="6" t="e">
        <f>VLOOKUP(Tabla1[[#This Row],[ID_PARTIDO]],Original!$AT$1:$AY$46,5,FALSE)</f>
        <v>#VALUE!</v>
      </c>
      <c r="H403" t="s">
        <v>14</v>
      </c>
      <c r="I403" t="s">
        <v>7</v>
      </c>
      <c r="J403" t="s">
        <v>7</v>
      </c>
      <c r="K403" t="s">
        <v>14</v>
      </c>
      <c r="L403">
        <v>1</v>
      </c>
      <c r="M403">
        <v>0</v>
      </c>
    </row>
    <row r="404" spans="1:13">
      <c r="A404">
        <v>13</v>
      </c>
      <c r="B404">
        <v>1</v>
      </c>
      <c r="C404">
        <v>8</v>
      </c>
      <c r="D404" s="6" t="e">
        <f>VLOOKUP(Tabla1[[#This Row],[ID_PARTIDO]],Original!$AT$1:$AY$46,2,FALSE)</f>
        <v>#VALUE!</v>
      </c>
      <c r="E404" s="6" t="e">
        <f>VLOOKUP(Tabla1[[#This Row],[ID_PARTIDO]],Original!$AT$1:$AY$46,3,FALSE)</f>
        <v>#VALUE!</v>
      </c>
      <c r="F404" s="6" t="e">
        <f>VLOOKUP(Tabla1[[#This Row],[ID_PARTIDO]],Original!$AT$1:$AY$46,4,FALSE)</f>
        <v>#VALUE!</v>
      </c>
      <c r="G404" s="6" t="e">
        <f>VLOOKUP(Tabla1[[#This Row],[ID_PARTIDO]],Original!$AT$1:$AY$46,5,FALSE)</f>
        <v>#VALUE!</v>
      </c>
      <c r="H404" t="s">
        <v>14</v>
      </c>
      <c r="I404" t="s">
        <v>7</v>
      </c>
      <c r="J404" t="s">
        <v>7</v>
      </c>
      <c r="K404" t="s">
        <v>14</v>
      </c>
      <c r="L404">
        <v>1</v>
      </c>
      <c r="M404">
        <v>0</v>
      </c>
    </row>
    <row r="405" spans="1:13">
      <c r="A405">
        <v>13</v>
      </c>
      <c r="B405">
        <v>1</v>
      </c>
      <c r="C405">
        <v>9</v>
      </c>
      <c r="D405" s="6" t="e">
        <f>VLOOKUP(Tabla1[[#This Row],[ID_PARTIDO]],Original!$AT$1:$AY$46,2,FALSE)</f>
        <v>#VALUE!</v>
      </c>
      <c r="E405" s="6" t="e">
        <f>VLOOKUP(Tabla1[[#This Row],[ID_PARTIDO]],Original!$AT$1:$AY$46,3,FALSE)</f>
        <v>#VALUE!</v>
      </c>
      <c r="F405" s="6" t="e">
        <f>VLOOKUP(Tabla1[[#This Row],[ID_PARTIDO]],Original!$AT$1:$AY$46,4,FALSE)</f>
        <v>#VALUE!</v>
      </c>
      <c r="G405" s="6" t="e">
        <f>VLOOKUP(Tabla1[[#This Row],[ID_PARTIDO]],Original!$AT$1:$AY$46,5,FALSE)</f>
        <v>#VALUE!</v>
      </c>
      <c r="H405" t="s">
        <v>14</v>
      </c>
      <c r="I405" t="s">
        <v>7</v>
      </c>
      <c r="J405" t="s">
        <v>7</v>
      </c>
      <c r="K405" t="s">
        <v>14</v>
      </c>
      <c r="L405">
        <v>0</v>
      </c>
      <c r="M405">
        <v>1</v>
      </c>
    </row>
    <row r="406" spans="1:13">
      <c r="A406">
        <v>13</v>
      </c>
      <c r="B406">
        <v>1</v>
      </c>
      <c r="C406">
        <v>10</v>
      </c>
      <c r="D406" s="6" t="e">
        <f>VLOOKUP(Tabla1[[#This Row],[ID_PARTIDO]],Original!$AT$1:$AY$46,2,FALSE)</f>
        <v>#VALUE!</v>
      </c>
      <c r="E406" s="6" t="e">
        <f>VLOOKUP(Tabla1[[#This Row],[ID_PARTIDO]],Original!$AT$1:$AY$46,3,FALSE)</f>
        <v>#VALUE!</v>
      </c>
      <c r="F406" s="6" t="e">
        <f>VLOOKUP(Tabla1[[#This Row],[ID_PARTIDO]],Original!$AT$1:$AY$46,4,FALSE)</f>
        <v>#VALUE!</v>
      </c>
      <c r="G406" s="6" t="e">
        <f>VLOOKUP(Tabla1[[#This Row],[ID_PARTIDO]],Original!$AT$1:$AY$46,5,FALSE)</f>
        <v>#VALUE!</v>
      </c>
      <c r="H406" t="s">
        <v>14</v>
      </c>
      <c r="I406" t="s">
        <v>7</v>
      </c>
      <c r="J406" t="s">
        <v>7</v>
      </c>
      <c r="K406" t="s">
        <v>14</v>
      </c>
      <c r="L406">
        <v>0</v>
      </c>
      <c r="M406">
        <v>1</v>
      </c>
    </row>
    <row r="407" spans="1:13">
      <c r="A407">
        <v>13</v>
      </c>
      <c r="B407">
        <v>1</v>
      </c>
      <c r="C407">
        <v>11</v>
      </c>
      <c r="D407" s="6" t="e">
        <f>VLOOKUP(Tabla1[[#This Row],[ID_PARTIDO]],Original!$AT$1:$AY$46,2,FALSE)</f>
        <v>#VALUE!</v>
      </c>
      <c r="E407" s="6" t="e">
        <f>VLOOKUP(Tabla1[[#This Row],[ID_PARTIDO]],Original!$AT$1:$AY$46,3,FALSE)</f>
        <v>#VALUE!</v>
      </c>
      <c r="F407" s="6" t="e">
        <f>VLOOKUP(Tabla1[[#This Row],[ID_PARTIDO]],Original!$AT$1:$AY$46,4,FALSE)</f>
        <v>#VALUE!</v>
      </c>
      <c r="G407" s="6" t="e">
        <f>VLOOKUP(Tabla1[[#This Row],[ID_PARTIDO]],Original!$AT$1:$AY$46,5,FALSE)</f>
        <v>#VALUE!</v>
      </c>
      <c r="H407" t="s">
        <v>14</v>
      </c>
      <c r="I407" t="s">
        <v>7</v>
      </c>
      <c r="J407" t="s">
        <v>7</v>
      </c>
      <c r="K407" t="s">
        <v>14</v>
      </c>
      <c r="L407">
        <v>0</v>
      </c>
      <c r="M407">
        <v>1</v>
      </c>
    </row>
    <row r="408" spans="1:13">
      <c r="A408">
        <v>17</v>
      </c>
      <c r="B408">
        <v>1</v>
      </c>
      <c r="C408">
        <v>1</v>
      </c>
      <c r="D408" s="6" t="e">
        <f>VLOOKUP(Tabla1[[#This Row],[ID_PARTIDO]],Original!$AT$1:$AY$46,2,FALSE)</f>
        <v>#VALUE!</v>
      </c>
      <c r="E408" s="6" t="e">
        <f>VLOOKUP(Tabla1[[#This Row],[ID_PARTIDO]],Original!$AT$1:$AY$46,3,FALSE)</f>
        <v>#VALUE!</v>
      </c>
      <c r="F408" s="6" t="e">
        <f>VLOOKUP(Tabla1[[#This Row],[ID_PARTIDO]],Original!$AT$1:$AY$46,4,FALSE)</f>
        <v>#VALUE!</v>
      </c>
      <c r="G408" s="6" t="e">
        <f>VLOOKUP(Tabla1[[#This Row],[ID_PARTIDO]],Original!$AT$1:$AY$46,5,FALSE)</f>
        <v>#VALUE!</v>
      </c>
      <c r="H408" t="s">
        <v>7</v>
      </c>
      <c r="I408" t="s">
        <v>14</v>
      </c>
      <c r="J408" t="s">
        <v>14</v>
      </c>
      <c r="K408" t="s">
        <v>7</v>
      </c>
      <c r="L408">
        <v>1</v>
      </c>
      <c r="M408">
        <v>0</v>
      </c>
    </row>
    <row r="409" spans="1:13">
      <c r="A409">
        <v>17</v>
      </c>
      <c r="B409">
        <v>1</v>
      </c>
      <c r="C409">
        <v>2</v>
      </c>
      <c r="D409" s="6" t="e">
        <f>VLOOKUP(Tabla1[[#This Row],[ID_PARTIDO]],Original!$AT$1:$AY$46,2,FALSE)</f>
        <v>#VALUE!</v>
      </c>
      <c r="E409" s="6" t="e">
        <f>VLOOKUP(Tabla1[[#This Row],[ID_PARTIDO]],Original!$AT$1:$AY$46,3,FALSE)</f>
        <v>#VALUE!</v>
      </c>
      <c r="F409" s="6" t="e">
        <f>VLOOKUP(Tabla1[[#This Row],[ID_PARTIDO]],Original!$AT$1:$AY$46,4,FALSE)</f>
        <v>#VALUE!</v>
      </c>
      <c r="G409" s="6" t="e">
        <f>VLOOKUP(Tabla1[[#This Row],[ID_PARTIDO]],Original!$AT$1:$AY$46,5,FALSE)</f>
        <v>#VALUE!</v>
      </c>
      <c r="H409" t="s">
        <v>7</v>
      </c>
      <c r="I409" t="s">
        <v>14</v>
      </c>
      <c r="J409" t="s">
        <v>14</v>
      </c>
      <c r="K409" t="s">
        <v>7</v>
      </c>
      <c r="L409">
        <v>0</v>
      </c>
      <c r="M409">
        <v>1</v>
      </c>
    </row>
    <row r="410" spans="1:13">
      <c r="A410">
        <v>17</v>
      </c>
      <c r="B410">
        <v>1</v>
      </c>
      <c r="C410">
        <v>3</v>
      </c>
      <c r="D410" s="6" t="e">
        <f>VLOOKUP(Tabla1[[#This Row],[ID_PARTIDO]],Original!$AT$1:$AY$46,2,FALSE)</f>
        <v>#VALUE!</v>
      </c>
      <c r="E410" s="6" t="e">
        <f>VLOOKUP(Tabla1[[#This Row],[ID_PARTIDO]],Original!$AT$1:$AY$46,3,FALSE)</f>
        <v>#VALUE!</v>
      </c>
      <c r="F410" s="6" t="e">
        <f>VLOOKUP(Tabla1[[#This Row],[ID_PARTIDO]],Original!$AT$1:$AY$46,4,FALSE)</f>
        <v>#VALUE!</v>
      </c>
      <c r="G410" s="6" t="e">
        <f>VLOOKUP(Tabla1[[#This Row],[ID_PARTIDO]],Original!$AT$1:$AY$46,5,FALSE)</f>
        <v>#VALUE!</v>
      </c>
      <c r="H410" t="s">
        <v>7</v>
      </c>
      <c r="I410" t="s">
        <v>14</v>
      </c>
      <c r="J410" t="s">
        <v>14</v>
      </c>
      <c r="K410" t="s">
        <v>7</v>
      </c>
      <c r="L410">
        <v>0</v>
      </c>
      <c r="M410">
        <v>1</v>
      </c>
    </row>
    <row r="411" spans="1:13">
      <c r="A411">
        <v>17</v>
      </c>
      <c r="B411">
        <v>1</v>
      </c>
      <c r="C411">
        <v>4</v>
      </c>
      <c r="D411" s="6" t="e">
        <f>VLOOKUP(Tabla1[[#This Row],[ID_PARTIDO]],Original!$AT$1:$AY$46,2,FALSE)</f>
        <v>#VALUE!</v>
      </c>
      <c r="E411" s="6" t="e">
        <f>VLOOKUP(Tabla1[[#This Row],[ID_PARTIDO]],Original!$AT$1:$AY$46,3,FALSE)</f>
        <v>#VALUE!</v>
      </c>
      <c r="F411" s="6" t="e">
        <f>VLOOKUP(Tabla1[[#This Row],[ID_PARTIDO]],Original!$AT$1:$AY$46,4,FALSE)</f>
        <v>#VALUE!</v>
      </c>
      <c r="G411" s="6" t="e">
        <f>VLOOKUP(Tabla1[[#This Row],[ID_PARTIDO]],Original!$AT$1:$AY$46,5,FALSE)</f>
        <v>#VALUE!</v>
      </c>
      <c r="H411" t="s">
        <v>7</v>
      </c>
      <c r="I411" t="s">
        <v>14</v>
      </c>
      <c r="J411" t="s">
        <v>14</v>
      </c>
      <c r="K411" t="s">
        <v>7</v>
      </c>
      <c r="L411">
        <v>1</v>
      </c>
      <c r="M411">
        <v>0</v>
      </c>
    </row>
    <row r="412" spans="1:13">
      <c r="A412">
        <v>17</v>
      </c>
      <c r="B412">
        <v>1</v>
      </c>
      <c r="C412">
        <v>5</v>
      </c>
      <c r="D412" s="6" t="e">
        <f>VLOOKUP(Tabla1[[#This Row],[ID_PARTIDO]],Original!$AT$1:$AY$46,2,FALSE)</f>
        <v>#VALUE!</v>
      </c>
      <c r="E412" s="6" t="e">
        <f>VLOOKUP(Tabla1[[#This Row],[ID_PARTIDO]],Original!$AT$1:$AY$46,3,FALSE)</f>
        <v>#VALUE!</v>
      </c>
      <c r="F412" s="6" t="e">
        <f>VLOOKUP(Tabla1[[#This Row],[ID_PARTIDO]],Original!$AT$1:$AY$46,4,FALSE)</f>
        <v>#VALUE!</v>
      </c>
      <c r="G412" s="6" t="e">
        <f>VLOOKUP(Tabla1[[#This Row],[ID_PARTIDO]],Original!$AT$1:$AY$46,5,FALSE)</f>
        <v>#VALUE!</v>
      </c>
      <c r="H412" t="s">
        <v>7</v>
      </c>
      <c r="I412" t="s">
        <v>14</v>
      </c>
      <c r="J412" t="s">
        <v>14</v>
      </c>
      <c r="K412" t="s">
        <v>7</v>
      </c>
      <c r="L412">
        <v>0</v>
      </c>
      <c r="M412">
        <v>1</v>
      </c>
    </row>
    <row r="413" spans="1:13">
      <c r="A413">
        <v>17</v>
      </c>
      <c r="B413">
        <v>1</v>
      </c>
      <c r="C413">
        <v>6</v>
      </c>
      <c r="D413" s="6" t="e">
        <f>VLOOKUP(Tabla1[[#This Row],[ID_PARTIDO]],Original!$AT$1:$AY$46,2,FALSE)</f>
        <v>#VALUE!</v>
      </c>
      <c r="E413" s="6" t="e">
        <f>VLOOKUP(Tabla1[[#This Row],[ID_PARTIDO]],Original!$AT$1:$AY$46,3,FALSE)</f>
        <v>#VALUE!</v>
      </c>
      <c r="F413" s="6" t="e">
        <f>VLOOKUP(Tabla1[[#This Row],[ID_PARTIDO]],Original!$AT$1:$AY$46,4,FALSE)</f>
        <v>#VALUE!</v>
      </c>
      <c r="G413" s="6" t="e">
        <f>VLOOKUP(Tabla1[[#This Row],[ID_PARTIDO]],Original!$AT$1:$AY$46,5,FALSE)</f>
        <v>#VALUE!</v>
      </c>
      <c r="H413" t="s">
        <v>7</v>
      </c>
      <c r="I413" t="s">
        <v>14</v>
      </c>
      <c r="J413" t="s">
        <v>14</v>
      </c>
      <c r="K413" t="s">
        <v>7</v>
      </c>
      <c r="L413">
        <v>1</v>
      </c>
      <c r="M413">
        <v>0</v>
      </c>
    </row>
    <row r="414" spans="1:13">
      <c r="A414">
        <v>17</v>
      </c>
      <c r="B414">
        <v>1</v>
      </c>
      <c r="C414">
        <v>7</v>
      </c>
      <c r="D414" s="6" t="e">
        <f>VLOOKUP(Tabla1[[#This Row],[ID_PARTIDO]],Original!$AT$1:$AY$46,2,FALSE)</f>
        <v>#VALUE!</v>
      </c>
      <c r="E414" s="6" t="e">
        <f>VLOOKUP(Tabla1[[#This Row],[ID_PARTIDO]],Original!$AT$1:$AY$46,3,FALSE)</f>
        <v>#VALUE!</v>
      </c>
      <c r="F414" s="6" t="e">
        <f>VLOOKUP(Tabla1[[#This Row],[ID_PARTIDO]],Original!$AT$1:$AY$46,4,FALSE)</f>
        <v>#VALUE!</v>
      </c>
      <c r="G414" s="6" t="e">
        <f>VLOOKUP(Tabla1[[#This Row],[ID_PARTIDO]],Original!$AT$1:$AY$46,5,FALSE)</f>
        <v>#VALUE!</v>
      </c>
      <c r="H414" t="s">
        <v>7</v>
      </c>
      <c r="I414" t="s">
        <v>14</v>
      </c>
      <c r="J414" t="s">
        <v>14</v>
      </c>
      <c r="K414" t="s">
        <v>7</v>
      </c>
      <c r="L414">
        <v>1</v>
      </c>
      <c r="M414">
        <v>0</v>
      </c>
    </row>
    <row r="415" spans="1:13">
      <c r="A415">
        <v>17</v>
      </c>
      <c r="B415">
        <v>1</v>
      </c>
      <c r="C415">
        <v>8</v>
      </c>
      <c r="D415" s="6" t="e">
        <f>VLOOKUP(Tabla1[[#This Row],[ID_PARTIDO]],Original!$AT$1:$AY$46,2,FALSE)</f>
        <v>#VALUE!</v>
      </c>
      <c r="E415" s="6" t="e">
        <f>VLOOKUP(Tabla1[[#This Row],[ID_PARTIDO]],Original!$AT$1:$AY$46,3,FALSE)</f>
        <v>#VALUE!</v>
      </c>
      <c r="F415" s="6" t="e">
        <f>VLOOKUP(Tabla1[[#This Row],[ID_PARTIDO]],Original!$AT$1:$AY$46,4,FALSE)</f>
        <v>#VALUE!</v>
      </c>
      <c r="G415" s="6" t="e">
        <f>VLOOKUP(Tabla1[[#This Row],[ID_PARTIDO]],Original!$AT$1:$AY$46,5,FALSE)</f>
        <v>#VALUE!</v>
      </c>
      <c r="H415" t="s">
        <v>7</v>
      </c>
      <c r="I415" t="s">
        <v>14</v>
      </c>
      <c r="J415" t="s">
        <v>14</v>
      </c>
      <c r="K415" t="s">
        <v>7</v>
      </c>
      <c r="L415">
        <v>0</v>
      </c>
      <c r="M415">
        <v>1</v>
      </c>
    </row>
    <row r="416" spans="1:13">
      <c r="A416">
        <v>17</v>
      </c>
      <c r="B416">
        <v>1</v>
      </c>
      <c r="C416">
        <v>9</v>
      </c>
      <c r="D416" s="6" t="e">
        <f>VLOOKUP(Tabla1[[#This Row],[ID_PARTIDO]],Original!$AT$1:$AY$46,2,FALSE)</f>
        <v>#VALUE!</v>
      </c>
      <c r="E416" s="6" t="e">
        <f>VLOOKUP(Tabla1[[#This Row],[ID_PARTIDO]],Original!$AT$1:$AY$46,3,FALSE)</f>
        <v>#VALUE!</v>
      </c>
      <c r="F416" s="6" t="e">
        <f>VLOOKUP(Tabla1[[#This Row],[ID_PARTIDO]],Original!$AT$1:$AY$46,4,FALSE)</f>
        <v>#VALUE!</v>
      </c>
      <c r="G416" s="6" t="e">
        <f>VLOOKUP(Tabla1[[#This Row],[ID_PARTIDO]],Original!$AT$1:$AY$46,5,FALSE)</f>
        <v>#VALUE!</v>
      </c>
      <c r="H416" t="s">
        <v>7</v>
      </c>
      <c r="I416" t="s">
        <v>14</v>
      </c>
      <c r="J416" t="s">
        <v>14</v>
      </c>
      <c r="K416" t="s">
        <v>7</v>
      </c>
      <c r="L416">
        <v>1</v>
      </c>
      <c r="M416">
        <v>0</v>
      </c>
    </row>
    <row r="417" spans="1:13">
      <c r="A417">
        <v>17</v>
      </c>
      <c r="B417">
        <v>1</v>
      </c>
      <c r="C417">
        <v>10</v>
      </c>
      <c r="D417" s="6" t="e">
        <f>VLOOKUP(Tabla1[[#This Row],[ID_PARTIDO]],Original!$AT$1:$AY$46,2,FALSE)</f>
        <v>#VALUE!</v>
      </c>
      <c r="E417" s="6" t="e">
        <f>VLOOKUP(Tabla1[[#This Row],[ID_PARTIDO]],Original!$AT$1:$AY$46,3,FALSE)</f>
        <v>#VALUE!</v>
      </c>
      <c r="F417" s="6" t="e">
        <f>VLOOKUP(Tabla1[[#This Row],[ID_PARTIDO]],Original!$AT$1:$AY$46,4,FALSE)</f>
        <v>#VALUE!</v>
      </c>
      <c r="G417" s="6" t="e">
        <f>VLOOKUP(Tabla1[[#This Row],[ID_PARTIDO]],Original!$AT$1:$AY$46,5,FALSE)</f>
        <v>#VALUE!</v>
      </c>
      <c r="H417" t="s">
        <v>7</v>
      </c>
      <c r="I417" t="s">
        <v>14</v>
      </c>
      <c r="J417" t="s">
        <v>14</v>
      </c>
      <c r="K417" t="s">
        <v>7</v>
      </c>
      <c r="L417">
        <v>1</v>
      </c>
      <c r="M417">
        <v>0</v>
      </c>
    </row>
    <row r="418" spans="1:13">
      <c r="A418">
        <v>17</v>
      </c>
      <c r="B418">
        <v>1</v>
      </c>
      <c r="C418">
        <v>11</v>
      </c>
      <c r="D418" s="6" t="e">
        <f>VLOOKUP(Tabla1[[#This Row],[ID_PARTIDO]],Original!$AT$1:$AY$46,2,FALSE)</f>
        <v>#VALUE!</v>
      </c>
      <c r="E418" s="6" t="e">
        <f>VLOOKUP(Tabla1[[#This Row],[ID_PARTIDO]],Original!$AT$1:$AY$46,3,FALSE)</f>
        <v>#VALUE!</v>
      </c>
      <c r="F418" s="6" t="e">
        <f>VLOOKUP(Tabla1[[#This Row],[ID_PARTIDO]],Original!$AT$1:$AY$46,4,FALSE)</f>
        <v>#VALUE!</v>
      </c>
      <c r="G418" s="6" t="e">
        <f>VLOOKUP(Tabla1[[#This Row],[ID_PARTIDO]],Original!$AT$1:$AY$46,5,FALSE)</f>
        <v>#VALUE!</v>
      </c>
      <c r="H418" t="s">
        <v>7</v>
      </c>
      <c r="I418" t="s">
        <v>14</v>
      </c>
      <c r="J418" t="s">
        <v>14</v>
      </c>
      <c r="K418" t="s">
        <v>7</v>
      </c>
      <c r="L418">
        <v>0</v>
      </c>
      <c r="M418">
        <v>1</v>
      </c>
    </row>
    <row r="419" spans="1:13">
      <c r="A419">
        <v>17</v>
      </c>
      <c r="B419">
        <v>1</v>
      </c>
      <c r="C419">
        <v>12</v>
      </c>
      <c r="D419" s="6" t="e">
        <f>VLOOKUP(Tabla1[[#This Row],[ID_PARTIDO]],Original!$AT$1:$AY$46,2,FALSE)</f>
        <v>#VALUE!</v>
      </c>
      <c r="E419" s="6" t="e">
        <f>VLOOKUP(Tabla1[[#This Row],[ID_PARTIDO]],Original!$AT$1:$AY$46,3,FALSE)</f>
        <v>#VALUE!</v>
      </c>
      <c r="F419" s="6" t="e">
        <f>VLOOKUP(Tabla1[[#This Row],[ID_PARTIDO]],Original!$AT$1:$AY$46,4,FALSE)</f>
        <v>#VALUE!</v>
      </c>
      <c r="G419" s="6" t="e">
        <f>VLOOKUP(Tabla1[[#This Row],[ID_PARTIDO]],Original!$AT$1:$AY$46,5,FALSE)</f>
        <v>#VALUE!</v>
      </c>
      <c r="H419" t="s">
        <v>7</v>
      </c>
      <c r="I419" t="s">
        <v>14</v>
      </c>
      <c r="J419" t="s">
        <v>14</v>
      </c>
      <c r="K419" t="s">
        <v>7</v>
      </c>
      <c r="L419">
        <v>0</v>
      </c>
      <c r="M419">
        <v>1</v>
      </c>
    </row>
    <row r="420" spans="1:13">
      <c r="A420">
        <v>19</v>
      </c>
      <c r="B420">
        <v>1</v>
      </c>
      <c r="C420">
        <v>1</v>
      </c>
      <c r="D420" s="6" t="e">
        <f>VLOOKUP(Tabla1[[#This Row],[ID_PARTIDO]],Original!$AT$1:$AY$46,2,FALSE)</f>
        <v>#VALUE!</v>
      </c>
      <c r="E420" s="6" t="e">
        <f>VLOOKUP(Tabla1[[#This Row],[ID_PARTIDO]],Original!$AT$1:$AY$46,3,FALSE)</f>
        <v>#VALUE!</v>
      </c>
      <c r="F420" s="6" t="e">
        <f>VLOOKUP(Tabla1[[#This Row],[ID_PARTIDO]],Original!$AT$1:$AY$46,4,FALSE)</f>
        <v>#VALUE!</v>
      </c>
      <c r="G420" s="6" t="e">
        <f>VLOOKUP(Tabla1[[#This Row],[ID_PARTIDO]],Original!$AT$1:$AY$46,5,FALSE)</f>
        <v>#VALUE!</v>
      </c>
      <c r="H420" t="s">
        <v>7</v>
      </c>
      <c r="I420" t="s">
        <v>14</v>
      </c>
      <c r="J420" t="s">
        <v>7</v>
      </c>
      <c r="K420" t="s">
        <v>14</v>
      </c>
      <c r="L420">
        <v>0</v>
      </c>
      <c r="M420">
        <v>1</v>
      </c>
    </row>
    <row r="421" spans="1:13">
      <c r="A421">
        <v>19</v>
      </c>
      <c r="B421">
        <v>1</v>
      </c>
      <c r="C421">
        <v>2</v>
      </c>
      <c r="D421" s="6" t="e">
        <f>VLOOKUP(Tabla1[[#This Row],[ID_PARTIDO]],Original!$AT$1:$AY$46,2,FALSE)</f>
        <v>#VALUE!</v>
      </c>
      <c r="E421" s="6" t="e">
        <f>VLOOKUP(Tabla1[[#This Row],[ID_PARTIDO]],Original!$AT$1:$AY$46,3,FALSE)</f>
        <v>#VALUE!</v>
      </c>
      <c r="F421" s="6" t="e">
        <f>VLOOKUP(Tabla1[[#This Row],[ID_PARTIDO]],Original!$AT$1:$AY$46,4,FALSE)</f>
        <v>#VALUE!</v>
      </c>
      <c r="G421" s="6" t="e">
        <f>VLOOKUP(Tabla1[[#This Row],[ID_PARTIDO]],Original!$AT$1:$AY$46,5,FALSE)</f>
        <v>#VALUE!</v>
      </c>
      <c r="H421" t="s">
        <v>7</v>
      </c>
      <c r="I421" t="s">
        <v>14</v>
      </c>
      <c r="J421" t="s">
        <v>7</v>
      </c>
      <c r="K421" t="s">
        <v>14</v>
      </c>
      <c r="L421">
        <v>1</v>
      </c>
      <c r="M421">
        <v>0</v>
      </c>
    </row>
    <row r="422" spans="1:13">
      <c r="A422">
        <v>19</v>
      </c>
      <c r="B422">
        <v>1</v>
      </c>
      <c r="C422">
        <v>3</v>
      </c>
      <c r="D422" s="6" t="e">
        <f>VLOOKUP(Tabla1[[#This Row],[ID_PARTIDO]],Original!$AT$1:$AY$46,2,FALSE)</f>
        <v>#VALUE!</v>
      </c>
      <c r="E422" s="6" t="e">
        <f>VLOOKUP(Tabla1[[#This Row],[ID_PARTIDO]],Original!$AT$1:$AY$46,3,FALSE)</f>
        <v>#VALUE!</v>
      </c>
      <c r="F422" s="6" t="e">
        <f>VLOOKUP(Tabla1[[#This Row],[ID_PARTIDO]],Original!$AT$1:$AY$46,4,FALSE)</f>
        <v>#VALUE!</v>
      </c>
      <c r="G422" s="6" t="e">
        <f>VLOOKUP(Tabla1[[#This Row],[ID_PARTIDO]],Original!$AT$1:$AY$46,5,FALSE)</f>
        <v>#VALUE!</v>
      </c>
      <c r="H422" t="s">
        <v>7</v>
      </c>
      <c r="I422" t="s">
        <v>14</v>
      </c>
      <c r="J422" t="s">
        <v>7</v>
      </c>
      <c r="K422" t="s">
        <v>14</v>
      </c>
      <c r="L422">
        <v>0</v>
      </c>
      <c r="M422">
        <v>1</v>
      </c>
    </row>
    <row r="423" spans="1:13">
      <c r="A423">
        <v>19</v>
      </c>
      <c r="B423">
        <v>1</v>
      </c>
      <c r="C423">
        <v>4</v>
      </c>
      <c r="D423" s="6" t="e">
        <f>VLOOKUP(Tabla1[[#This Row],[ID_PARTIDO]],Original!$AT$1:$AY$46,2,FALSE)</f>
        <v>#VALUE!</v>
      </c>
      <c r="E423" s="6" t="e">
        <f>VLOOKUP(Tabla1[[#This Row],[ID_PARTIDO]],Original!$AT$1:$AY$46,3,FALSE)</f>
        <v>#VALUE!</v>
      </c>
      <c r="F423" s="6" t="e">
        <f>VLOOKUP(Tabla1[[#This Row],[ID_PARTIDO]],Original!$AT$1:$AY$46,4,FALSE)</f>
        <v>#VALUE!</v>
      </c>
      <c r="G423" s="6" t="e">
        <f>VLOOKUP(Tabla1[[#This Row],[ID_PARTIDO]],Original!$AT$1:$AY$46,5,FALSE)</f>
        <v>#VALUE!</v>
      </c>
      <c r="H423" t="s">
        <v>7</v>
      </c>
      <c r="I423" t="s">
        <v>14</v>
      </c>
      <c r="J423" t="s">
        <v>7</v>
      </c>
      <c r="K423" t="s">
        <v>14</v>
      </c>
      <c r="L423">
        <v>1</v>
      </c>
      <c r="M423">
        <v>0</v>
      </c>
    </row>
    <row r="424" spans="1:13">
      <c r="A424">
        <v>19</v>
      </c>
      <c r="B424">
        <v>1</v>
      </c>
      <c r="C424">
        <v>5</v>
      </c>
      <c r="D424" s="6" t="e">
        <f>VLOOKUP(Tabla1[[#This Row],[ID_PARTIDO]],Original!$AT$1:$AY$46,2,FALSE)</f>
        <v>#VALUE!</v>
      </c>
      <c r="E424" s="6" t="e">
        <f>VLOOKUP(Tabla1[[#This Row],[ID_PARTIDO]],Original!$AT$1:$AY$46,3,FALSE)</f>
        <v>#VALUE!</v>
      </c>
      <c r="F424" s="6" t="e">
        <f>VLOOKUP(Tabla1[[#This Row],[ID_PARTIDO]],Original!$AT$1:$AY$46,4,FALSE)</f>
        <v>#VALUE!</v>
      </c>
      <c r="G424" s="6" t="e">
        <f>VLOOKUP(Tabla1[[#This Row],[ID_PARTIDO]],Original!$AT$1:$AY$46,5,FALSE)</f>
        <v>#VALUE!</v>
      </c>
      <c r="H424" t="s">
        <v>7</v>
      </c>
      <c r="I424" t="s">
        <v>14</v>
      </c>
      <c r="J424" t="s">
        <v>7</v>
      </c>
      <c r="K424" t="s">
        <v>14</v>
      </c>
      <c r="L424">
        <v>1</v>
      </c>
      <c r="M424">
        <v>0</v>
      </c>
    </row>
    <row r="425" spans="1:13">
      <c r="A425">
        <v>19</v>
      </c>
      <c r="B425">
        <v>1</v>
      </c>
      <c r="C425">
        <v>6</v>
      </c>
      <c r="D425" s="6" t="e">
        <f>VLOOKUP(Tabla1[[#This Row],[ID_PARTIDO]],Original!$AT$1:$AY$46,2,FALSE)</f>
        <v>#VALUE!</v>
      </c>
      <c r="E425" s="6" t="e">
        <f>VLOOKUP(Tabla1[[#This Row],[ID_PARTIDO]],Original!$AT$1:$AY$46,3,FALSE)</f>
        <v>#VALUE!</v>
      </c>
      <c r="F425" s="6" t="e">
        <f>VLOOKUP(Tabla1[[#This Row],[ID_PARTIDO]],Original!$AT$1:$AY$46,4,FALSE)</f>
        <v>#VALUE!</v>
      </c>
      <c r="G425" s="6" t="e">
        <f>VLOOKUP(Tabla1[[#This Row],[ID_PARTIDO]],Original!$AT$1:$AY$46,5,FALSE)</f>
        <v>#VALUE!</v>
      </c>
      <c r="H425" t="s">
        <v>7</v>
      </c>
      <c r="I425" t="s">
        <v>14</v>
      </c>
      <c r="J425" t="s">
        <v>7</v>
      </c>
      <c r="K425" t="s">
        <v>14</v>
      </c>
      <c r="L425">
        <v>0</v>
      </c>
      <c r="M425">
        <v>1</v>
      </c>
    </row>
    <row r="426" spans="1:13">
      <c r="A426">
        <v>19</v>
      </c>
      <c r="B426">
        <v>1</v>
      </c>
      <c r="C426">
        <v>7</v>
      </c>
      <c r="D426" s="6" t="e">
        <f>VLOOKUP(Tabla1[[#This Row],[ID_PARTIDO]],Original!$AT$1:$AY$46,2,FALSE)</f>
        <v>#VALUE!</v>
      </c>
      <c r="E426" s="6" t="e">
        <f>VLOOKUP(Tabla1[[#This Row],[ID_PARTIDO]],Original!$AT$1:$AY$46,3,FALSE)</f>
        <v>#VALUE!</v>
      </c>
      <c r="F426" s="6" t="e">
        <f>VLOOKUP(Tabla1[[#This Row],[ID_PARTIDO]],Original!$AT$1:$AY$46,4,FALSE)</f>
        <v>#VALUE!</v>
      </c>
      <c r="G426" s="6" t="e">
        <f>VLOOKUP(Tabla1[[#This Row],[ID_PARTIDO]],Original!$AT$1:$AY$46,5,FALSE)</f>
        <v>#VALUE!</v>
      </c>
      <c r="H426" t="s">
        <v>7</v>
      </c>
      <c r="I426" t="s">
        <v>14</v>
      </c>
      <c r="J426" t="s">
        <v>7</v>
      </c>
      <c r="K426" t="s">
        <v>14</v>
      </c>
      <c r="L426">
        <v>1</v>
      </c>
      <c r="M426">
        <v>0</v>
      </c>
    </row>
    <row r="427" spans="1:13">
      <c r="A427">
        <v>19</v>
      </c>
      <c r="B427">
        <v>1</v>
      </c>
      <c r="C427">
        <v>8</v>
      </c>
      <c r="D427" s="6" t="e">
        <f>VLOOKUP(Tabla1[[#This Row],[ID_PARTIDO]],Original!$AT$1:$AY$46,2,FALSE)</f>
        <v>#VALUE!</v>
      </c>
      <c r="E427" s="6" t="e">
        <f>VLOOKUP(Tabla1[[#This Row],[ID_PARTIDO]],Original!$AT$1:$AY$46,3,FALSE)</f>
        <v>#VALUE!</v>
      </c>
      <c r="F427" s="6" t="e">
        <f>VLOOKUP(Tabla1[[#This Row],[ID_PARTIDO]],Original!$AT$1:$AY$46,4,FALSE)</f>
        <v>#VALUE!</v>
      </c>
      <c r="G427" s="6" t="e">
        <f>VLOOKUP(Tabla1[[#This Row],[ID_PARTIDO]],Original!$AT$1:$AY$46,5,FALSE)</f>
        <v>#VALUE!</v>
      </c>
      <c r="H427" t="s">
        <v>7</v>
      </c>
      <c r="I427" t="s">
        <v>14</v>
      </c>
      <c r="J427" t="s">
        <v>7</v>
      </c>
      <c r="K427" t="s">
        <v>14</v>
      </c>
      <c r="L427">
        <v>1</v>
      </c>
      <c r="M427">
        <v>0</v>
      </c>
    </row>
    <row r="428" spans="1:13">
      <c r="A428">
        <v>19</v>
      </c>
      <c r="B428">
        <v>1</v>
      </c>
      <c r="C428">
        <v>9</v>
      </c>
      <c r="D428" s="6" t="e">
        <f>VLOOKUP(Tabla1[[#This Row],[ID_PARTIDO]],Original!$AT$1:$AY$46,2,FALSE)</f>
        <v>#VALUE!</v>
      </c>
      <c r="E428" s="6" t="e">
        <f>VLOOKUP(Tabla1[[#This Row],[ID_PARTIDO]],Original!$AT$1:$AY$46,3,FALSE)</f>
        <v>#VALUE!</v>
      </c>
      <c r="F428" s="6" t="e">
        <f>VLOOKUP(Tabla1[[#This Row],[ID_PARTIDO]],Original!$AT$1:$AY$46,4,FALSE)</f>
        <v>#VALUE!</v>
      </c>
      <c r="G428" s="6" t="e">
        <f>VLOOKUP(Tabla1[[#This Row],[ID_PARTIDO]],Original!$AT$1:$AY$46,5,FALSE)</f>
        <v>#VALUE!</v>
      </c>
      <c r="H428" t="s">
        <v>7</v>
      </c>
      <c r="I428" t="s">
        <v>14</v>
      </c>
      <c r="J428" t="s">
        <v>7</v>
      </c>
      <c r="K428" t="s">
        <v>14</v>
      </c>
      <c r="L428">
        <v>1</v>
      </c>
      <c r="M428">
        <v>0</v>
      </c>
    </row>
    <row r="429" spans="1:13">
      <c r="A429">
        <v>19</v>
      </c>
      <c r="B429">
        <v>1</v>
      </c>
      <c r="C429">
        <v>10</v>
      </c>
      <c r="D429" s="6" t="e">
        <f>VLOOKUP(Tabla1[[#This Row],[ID_PARTIDO]],Original!$AT$1:$AY$46,2,FALSE)</f>
        <v>#VALUE!</v>
      </c>
      <c r="E429" s="6" t="e">
        <f>VLOOKUP(Tabla1[[#This Row],[ID_PARTIDO]],Original!$AT$1:$AY$46,3,FALSE)</f>
        <v>#VALUE!</v>
      </c>
      <c r="F429" s="6" t="e">
        <f>VLOOKUP(Tabla1[[#This Row],[ID_PARTIDO]],Original!$AT$1:$AY$46,4,FALSE)</f>
        <v>#VALUE!</v>
      </c>
      <c r="G429" s="6" t="e">
        <f>VLOOKUP(Tabla1[[#This Row],[ID_PARTIDO]],Original!$AT$1:$AY$46,5,FALSE)</f>
        <v>#VALUE!</v>
      </c>
      <c r="H429" t="s">
        <v>7</v>
      </c>
      <c r="I429" t="s">
        <v>14</v>
      </c>
      <c r="J429" t="s">
        <v>7</v>
      </c>
      <c r="K429" t="s">
        <v>14</v>
      </c>
      <c r="L429">
        <v>0</v>
      </c>
      <c r="M429">
        <v>1</v>
      </c>
    </row>
    <row r="430" spans="1:13">
      <c r="A430">
        <v>19</v>
      </c>
      <c r="B430">
        <v>1</v>
      </c>
      <c r="C430">
        <v>11</v>
      </c>
      <c r="D430" s="6" t="e">
        <f>VLOOKUP(Tabla1[[#This Row],[ID_PARTIDO]],Original!$AT$1:$AY$46,2,FALSE)</f>
        <v>#VALUE!</v>
      </c>
      <c r="E430" s="6" t="e">
        <f>VLOOKUP(Tabla1[[#This Row],[ID_PARTIDO]],Original!$AT$1:$AY$46,3,FALSE)</f>
        <v>#VALUE!</v>
      </c>
      <c r="F430" s="6" t="e">
        <f>VLOOKUP(Tabla1[[#This Row],[ID_PARTIDO]],Original!$AT$1:$AY$46,4,FALSE)</f>
        <v>#VALUE!</v>
      </c>
      <c r="G430" s="6" t="e">
        <f>VLOOKUP(Tabla1[[#This Row],[ID_PARTIDO]],Original!$AT$1:$AY$46,5,FALSE)</f>
        <v>#VALUE!</v>
      </c>
      <c r="H430" t="s">
        <v>7</v>
      </c>
      <c r="I430" t="s">
        <v>14</v>
      </c>
      <c r="J430" t="s">
        <v>7</v>
      </c>
      <c r="K430" t="s">
        <v>14</v>
      </c>
      <c r="L430">
        <v>1</v>
      </c>
      <c r="M430">
        <v>0</v>
      </c>
    </row>
    <row r="431" spans="1:13">
      <c r="A431">
        <v>41</v>
      </c>
      <c r="B431">
        <v>1</v>
      </c>
      <c r="C431">
        <v>1</v>
      </c>
      <c r="D431" s="6" t="e">
        <f>VLOOKUP(Tabla1[[#This Row],[ID_PARTIDO]],Original!$AT$1:$AY$46,2,FALSE)</f>
        <v>#VALUE!</v>
      </c>
      <c r="E431" s="6" t="e">
        <f>VLOOKUP(Tabla1[[#This Row],[ID_PARTIDO]],Original!$AT$1:$AY$46,3,FALSE)</f>
        <v>#VALUE!</v>
      </c>
      <c r="F431" s="6" t="e">
        <f>VLOOKUP(Tabla1[[#This Row],[ID_PARTIDO]],Original!$AT$1:$AY$46,4,FALSE)</f>
        <v>#VALUE!</v>
      </c>
      <c r="G431" s="6" t="e">
        <f>VLOOKUP(Tabla1[[#This Row],[ID_PARTIDO]],Original!$AT$1:$AY$46,5,FALSE)</f>
        <v>#VALUE!</v>
      </c>
      <c r="H431" t="s">
        <v>7</v>
      </c>
      <c r="I431" t="s">
        <v>14</v>
      </c>
      <c r="J431" t="s">
        <v>7</v>
      </c>
      <c r="K431" t="s">
        <v>14</v>
      </c>
      <c r="L431">
        <v>0</v>
      </c>
      <c r="M431">
        <v>1</v>
      </c>
    </row>
    <row r="432" spans="1:13">
      <c r="A432">
        <v>41</v>
      </c>
      <c r="B432">
        <v>1</v>
      </c>
      <c r="C432">
        <v>2</v>
      </c>
      <c r="D432" s="6" t="e">
        <f>VLOOKUP(Tabla1[[#This Row],[ID_PARTIDO]],Original!$AT$1:$AY$46,2,FALSE)</f>
        <v>#VALUE!</v>
      </c>
      <c r="E432" s="6" t="e">
        <f>VLOOKUP(Tabla1[[#This Row],[ID_PARTIDO]],Original!$AT$1:$AY$46,3,FALSE)</f>
        <v>#VALUE!</v>
      </c>
      <c r="F432" s="6" t="e">
        <f>VLOOKUP(Tabla1[[#This Row],[ID_PARTIDO]],Original!$AT$1:$AY$46,4,FALSE)</f>
        <v>#VALUE!</v>
      </c>
      <c r="G432" s="6" t="e">
        <f>VLOOKUP(Tabla1[[#This Row],[ID_PARTIDO]],Original!$AT$1:$AY$46,5,FALSE)</f>
        <v>#VALUE!</v>
      </c>
      <c r="H432" t="s">
        <v>7</v>
      </c>
      <c r="I432" t="s">
        <v>14</v>
      </c>
      <c r="J432" t="s">
        <v>7</v>
      </c>
      <c r="K432" t="s">
        <v>14</v>
      </c>
      <c r="L432">
        <v>1</v>
      </c>
      <c r="M432">
        <v>0</v>
      </c>
    </row>
    <row r="433" spans="1:13">
      <c r="A433">
        <v>41</v>
      </c>
      <c r="B433">
        <v>1</v>
      </c>
      <c r="C433">
        <v>3</v>
      </c>
      <c r="D433" s="6" t="e">
        <f>VLOOKUP(Tabla1[[#This Row],[ID_PARTIDO]],Original!$AT$1:$AY$46,2,FALSE)</f>
        <v>#VALUE!</v>
      </c>
      <c r="E433" s="6" t="e">
        <f>VLOOKUP(Tabla1[[#This Row],[ID_PARTIDO]],Original!$AT$1:$AY$46,3,FALSE)</f>
        <v>#VALUE!</v>
      </c>
      <c r="F433" s="6" t="e">
        <f>VLOOKUP(Tabla1[[#This Row],[ID_PARTIDO]],Original!$AT$1:$AY$46,4,FALSE)</f>
        <v>#VALUE!</v>
      </c>
      <c r="G433" s="6" t="e">
        <f>VLOOKUP(Tabla1[[#This Row],[ID_PARTIDO]],Original!$AT$1:$AY$46,5,FALSE)</f>
        <v>#VALUE!</v>
      </c>
      <c r="H433" t="s">
        <v>7</v>
      </c>
      <c r="I433" t="s">
        <v>14</v>
      </c>
      <c r="J433" t="s">
        <v>7</v>
      </c>
      <c r="K433" t="s">
        <v>14</v>
      </c>
      <c r="L433">
        <v>0</v>
      </c>
      <c r="M433">
        <v>1</v>
      </c>
    </row>
    <row r="434" spans="1:13">
      <c r="A434">
        <v>41</v>
      </c>
      <c r="B434">
        <v>1</v>
      </c>
      <c r="C434">
        <v>4</v>
      </c>
      <c r="D434" s="6" t="e">
        <f>VLOOKUP(Tabla1[[#This Row],[ID_PARTIDO]],Original!$AT$1:$AY$46,2,FALSE)</f>
        <v>#VALUE!</v>
      </c>
      <c r="E434" s="6" t="e">
        <f>VLOOKUP(Tabla1[[#This Row],[ID_PARTIDO]],Original!$AT$1:$AY$46,3,FALSE)</f>
        <v>#VALUE!</v>
      </c>
      <c r="F434" s="6" t="e">
        <f>VLOOKUP(Tabla1[[#This Row],[ID_PARTIDO]],Original!$AT$1:$AY$46,4,FALSE)</f>
        <v>#VALUE!</v>
      </c>
      <c r="G434" s="6" t="e">
        <f>VLOOKUP(Tabla1[[#This Row],[ID_PARTIDO]],Original!$AT$1:$AY$46,5,FALSE)</f>
        <v>#VALUE!</v>
      </c>
      <c r="H434" t="s">
        <v>7</v>
      </c>
      <c r="I434" t="s">
        <v>14</v>
      </c>
      <c r="J434" t="s">
        <v>7</v>
      </c>
      <c r="K434" t="s">
        <v>14</v>
      </c>
      <c r="L434">
        <v>0</v>
      </c>
      <c r="M434">
        <v>1</v>
      </c>
    </row>
    <row r="435" spans="1:13">
      <c r="A435">
        <v>41</v>
      </c>
      <c r="B435">
        <v>1</v>
      </c>
      <c r="C435">
        <v>5</v>
      </c>
      <c r="D435" s="6" t="e">
        <f>VLOOKUP(Tabla1[[#This Row],[ID_PARTIDO]],Original!$AT$1:$AY$46,2,FALSE)</f>
        <v>#VALUE!</v>
      </c>
      <c r="E435" s="6" t="e">
        <f>VLOOKUP(Tabla1[[#This Row],[ID_PARTIDO]],Original!$AT$1:$AY$46,3,FALSE)</f>
        <v>#VALUE!</v>
      </c>
      <c r="F435" s="6" t="e">
        <f>VLOOKUP(Tabla1[[#This Row],[ID_PARTIDO]],Original!$AT$1:$AY$46,4,FALSE)</f>
        <v>#VALUE!</v>
      </c>
      <c r="G435" s="6" t="e">
        <f>VLOOKUP(Tabla1[[#This Row],[ID_PARTIDO]],Original!$AT$1:$AY$46,5,FALSE)</f>
        <v>#VALUE!</v>
      </c>
      <c r="H435" t="s">
        <v>7</v>
      </c>
      <c r="I435" t="s">
        <v>14</v>
      </c>
      <c r="J435" t="s">
        <v>7</v>
      </c>
      <c r="K435" t="s">
        <v>14</v>
      </c>
      <c r="L435">
        <v>1</v>
      </c>
      <c r="M435">
        <v>0</v>
      </c>
    </row>
    <row r="436" spans="1:13">
      <c r="A436">
        <v>41</v>
      </c>
      <c r="B436">
        <v>1</v>
      </c>
      <c r="C436">
        <v>6</v>
      </c>
      <c r="D436" s="6" t="e">
        <f>VLOOKUP(Tabla1[[#This Row],[ID_PARTIDO]],Original!$AT$1:$AY$46,2,FALSE)</f>
        <v>#VALUE!</v>
      </c>
      <c r="E436" s="6" t="e">
        <f>VLOOKUP(Tabla1[[#This Row],[ID_PARTIDO]],Original!$AT$1:$AY$46,3,FALSE)</f>
        <v>#VALUE!</v>
      </c>
      <c r="F436" s="6" t="e">
        <f>VLOOKUP(Tabla1[[#This Row],[ID_PARTIDO]],Original!$AT$1:$AY$46,4,FALSE)</f>
        <v>#VALUE!</v>
      </c>
      <c r="G436" s="6" t="e">
        <f>VLOOKUP(Tabla1[[#This Row],[ID_PARTIDO]],Original!$AT$1:$AY$46,5,FALSE)</f>
        <v>#VALUE!</v>
      </c>
      <c r="H436" t="s">
        <v>7</v>
      </c>
      <c r="I436" t="s">
        <v>14</v>
      </c>
      <c r="J436" t="s">
        <v>7</v>
      </c>
      <c r="K436" t="s">
        <v>14</v>
      </c>
      <c r="L436">
        <v>0</v>
      </c>
      <c r="M436">
        <v>1</v>
      </c>
    </row>
    <row r="437" spans="1:13">
      <c r="A437">
        <v>41</v>
      </c>
      <c r="B437">
        <v>1</v>
      </c>
      <c r="C437">
        <v>7</v>
      </c>
      <c r="D437" s="6" t="e">
        <f>VLOOKUP(Tabla1[[#This Row],[ID_PARTIDO]],Original!$AT$1:$AY$46,2,FALSE)</f>
        <v>#VALUE!</v>
      </c>
      <c r="E437" s="6" t="e">
        <f>VLOOKUP(Tabla1[[#This Row],[ID_PARTIDO]],Original!$AT$1:$AY$46,3,FALSE)</f>
        <v>#VALUE!</v>
      </c>
      <c r="F437" s="6" t="e">
        <f>VLOOKUP(Tabla1[[#This Row],[ID_PARTIDO]],Original!$AT$1:$AY$46,4,FALSE)</f>
        <v>#VALUE!</v>
      </c>
      <c r="G437" s="6" t="e">
        <f>VLOOKUP(Tabla1[[#This Row],[ID_PARTIDO]],Original!$AT$1:$AY$46,5,FALSE)</f>
        <v>#VALUE!</v>
      </c>
      <c r="H437" t="s">
        <v>7</v>
      </c>
      <c r="I437" t="s">
        <v>14</v>
      </c>
      <c r="J437" t="s">
        <v>7</v>
      </c>
      <c r="K437" t="s">
        <v>14</v>
      </c>
      <c r="L437">
        <v>1</v>
      </c>
      <c r="M437">
        <v>0</v>
      </c>
    </row>
    <row r="438" spans="1:13">
      <c r="A438">
        <v>41</v>
      </c>
      <c r="B438">
        <v>1</v>
      </c>
      <c r="C438">
        <v>8</v>
      </c>
      <c r="D438" s="6" t="e">
        <f>VLOOKUP(Tabla1[[#This Row],[ID_PARTIDO]],Original!$AT$1:$AY$46,2,FALSE)</f>
        <v>#VALUE!</v>
      </c>
      <c r="E438" s="6" t="e">
        <f>VLOOKUP(Tabla1[[#This Row],[ID_PARTIDO]],Original!$AT$1:$AY$46,3,FALSE)</f>
        <v>#VALUE!</v>
      </c>
      <c r="F438" s="6" t="e">
        <f>VLOOKUP(Tabla1[[#This Row],[ID_PARTIDO]],Original!$AT$1:$AY$46,4,FALSE)</f>
        <v>#VALUE!</v>
      </c>
      <c r="G438" s="6" t="e">
        <f>VLOOKUP(Tabla1[[#This Row],[ID_PARTIDO]],Original!$AT$1:$AY$46,5,FALSE)</f>
        <v>#VALUE!</v>
      </c>
      <c r="H438" t="s">
        <v>7</v>
      </c>
      <c r="I438" t="s">
        <v>14</v>
      </c>
      <c r="J438" t="s">
        <v>7</v>
      </c>
      <c r="K438" t="s">
        <v>14</v>
      </c>
      <c r="L438">
        <v>0</v>
      </c>
      <c r="M438">
        <v>1</v>
      </c>
    </row>
    <row r="439" spans="1:13">
      <c r="A439">
        <v>41</v>
      </c>
      <c r="B439">
        <v>1</v>
      </c>
      <c r="C439">
        <v>9</v>
      </c>
      <c r="D439" s="6" t="e">
        <f>VLOOKUP(Tabla1[[#This Row],[ID_PARTIDO]],Original!$AT$1:$AY$46,2,FALSE)</f>
        <v>#VALUE!</v>
      </c>
      <c r="E439" s="6" t="e">
        <f>VLOOKUP(Tabla1[[#This Row],[ID_PARTIDO]],Original!$AT$1:$AY$46,3,FALSE)</f>
        <v>#VALUE!</v>
      </c>
      <c r="F439" s="6" t="e">
        <f>VLOOKUP(Tabla1[[#This Row],[ID_PARTIDO]],Original!$AT$1:$AY$46,4,FALSE)</f>
        <v>#VALUE!</v>
      </c>
      <c r="G439" s="6" t="e">
        <f>VLOOKUP(Tabla1[[#This Row],[ID_PARTIDO]],Original!$AT$1:$AY$46,5,FALSE)</f>
        <v>#VALUE!</v>
      </c>
      <c r="H439" t="s">
        <v>7</v>
      </c>
      <c r="I439" t="s">
        <v>14</v>
      </c>
      <c r="J439" t="s">
        <v>7</v>
      </c>
      <c r="K439" t="s">
        <v>14</v>
      </c>
      <c r="L439">
        <v>0</v>
      </c>
      <c r="M439">
        <v>1</v>
      </c>
    </row>
    <row r="440" spans="1:13">
      <c r="A440">
        <v>41</v>
      </c>
      <c r="B440">
        <v>1</v>
      </c>
      <c r="C440">
        <v>10</v>
      </c>
      <c r="D440" s="6" t="e">
        <f>VLOOKUP(Tabla1[[#This Row],[ID_PARTIDO]],Original!$AT$1:$AY$46,2,FALSE)</f>
        <v>#VALUE!</v>
      </c>
      <c r="E440" s="6" t="e">
        <f>VLOOKUP(Tabla1[[#This Row],[ID_PARTIDO]],Original!$AT$1:$AY$46,3,FALSE)</f>
        <v>#VALUE!</v>
      </c>
      <c r="F440" s="6" t="e">
        <f>VLOOKUP(Tabla1[[#This Row],[ID_PARTIDO]],Original!$AT$1:$AY$46,4,FALSE)</f>
        <v>#VALUE!</v>
      </c>
      <c r="G440" s="6" t="e">
        <f>VLOOKUP(Tabla1[[#This Row],[ID_PARTIDO]],Original!$AT$1:$AY$46,5,FALSE)</f>
        <v>#VALUE!</v>
      </c>
      <c r="H440" t="s">
        <v>7</v>
      </c>
      <c r="I440" t="s">
        <v>14</v>
      </c>
      <c r="J440" t="s">
        <v>7</v>
      </c>
      <c r="K440" t="s">
        <v>14</v>
      </c>
      <c r="L440">
        <v>1</v>
      </c>
      <c r="M440">
        <v>0</v>
      </c>
    </row>
    <row r="441" spans="1:13">
      <c r="A441">
        <v>41</v>
      </c>
      <c r="B441">
        <v>1</v>
      </c>
      <c r="C441">
        <v>11</v>
      </c>
      <c r="D441" s="6" t="e">
        <f>VLOOKUP(Tabla1[[#This Row],[ID_PARTIDO]],Original!$AT$1:$AY$46,2,FALSE)</f>
        <v>#VALUE!</v>
      </c>
      <c r="E441" s="6" t="e">
        <f>VLOOKUP(Tabla1[[#This Row],[ID_PARTIDO]],Original!$AT$1:$AY$46,3,FALSE)</f>
        <v>#VALUE!</v>
      </c>
      <c r="F441" s="6" t="e">
        <f>VLOOKUP(Tabla1[[#This Row],[ID_PARTIDO]],Original!$AT$1:$AY$46,4,FALSE)</f>
        <v>#VALUE!</v>
      </c>
      <c r="G441" s="6" t="e">
        <f>VLOOKUP(Tabla1[[#This Row],[ID_PARTIDO]],Original!$AT$1:$AY$46,5,FALSE)</f>
        <v>#VALUE!</v>
      </c>
      <c r="H441" t="s">
        <v>7</v>
      </c>
      <c r="I441" t="s">
        <v>14</v>
      </c>
      <c r="J441" t="s">
        <v>7</v>
      </c>
      <c r="K441" t="s">
        <v>14</v>
      </c>
      <c r="L441">
        <v>1</v>
      </c>
      <c r="M441">
        <v>0</v>
      </c>
    </row>
    <row r="442" spans="1:13">
      <c r="A442">
        <v>41</v>
      </c>
      <c r="B442">
        <v>1</v>
      </c>
      <c r="C442">
        <v>12</v>
      </c>
      <c r="D442" s="6" t="e">
        <f>VLOOKUP(Tabla1[[#This Row],[ID_PARTIDO]],Original!$AT$1:$AY$46,2,FALSE)</f>
        <v>#VALUE!</v>
      </c>
      <c r="E442" s="6" t="e">
        <f>VLOOKUP(Tabla1[[#This Row],[ID_PARTIDO]],Original!$AT$1:$AY$46,3,FALSE)</f>
        <v>#VALUE!</v>
      </c>
      <c r="F442" s="6" t="e">
        <f>VLOOKUP(Tabla1[[#This Row],[ID_PARTIDO]],Original!$AT$1:$AY$46,4,FALSE)</f>
        <v>#VALUE!</v>
      </c>
      <c r="G442" s="6" t="e">
        <f>VLOOKUP(Tabla1[[#This Row],[ID_PARTIDO]],Original!$AT$1:$AY$46,5,FALSE)</f>
        <v>#VALUE!</v>
      </c>
      <c r="H442" t="s">
        <v>7</v>
      </c>
      <c r="I442" t="s">
        <v>14</v>
      </c>
      <c r="J442" t="s">
        <v>7</v>
      </c>
      <c r="K442" t="s">
        <v>14</v>
      </c>
      <c r="L442">
        <v>0</v>
      </c>
      <c r="M442">
        <v>1</v>
      </c>
    </row>
    <row r="443" spans="1:13">
      <c r="A443">
        <v>7</v>
      </c>
      <c r="B443">
        <v>1</v>
      </c>
      <c r="C443">
        <v>1</v>
      </c>
      <c r="D443" s="6" t="e">
        <f>VLOOKUP(Tabla1[[#This Row],[ID_PARTIDO]],Original!$AT$1:$AY$46,2,FALSE)</f>
        <v>#VALUE!</v>
      </c>
      <c r="E443" s="6" t="e">
        <f>VLOOKUP(Tabla1[[#This Row],[ID_PARTIDO]],Original!$AT$1:$AY$46,3,FALSE)</f>
        <v>#VALUE!</v>
      </c>
      <c r="F443" s="6" t="e">
        <f>VLOOKUP(Tabla1[[#This Row],[ID_PARTIDO]],Original!$AT$1:$AY$46,4,FALSE)</f>
        <v>#VALUE!</v>
      </c>
      <c r="G443" s="6" t="e">
        <f>VLOOKUP(Tabla1[[#This Row],[ID_PARTIDO]],Original!$AT$1:$AY$46,5,FALSE)</f>
        <v>#VALUE!</v>
      </c>
      <c r="H443" t="s">
        <v>7</v>
      </c>
      <c r="I443" t="s">
        <v>14</v>
      </c>
      <c r="J443" t="s">
        <v>7</v>
      </c>
      <c r="K443" t="s">
        <v>14</v>
      </c>
      <c r="L443">
        <v>1</v>
      </c>
      <c r="M443">
        <v>0</v>
      </c>
    </row>
    <row r="444" spans="1:13">
      <c r="A444">
        <v>7</v>
      </c>
      <c r="B444">
        <v>1</v>
      </c>
      <c r="C444">
        <v>2</v>
      </c>
      <c r="D444" s="6" t="e">
        <f>VLOOKUP(Tabla1[[#This Row],[ID_PARTIDO]],Original!$AT$1:$AY$46,2,FALSE)</f>
        <v>#VALUE!</v>
      </c>
      <c r="E444" s="6" t="e">
        <f>VLOOKUP(Tabla1[[#This Row],[ID_PARTIDO]],Original!$AT$1:$AY$46,3,FALSE)</f>
        <v>#VALUE!</v>
      </c>
      <c r="F444" s="6" t="e">
        <f>VLOOKUP(Tabla1[[#This Row],[ID_PARTIDO]],Original!$AT$1:$AY$46,4,FALSE)</f>
        <v>#VALUE!</v>
      </c>
      <c r="G444" s="6" t="e">
        <f>VLOOKUP(Tabla1[[#This Row],[ID_PARTIDO]],Original!$AT$1:$AY$46,5,FALSE)</f>
        <v>#VALUE!</v>
      </c>
      <c r="H444" t="s">
        <v>7</v>
      </c>
      <c r="I444" t="s">
        <v>14</v>
      </c>
      <c r="J444" t="s">
        <v>7</v>
      </c>
      <c r="K444" t="s">
        <v>14</v>
      </c>
      <c r="L444">
        <v>1</v>
      </c>
      <c r="M444">
        <v>0</v>
      </c>
    </row>
    <row r="445" spans="1:13">
      <c r="A445">
        <v>7</v>
      </c>
      <c r="B445">
        <v>1</v>
      </c>
      <c r="C445">
        <v>3</v>
      </c>
      <c r="D445" s="6" t="e">
        <f>VLOOKUP(Tabla1[[#This Row],[ID_PARTIDO]],Original!$AT$1:$AY$46,2,FALSE)</f>
        <v>#VALUE!</v>
      </c>
      <c r="E445" s="6" t="e">
        <f>VLOOKUP(Tabla1[[#This Row],[ID_PARTIDO]],Original!$AT$1:$AY$46,3,FALSE)</f>
        <v>#VALUE!</v>
      </c>
      <c r="F445" s="6" t="e">
        <f>VLOOKUP(Tabla1[[#This Row],[ID_PARTIDO]],Original!$AT$1:$AY$46,4,FALSE)</f>
        <v>#VALUE!</v>
      </c>
      <c r="G445" s="6" t="e">
        <f>VLOOKUP(Tabla1[[#This Row],[ID_PARTIDO]],Original!$AT$1:$AY$46,5,FALSE)</f>
        <v>#VALUE!</v>
      </c>
      <c r="H445" t="s">
        <v>7</v>
      </c>
      <c r="I445" t="s">
        <v>14</v>
      </c>
      <c r="J445" t="s">
        <v>7</v>
      </c>
      <c r="K445" t="s">
        <v>14</v>
      </c>
      <c r="L445">
        <v>0</v>
      </c>
      <c r="M445">
        <v>1</v>
      </c>
    </row>
    <row r="446" spans="1:13">
      <c r="A446">
        <v>7</v>
      </c>
      <c r="B446">
        <v>1</v>
      </c>
      <c r="C446">
        <v>4</v>
      </c>
      <c r="D446" s="6" t="e">
        <f>VLOOKUP(Tabla1[[#This Row],[ID_PARTIDO]],Original!$AT$1:$AY$46,2,FALSE)</f>
        <v>#VALUE!</v>
      </c>
      <c r="E446" s="6" t="e">
        <f>VLOOKUP(Tabla1[[#This Row],[ID_PARTIDO]],Original!$AT$1:$AY$46,3,FALSE)</f>
        <v>#VALUE!</v>
      </c>
      <c r="F446" s="6" t="e">
        <f>VLOOKUP(Tabla1[[#This Row],[ID_PARTIDO]],Original!$AT$1:$AY$46,4,FALSE)</f>
        <v>#VALUE!</v>
      </c>
      <c r="G446" s="6" t="e">
        <f>VLOOKUP(Tabla1[[#This Row],[ID_PARTIDO]],Original!$AT$1:$AY$46,5,FALSE)</f>
        <v>#VALUE!</v>
      </c>
      <c r="H446" t="s">
        <v>7</v>
      </c>
      <c r="I446" t="s">
        <v>14</v>
      </c>
      <c r="J446" t="s">
        <v>7</v>
      </c>
      <c r="K446" t="s">
        <v>14</v>
      </c>
      <c r="L446">
        <v>0</v>
      </c>
      <c r="M446">
        <v>1</v>
      </c>
    </row>
    <row r="447" spans="1:13">
      <c r="A447">
        <v>7</v>
      </c>
      <c r="B447">
        <v>1</v>
      </c>
      <c r="C447">
        <v>5</v>
      </c>
      <c r="D447" s="6" t="e">
        <f>VLOOKUP(Tabla1[[#This Row],[ID_PARTIDO]],Original!$AT$1:$AY$46,2,FALSE)</f>
        <v>#VALUE!</v>
      </c>
      <c r="E447" s="6" t="e">
        <f>VLOOKUP(Tabla1[[#This Row],[ID_PARTIDO]],Original!$AT$1:$AY$46,3,FALSE)</f>
        <v>#VALUE!</v>
      </c>
      <c r="F447" s="6" t="e">
        <f>VLOOKUP(Tabla1[[#This Row],[ID_PARTIDO]],Original!$AT$1:$AY$46,4,FALSE)</f>
        <v>#VALUE!</v>
      </c>
      <c r="G447" s="6" t="e">
        <f>VLOOKUP(Tabla1[[#This Row],[ID_PARTIDO]],Original!$AT$1:$AY$46,5,FALSE)</f>
        <v>#VALUE!</v>
      </c>
      <c r="H447" t="s">
        <v>7</v>
      </c>
      <c r="I447" t="s">
        <v>14</v>
      </c>
      <c r="J447" t="s">
        <v>7</v>
      </c>
      <c r="K447" t="s">
        <v>14</v>
      </c>
      <c r="L447">
        <v>0</v>
      </c>
      <c r="M447">
        <v>1</v>
      </c>
    </row>
    <row r="448" spans="1:13">
      <c r="A448">
        <v>7</v>
      </c>
      <c r="B448">
        <v>1</v>
      </c>
      <c r="C448">
        <v>6</v>
      </c>
      <c r="D448" s="6" t="e">
        <f>VLOOKUP(Tabla1[[#This Row],[ID_PARTIDO]],Original!$AT$1:$AY$46,2,FALSE)</f>
        <v>#VALUE!</v>
      </c>
      <c r="E448" s="6" t="e">
        <f>VLOOKUP(Tabla1[[#This Row],[ID_PARTIDO]],Original!$AT$1:$AY$46,3,FALSE)</f>
        <v>#VALUE!</v>
      </c>
      <c r="F448" s="6" t="e">
        <f>VLOOKUP(Tabla1[[#This Row],[ID_PARTIDO]],Original!$AT$1:$AY$46,4,FALSE)</f>
        <v>#VALUE!</v>
      </c>
      <c r="G448" s="6" t="e">
        <f>VLOOKUP(Tabla1[[#This Row],[ID_PARTIDO]],Original!$AT$1:$AY$46,5,FALSE)</f>
        <v>#VALUE!</v>
      </c>
      <c r="H448" t="s">
        <v>7</v>
      </c>
      <c r="I448" t="s">
        <v>14</v>
      </c>
      <c r="J448" t="s">
        <v>7</v>
      </c>
      <c r="K448" t="s">
        <v>14</v>
      </c>
      <c r="L448">
        <v>0</v>
      </c>
      <c r="M448">
        <v>1</v>
      </c>
    </row>
    <row r="449" spans="1:13">
      <c r="A449">
        <v>7</v>
      </c>
      <c r="B449">
        <v>1</v>
      </c>
      <c r="C449">
        <v>7</v>
      </c>
      <c r="D449" s="6" t="e">
        <f>VLOOKUP(Tabla1[[#This Row],[ID_PARTIDO]],Original!$AT$1:$AY$46,2,FALSE)</f>
        <v>#VALUE!</v>
      </c>
      <c r="E449" s="6" t="e">
        <f>VLOOKUP(Tabla1[[#This Row],[ID_PARTIDO]],Original!$AT$1:$AY$46,3,FALSE)</f>
        <v>#VALUE!</v>
      </c>
      <c r="F449" s="6" t="e">
        <f>VLOOKUP(Tabla1[[#This Row],[ID_PARTIDO]],Original!$AT$1:$AY$46,4,FALSE)</f>
        <v>#VALUE!</v>
      </c>
      <c r="G449" s="6" t="e">
        <f>VLOOKUP(Tabla1[[#This Row],[ID_PARTIDO]],Original!$AT$1:$AY$46,5,FALSE)</f>
        <v>#VALUE!</v>
      </c>
      <c r="H449" t="s">
        <v>7</v>
      </c>
      <c r="I449" t="s">
        <v>14</v>
      </c>
      <c r="J449" t="s">
        <v>7</v>
      </c>
      <c r="K449" t="s">
        <v>14</v>
      </c>
      <c r="L449">
        <v>0</v>
      </c>
      <c r="M449">
        <v>1</v>
      </c>
    </row>
    <row r="450" spans="1:13">
      <c r="A450">
        <v>7</v>
      </c>
      <c r="B450">
        <v>1</v>
      </c>
      <c r="C450">
        <v>8</v>
      </c>
      <c r="D450" s="6" t="e">
        <f>VLOOKUP(Tabla1[[#This Row],[ID_PARTIDO]],Original!$AT$1:$AY$46,2,FALSE)</f>
        <v>#VALUE!</v>
      </c>
      <c r="E450" s="6" t="e">
        <f>VLOOKUP(Tabla1[[#This Row],[ID_PARTIDO]],Original!$AT$1:$AY$46,3,FALSE)</f>
        <v>#VALUE!</v>
      </c>
      <c r="F450" s="6" t="e">
        <f>VLOOKUP(Tabla1[[#This Row],[ID_PARTIDO]],Original!$AT$1:$AY$46,4,FALSE)</f>
        <v>#VALUE!</v>
      </c>
      <c r="G450" s="6" t="e">
        <f>VLOOKUP(Tabla1[[#This Row],[ID_PARTIDO]],Original!$AT$1:$AY$46,5,FALSE)</f>
        <v>#VALUE!</v>
      </c>
      <c r="H450" t="s">
        <v>7</v>
      </c>
      <c r="I450" t="s">
        <v>14</v>
      </c>
      <c r="J450" t="s">
        <v>7</v>
      </c>
      <c r="K450" t="s">
        <v>14</v>
      </c>
      <c r="L450">
        <v>0</v>
      </c>
      <c r="M450">
        <v>1</v>
      </c>
    </row>
    <row r="451" spans="1:13">
      <c r="A451">
        <v>7</v>
      </c>
      <c r="B451">
        <v>1</v>
      </c>
      <c r="C451">
        <v>9</v>
      </c>
      <c r="D451" s="6" t="e">
        <f>VLOOKUP(Tabla1[[#This Row],[ID_PARTIDO]],Original!$AT$1:$AY$46,2,FALSE)</f>
        <v>#VALUE!</v>
      </c>
      <c r="E451" s="6" t="e">
        <f>VLOOKUP(Tabla1[[#This Row],[ID_PARTIDO]],Original!$AT$1:$AY$46,3,FALSE)</f>
        <v>#VALUE!</v>
      </c>
      <c r="F451" s="6" t="e">
        <f>VLOOKUP(Tabla1[[#This Row],[ID_PARTIDO]],Original!$AT$1:$AY$46,4,FALSE)</f>
        <v>#VALUE!</v>
      </c>
      <c r="G451" s="6" t="e">
        <f>VLOOKUP(Tabla1[[#This Row],[ID_PARTIDO]],Original!$AT$1:$AY$46,5,FALSE)</f>
        <v>#VALUE!</v>
      </c>
      <c r="H451" t="s">
        <v>7</v>
      </c>
      <c r="I451" t="s">
        <v>14</v>
      </c>
      <c r="J451" t="s">
        <v>7</v>
      </c>
      <c r="K451" t="s">
        <v>14</v>
      </c>
      <c r="L451">
        <v>0</v>
      </c>
      <c r="M451">
        <v>1</v>
      </c>
    </row>
    <row r="452" spans="1:13">
      <c r="A452">
        <v>1</v>
      </c>
      <c r="B452">
        <v>1</v>
      </c>
      <c r="C452">
        <v>1</v>
      </c>
      <c r="D452" s="6" t="e">
        <f>VLOOKUP(Tabla1[[#This Row],[ID_PARTIDO]],Original!$AT$1:$AY$46,2,FALSE)</f>
        <v>#VALUE!</v>
      </c>
      <c r="E452" s="6" t="e">
        <f>VLOOKUP(Tabla1[[#This Row],[ID_PARTIDO]],Original!$AT$1:$AY$46,3,FALSE)</f>
        <v>#VALUE!</v>
      </c>
      <c r="F452" s="6" t="e">
        <f>VLOOKUP(Tabla1[[#This Row],[ID_PARTIDO]],Original!$AT$1:$AY$46,4,FALSE)</f>
        <v>#VALUE!</v>
      </c>
      <c r="G452" s="6" t="e">
        <f>VLOOKUP(Tabla1[[#This Row],[ID_PARTIDO]],Original!$AT$1:$AY$46,5,FALSE)</f>
        <v>#VALUE!</v>
      </c>
      <c r="H452" t="s">
        <v>7</v>
      </c>
      <c r="I452" t="s">
        <v>14</v>
      </c>
      <c r="J452" s="9" t="s">
        <v>14</v>
      </c>
      <c r="K452" s="9" t="s">
        <v>7</v>
      </c>
      <c r="L452">
        <v>1</v>
      </c>
      <c r="M452">
        <v>0</v>
      </c>
    </row>
    <row r="453" spans="1:13">
      <c r="A453">
        <v>1</v>
      </c>
      <c r="B453">
        <v>1</v>
      </c>
      <c r="C453">
        <v>2</v>
      </c>
      <c r="D453" s="6" t="e">
        <f>VLOOKUP(Tabla1[[#This Row],[ID_PARTIDO]],Original!$AT$1:$AY$46,2,FALSE)</f>
        <v>#VALUE!</v>
      </c>
      <c r="E453" s="6" t="e">
        <f>VLOOKUP(Tabla1[[#This Row],[ID_PARTIDO]],Original!$AT$1:$AY$46,3,FALSE)</f>
        <v>#VALUE!</v>
      </c>
      <c r="F453" s="6" t="e">
        <f>VLOOKUP(Tabla1[[#This Row],[ID_PARTIDO]],Original!$AT$1:$AY$46,4,FALSE)</f>
        <v>#VALUE!</v>
      </c>
      <c r="G453" s="6" t="e">
        <f>VLOOKUP(Tabla1[[#This Row],[ID_PARTIDO]],Original!$AT$1:$AY$46,5,FALSE)</f>
        <v>#VALUE!</v>
      </c>
      <c r="H453" t="s">
        <v>7</v>
      </c>
      <c r="I453" t="s">
        <v>14</v>
      </c>
      <c r="J453" t="s">
        <v>14</v>
      </c>
      <c r="K453" t="s">
        <v>7</v>
      </c>
      <c r="L453">
        <v>0</v>
      </c>
      <c r="M453">
        <v>1</v>
      </c>
    </row>
    <row r="454" spans="1:13">
      <c r="A454">
        <v>1</v>
      </c>
      <c r="B454">
        <v>1</v>
      </c>
      <c r="C454">
        <v>3</v>
      </c>
      <c r="D454" s="6" t="e">
        <f>VLOOKUP(Tabla1[[#This Row],[ID_PARTIDO]],Original!$AT$1:$AY$46,2,FALSE)</f>
        <v>#VALUE!</v>
      </c>
      <c r="E454" s="6" t="e">
        <f>VLOOKUP(Tabla1[[#This Row],[ID_PARTIDO]],Original!$AT$1:$AY$46,3,FALSE)</f>
        <v>#VALUE!</v>
      </c>
      <c r="F454" s="6" t="e">
        <f>VLOOKUP(Tabla1[[#This Row],[ID_PARTIDO]],Original!$AT$1:$AY$46,4,FALSE)</f>
        <v>#VALUE!</v>
      </c>
      <c r="G454" s="6" t="e">
        <f>VLOOKUP(Tabla1[[#This Row],[ID_PARTIDO]],Original!$AT$1:$AY$46,5,FALSE)</f>
        <v>#VALUE!</v>
      </c>
      <c r="H454" t="s">
        <v>7</v>
      </c>
      <c r="I454" t="s">
        <v>14</v>
      </c>
      <c r="J454" t="s">
        <v>14</v>
      </c>
      <c r="K454" t="s">
        <v>7</v>
      </c>
      <c r="L454">
        <v>1</v>
      </c>
      <c r="M454">
        <v>0</v>
      </c>
    </row>
    <row r="455" spans="1:13">
      <c r="A455">
        <v>1</v>
      </c>
      <c r="B455">
        <v>1</v>
      </c>
      <c r="C455">
        <v>4</v>
      </c>
      <c r="D455" s="6" t="e">
        <f>VLOOKUP(Tabla1[[#This Row],[ID_PARTIDO]],Original!$AT$1:$AY$46,2,FALSE)</f>
        <v>#VALUE!</v>
      </c>
      <c r="E455" s="6" t="e">
        <f>VLOOKUP(Tabla1[[#This Row],[ID_PARTIDO]],Original!$AT$1:$AY$46,3,FALSE)</f>
        <v>#VALUE!</v>
      </c>
      <c r="F455" s="6" t="e">
        <f>VLOOKUP(Tabla1[[#This Row],[ID_PARTIDO]],Original!$AT$1:$AY$46,4,FALSE)</f>
        <v>#VALUE!</v>
      </c>
      <c r="G455" s="6" t="e">
        <f>VLOOKUP(Tabla1[[#This Row],[ID_PARTIDO]],Original!$AT$1:$AY$46,5,FALSE)</f>
        <v>#VALUE!</v>
      </c>
      <c r="H455" t="s">
        <v>7</v>
      </c>
      <c r="I455" t="s">
        <v>14</v>
      </c>
      <c r="J455" t="s">
        <v>14</v>
      </c>
      <c r="K455" t="s">
        <v>7</v>
      </c>
      <c r="L455">
        <v>1</v>
      </c>
      <c r="M455">
        <v>0</v>
      </c>
    </row>
    <row r="456" spans="1:13">
      <c r="A456">
        <v>1</v>
      </c>
      <c r="B456">
        <v>1</v>
      </c>
      <c r="C456">
        <v>5</v>
      </c>
      <c r="D456" s="6" t="e">
        <f>VLOOKUP(Tabla1[[#This Row],[ID_PARTIDO]],Original!$AT$1:$AY$46,2,FALSE)</f>
        <v>#VALUE!</v>
      </c>
      <c r="E456" s="6" t="e">
        <f>VLOOKUP(Tabla1[[#This Row],[ID_PARTIDO]],Original!$AT$1:$AY$46,3,FALSE)</f>
        <v>#VALUE!</v>
      </c>
      <c r="F456" s="6" t="e">
        <f>VLOOKUP(Tabla1[[#This Row],[ID_PARTIDO]],Original!$AT$1:$AY$46,4,FALSE)</f>
        <v>#VALUE!</v>
      </c>
      <c r="G456" s="6" t="e">
        <f>VLOOKUP(Tabla1[[#This Row],[ID_PARTIDO]],Original!$AT$1:$AY$46,5,FALSE)</f>
        <v>#VALUE!</v>
      </c>
      <c r="H456" t="s">
        <v>7</v>
      </c>
      <c r="I456" t="s">
        <v>14</v>
      </c>
      <c r="J456" t="s">
        <v>14</v>
      </c>
      <c r="K456" t="s">
        <v>7</v>
      </c>
      <c r="L456">
        <v>1</v>
      </c>
      <c r="M456">
        <v>0</v>
      </c>
    </row>
    <row r="457" spans="1:13">
      <c r="A457">
        <v>1</v>
      </c>
      <c r="B457">
        <v>1</v>
      </c>
      <c r="C457">
        <v>6</v>
      </c>
      <c r="D457" s="6" t="e">
        <f>VLOOKUP(Tabla1[[#This Row],[ID_PARTIDO]],Original!$AT$1:$AY$46,2,FALSE)</f>
        <v>#VALUE!</v>
      </c>
      <c r="E457" s="6" t="e">
        <f>VLOOKUP(Tabla1[[#This Row],[ID_PARTIDO]],Original!$AT$1:$AY$46,3,FALSE)</f>
        <v>#VALUE!</v>
      </c>
      <c r="F457" s="6" t="e">
        <f>VLOOKUP(Tabla1[[#This Row],[ID_PARTIDO]],Original!$AT$1:$AY$46,4,FALSE)</f>
        <v>#VALUE!</v>
      </c>
      <c r="G457" s="6" t="e">
        <f>VLOOKUP(Tabla1[[#This Row],[ID_PARTIDO]],Original!$AT$1:$AY$46,5,FALSE)</f>
        <v>#VALUE!</v>
      </c>
      <c r="H457" t="s">
        <v>7</v>
      </c>
      <c r="I457" t="s">
        <v>14</v>
      </c>
      <c r="J457" t="s">
        <v>14</v>
      </c>
      <c r="K457" t="s">
        <v>7</v>
      </c>
      <c r="L457">
        <v>1</v>
      </c>
      <c r="M457">
        <v>0</v>
      </c>
    </row>
    <row r="458" spans="1:13">
      <c r="A458">
        <v>1</v>
      </c>
      <c r="B458">
        <v>1</v>
      </c>
      <c r="C458">
        <v>7</v>
      </c>
      <c r="D458" s="6" t="e">
        <f>VLOOKUP(Tabla1[[#This Row],[ID_PARTIDO]],Original!$AT$1:$AY$46,2,FALSE)</f>
        <v>#VALUE!</v>
      </c>
      <c r="E458" s="6" t="e">
        <f>VLOOKUP(Tabla1[[#This Row],[ID_PARTIDO]],Original!$AT$1:$AY$46,3,FALSE)</f>
        <v>#VALUE!</v>
      </c>
      <c r="F458" s="6" t="e">
        <f>VLOOKUP(Tabla1[[#This Row],[ID_PARTIDO]],Original!$AT$1:$AY$46,4,FALSE)</f>
        <v>#VALUE!</v>
      </c>
      <c r="G458" s="6" t="e">
        <f>VLOOKUP(Tabla1[[#This Row],[ID_PARTIDO]],Original!$AT$1:$AY$46,5,FALSE)</f>
        <v>#VALUE!</v>
      </c>
      <c r="H458" t="s">
        <v>7</v>
      </c>
      <c r="I458" t="s">
        <v>14</v>
      </c>
      <c r="J458" t="s">
        <v>14</v>
      </c>
      <c r="K458" t="s">
        <v>7</v>
      </c>
      <c r="L458">
        <v>1</v>
      </c>
      <c r="M458">
        <v>0</v>
      </c>
    </row>
    <row r="459" spans="1:13">
      <c r="A459">
        <v>1</v>
      </c>
      <c r="B459">
        <v>1</v>
      </c>
      <c r="C459">
        <v>8</v>
      </c>
      <c r="D459" s="6" t="e">
        <f>VLOOKUP(Tabla1[[#This Row],[ID_PARTIDO]],Original!$AT$1:$AY$46,2,FALSE)</f>
        <v>#VALUE!</v>
      </c>
      <c r="E459" s="6" t="e">
        <f>VLOOKUP(Tabla1[[#This Row],[ID_PARTIDO]],Original!$AT$1:$AY$46,3,FALSE)</f>
        <v>#VALUE!</v>
      </c>
      <c r="F459" s="6" t="e">
        <f>VLOOKUP(Tabla1[[#This Row],[ID_PARTIDO]],Original!$AT$1:$AY$46,4,FALSE)</f>
        <v>#VALUE!</v>
      </c>
      <c r="G459" s="6" t="e">
        <f>VLOOKUP(Tabla1[[#This Row],[ID_PARTIDO]],Original!$AT$1:$AY$46,5,FALSE)</f>
        <v>#VALUE!</v>
      </c>
      <c r="H459" t="s">
        <v>7</v>
      </c>
      <c r="I459" t="s">
        <v>14</v>
      </c>
      <c r="J459" t="s">
        <v>14</v>
      </c>
      <c r="K459" t="s">
        <v>7</v>
      </c>
      <c r="L459">
        <v>1</v>
      </c>
      <c r="M459">
        <v>0</v>
      </c>
    </row>
    <row r="460" spans="1:13">
      <c r="A460">
        <v>15</v>
      </c>
      <c r="B460">
        <v>1</v>
      </c>
      <c r="C460">
        <v>1</v>
      </c>
      <c r="D460" s="6" t="e">
        <f>VLOOKUP(Tabla1[[#This Row],[ID_PARTIDO]],Original!$AT$1:$AY$46,2,FALSE)</f>
        <v>#VALUE!</v>
      </c>
      <c r="E460" s="6" t="e">
        <f>VLOOKUP(Tabla1[[#This Row],[ID_PARTIDO]],Original!$AT$1:$AY$46,3,FALSE)</f>
        <v>#VALUE!</v>
      </c>
      <c r="F460" s="6" t="e">
        <f>VLOOKUP(Tabla1[[#This Row],[ID_PARTIDO]],Original!$AT$1:$AY$46,4,FALSE)</f>
        <v>#VALUE!</v>
      </c>
      <c r="G460" s="6" t="e">
        <f>VLOOKUP(Tabla1[[#This Row],[ID_PARTIDO]],Original!$AT$1:$AY$46,5,FALSE)</f>
        <v>#VALUE!</v>
      </c>
      <c r="H460" t="s">
        <v>7</v>
      </c>
      <c r="I460" t="s">
        <v>14</v>
      </c>
      <c r="J460" t="s">
        <v>7</v>
      </c>
      <c r="K460" t="s">
        <v>14</v>
      </c>
      <c r="L460">
        <v>0</v>
      </c>
      <c r="M460">
        <v>1</v>
      </c>
    </row>
    <row r="461" spans="1:13">
      <c r="A461">
        <v>15</v>
      </c>
      <c r="B461">
        <v>1</v>
      </c>
      <c r="C461">
        <v>2</v>
      </c>
      <c r="D461" s="6" t="e">
        <f>VLOOKUP(Tabla1[[#This Row],[ID_PARTIDO]],Original!$AT$1:$AY$46,2,FALSE)</f>
        <v>#VALUE!</v>
      </c>
      <c r="E461" s="6" t="e">
        <f>VLOOKUP(Tabla1[[#This Row],[ID_PARTIDO]],Original!$AT$1:$AY$46,3,FALSE)</f>
        <v>#VALUE!</v>
      </c>
      <c r="F461" s="6" t="e">
        <f>VLOOKUP(Tabla1[[#This Row],[ID_PARTIDO]],Original!$AT$1:$AY$46,4,FALSE)</f>
        <v>#VALUE!</v>
      </c>
      <c r="G461" s="6" t="e">
        <f>VLOOKUP(Tabla1[[#This Row],[ID_PARTIDO]],Original!$AT$1:$AY$46,5,FALSE)</f>
        <v>#VALUE!</v>
      </c>
      <c r="H461" t="s">
        <v>7</v>
      </c>
      <c r="I461" t="s">
        <v>14</v>
      </c>
      <c r="J461" t="s">
        <v>7</v>
      </c>
      <c r="K461" t="s">
        <v>14</v>
      </c>
      <c r="L461">
        <v>0</v>
      </c>
      <c r="M461">
        <v>1</v>
      </c>
    </row>
    <row r="462" spans="1:13">
      <c r="A462">
        <v>15</v>
      </c>
      <c r="B462">
        <v>1</v>
      </c>
      <c r="C462">
        <v>3</v>
      </c>
      <c r="D462" s="6" t="e">
        <f>VLOOKUP(Tabla1[[#This Row],[ID_PARTIDO]],Original!$AT$1:$AY$46,2,FALSE)</f>
        <v>#VALUE!</v>
      </c>
      <c r="E462" s="6" t="e">
        <f>VLOOKUP(Tabla1[[#This Row],[ID_PARTIDO]],Original!$AT$1:$AY$46,3,FALSE)</f>
        <v>#VALUE!</v>
      </c>
      <c r="F462" s="6" t="e">
        <f>VLOOKUP(Tabla1[[#This Row],[ID_PARTIDO]],Original!$AT$1:$AY$46,4,FALSE)</f>
        <v>#VALUE!</v>
      </c>
      <c r="G462" s="6" t="e">
        <f>VLOOKUP(Tabla1[[#This Row],[ID_PARTIDO]],Original!$AT$1:$AY$46,5,FALSE)</f>
        <v>#VALUE!</v>
      </c>
      <c r="H462" t="s">
        <v>7</v>
      </c>
      <c r="I462" t="s">
        <v>14</v>
      </c>
      <c r="J462" t="s">
        <v>7</v>
      </c>
      <c r="K462" t="s">
        <v>14</v>
      </c>
      <c r="L462">
        <v>1</v>
      </c>
      <c r="M462">
        <v>0</v>
      </c>
    </row>
    <row r="463" spans="1:13">
      <c r="A463">
        <v>15</v>
      </c>
      <c r="B463">
        <v>1</v>
      </c>
      <c r="C463">
        <v>4</v>
      </c>
      <c r="D463" s="6" t="e">
        <f>VLOOKUP(Tabla1[[#This Row],[ID_PARTIDO]],Original!$AT$1:$AY$46,2,FALSE)</f>
        <v>#VALUE!</v>
      </c>
      <c r="E463" s="6" t="e">
        <f>VLOOKUP(Tabla1[[#This Row],[ID_PARTIDO]],Original!$AT$1:$AY$46,3,FALSE)</f>
        <v>#VALUE!</v>
      </c>
      <c r="F463" s="6" t="e">
        <f>VLOOKUP(Tabla1[[#This Row],[ID_PARTIDO]],Original!$AT$1:$AY$46,4,FALSE)</f>
        <v>#VALUE!</v>
      </c>
      <c r="G463" s="6" t="e">
        <f>VLOOKUP(Tabla1[[#This Row],[ID_PARTIDO]],Original!$AT$1:$AY$46,5,FALSE)</f>
        <v>#VALUE!</v>
      </c>
      <c r="H463" t="s">
        <v>7</v>
      </c>
      <c r="I463" t="s">
        <v>14</v>
      </c>
      <c r="J463" t="s">
        <v>7</v>
      </c>
      <c r="K463" t="s">
        <v>14</v>
      </c>
      <c r="L463">
        <v>0</v>
      </c>
      <c r="M463">
        <v>1</v>
      </c>
    </row>
    <row r="464" spans="1:13">
      <c r="A464">
        <v>15</v>
      </c>
      <c r="B464">
        <v>1</v>
      </c>
      <c r="C464">
        <v>5</v>
      </c>
      <c r="D464" s="6" t="e">
        <f>VLOOKUP(Tabla1[[#This Row],[ID_PARTIDO]],Original!$AT$1:$AY$46,2,FALSE)</f>
        <v>#VALUE!</v>
      </c>
      <c r="E464" s="6" t="e">
        <f>VLOOKUP(Tabla1[[#This Row],[ID_PARTIDO]],Original!$AT$1:$AY$46,3,FALSE)</f>
        <v>#VALUE!</v>
      </c>
      <c r="F464" s="6" t="e">
        <f>VLOOKUP(Tabla1[[#This Row],[ID_PARTIDO]],Original!$AT$1:$AY$46,4,FALSE)</f>
        <v>#VALUE!</v>
      </c>
      <c r="G464" s="6" t="e">
        <f>VLOOKUP(Tabla1[[#This Row],[ID_PARTIDO]],Original!$AT$1:$AY$46,5,FALSE)</f>
        <v>#VALUE!</v>
      </c>
      <c r="H464" t="s">
        <v>7</v>
      </c>
      <c r="I464" t="s">
        <v>14</v>
      </c>
      <c r="J464" t="s">
        <v>7</v>
      </c>
      <c r="K464" t="s">
        <v>14</v>
      </c>
      <c r="L464">
        <v>1</v>
      </c>
      <c r="M464">
        <v>0</v>
      </c>
    </row>
    <row r="465" spans="1:13">
      <c r="A465">
        <v>15</v>
      </c>
      <c r="B465">
        <v>1</v>
      </c>
      <c r="C465">
        <v>6</v>
      </c>
      <c r="D465" s="6" t="e">
        <f>VLOOKUP(Tabla1[[#This Row],[ID_PARTIDO]],Original!$AT$1:$AY$46,2,FALSE)</f>
        <v>#VALUE!</v>
      </c>
      <c r="E465" s="6" t="e">
        <f>VLOOKUP(Tabla1[[#This Row],[ID_PARTIDO]],Original!$AT$1:$AY$46,3,FALSE)</f>
        <v>#VALUE!</v>
      </c>
      <c r="F465" s="6" t="e">
        <f>VLOOKUP(Tabla1[[#This Row],[ID_PARTIDO]],Original!$AT$1:$AY$46,4,FALSE)</f>
        <v>#VALUE!</v>
      </c>
      <c r="G465" s="6" t="e">
        <f>VLOOKUP(Tabla1[[#This Row],[ID_PARTIDO]],Original!$AT$1:$AY$46,5,FALSE)</f>
        <v>#VALUE!</v>
      </c>
      <c r="H465" t="s">
        <v>7</v>
      </c>
      <c r="I465" t="s">
        <v>14</v>
      </c>
      <c r="J465" t="s">
        <v>7</v>
      </c>
      <c r="K465" t="s">
        <v>14</v>
      </c>
      <c r="L465">
        <v>1</v>
      </c>
      <c r="M465">
        <v>0</v>
      </c>
    </row>
    <row r="466" spans="1:13">
      <c r="A466">
        <v>15</v>
      </c>
      <c r="B466">
        <v>1</v>
      </c>
      <c r="C466">
        <v>7</v>
      </c>
      <c r="D466" s="6" t="e">
        <f>VLOOKUP(Tabla1[[#This Row],[ID_PARTIDO]],Original!$AT$1:$AY$46,2,FALSE)</f>
        <v>#VALUE!</v>
      </c>
      <c r="E466" s="6" t="e">
        <f>VLOOKUP(Tabla1[[#This Row],[ID_PARTIDO]],Original!$AT$1:$AY$46,3,FALSE)</f>
        <v>#VALUE!</v>
      </c>
      <c r="F466" s="6" t="e">
        <f>VLOOKUP(Tabla1[[#This Row],[ID_PARTIDO]],Original!$AT$1:$AY$46,4,FALSE)</f>
        <v>#VALUE!</v>
      </c>
      <c r="G466" s="6" t="e">
        <f>VLOOKUP(Tabla1[[#This Row],[ID_PARTIDO]],Original!$AT$1:$AY$46,5,FALSE)</f>
        <v>#VALUE!</v>
      </c>
      <c r="H466" t="s">
        <v>7</v>
      </c>
      <c r="I466" t="s">
        <v>14</v>
      </c>
      <c r="J466" t="s">
        <v>7</v>
      </c>
      <c r="K466" t="s">
        <v>14</v>
      </c>
      <c r="L466">
        <v>1</v>
      </c>
      <c r="M466">
        <v>0</v>
      </c>
    </row>
    <row r="467" spans="1:13">
      <c r="A467">
        <v>15</v>
      </c>
      <c r="B467">
        <v>1</v>
      </c>
      <c r="C467">
        <v>8</v>
      </c>
      <c r="D467" s="6" t="e">
        <f>VLOOKUP(Tabla1[[#This Row],[ID_PARTIDO]],Original!$AT$1:$AY$46,2,FALSE)</f>
        <v>#VALUE!</v>
      </c>
      <c r="E467" s="6" t="e">
        <f>VLOOKUP(Tabla1[[#This Row],[ID_PARTIDO]],Original!$AT$1:$AY$46,3,FALSE)</f>
        <v>#VALUE!</v>
      </c>
      <c r="F467" s="6" t="e">
        <f>VLOOKUP(Tabla1[[#This Row],[ID_PARTIDO]],Original!$AT$1:$AY$46,4,FALSE)</f>
        <v>#VALUE!</v>
      </c>
      <c r="G467" s="6" t="e">
        <f>VLOOKUP(Tabla1[[#This Row],[ID_PARTIDO]],Original!$AT$1:$AY$46,5,FALSE)</f>
        <v>#VALUE!</v>
      </c>
      <c r="H467" t="s">
        <v>7</v>
      </c>
      <c r="I467" t="s">
        <v>14</v>
      </c>
      <c r="J467" t="s">
        <v>7</v>
      </c>
      <c r="K467" t="s">
        <v>14</v>
      </c>
      <c r="L467">
        <v>1</v>
      </c>
      <c r="M467">
        <v>0</v>
      </c>
    </row>
    <row r="468" spans="1:13">
      <c r="A468">
        <v>15</v>
      </c>
      <c r="B468">
        <v>1</v>
      </c>
      <c r="C468">
        <v>9</v>
      </c>
      <c r="D468" s="6" t="e">
        <f>VLOOKUP(Tabla1[[#This Row],[ID_PARTIDO]],Original!$AT$1:$AY$46,2,FALSE)</f>
        <v>#VALUE!</v>
      </c>
      <c r="E468" s="6" t="e">
        <f>VLOOKUP(Tabla1[[#This Row],[ID_PARTIDO]],Original!$AT$1:$AY$46,3,FALSE)</f>
        <v>#VALUE!</v>
      </c>
      <c r="F468" s="6" t="e">
        <f>VLOOKUP(Tabla1[[#This Row],[ID_PARTIDO]],Original!$AT$1:$AY$46,4,FALSE)</f>
        <v>#VALUE!</v>
      </c>
      <c r="G468" s="6" t="e">
        <f>VLOOKUP(Tabla1[[#This Row],[ID_PARTIDO]],Original!$AT$1:$AY$46,5,FALSE)</f>
        <v>#VALUE!</v>
      </c>
      <c r="H468" t="s">
        <v>7</v>
      </c>
      <c r="I468" t="s">
        <v>14</v>
      </c>
      <c r="J468" t="s">
        <v>7</v>
      </c>
      <c r="K468" t="s">
        <v>14</v>
      </c>
      <c r="L468">
        <v>0</v>
      </c>
      <c r="M468">
        <v>1</v>
      </c>
    </row>
    <row r="469" spans="1:13">
      <c r="A469">
        <v>15</v>
      </c>
      <c r="B469">
        <v>1</v>
      </c>
      <c r="C469">
        <v>10</v>
      </c>
      <c r="D469" s="6" t="e">
        <f>VLOOKUP(Tabla1[[#This Row],[ID_PARTIDO]],Original!$AT$1:$AY$46,2,FALSE)</f>
        <v>#VALUE!</v>
      </c>
      <c r="E469" s="6" t="e">
        <f>VLOOKUP(Tabla1[[#This Row],[ID_PARTIDO]],Original!$AT$1:$AY$46,3,FALSE)</f>
        <v>#VALUE!</v>
      </c>
      <c r="F469" s="6" t="e">
        <f>VLOOKUP(Tabla1[[#This Row],[ID_PARTIDO]],Original!$AT$1:$AY$46,4,FALSE)</f>
        <v>#VALUE!</v>
      </c>
      <c r="G469" s="6" t="e">
        <f>VLOOKUP(Tabla1[[#This Row],[ID_PARTIDO]],Original!$AT$1:$AY$46,5,FALSE)</f>
        <v>#VALUE!</v>
      </c>
      <c r="H469" t="s">
        <v>7</v>
      </c>
      <c r="I469" t="s">
        <v>14</v>
      </c>
      <c r="J469" t="s">
        <v>7</v>
      </c>
      <c r="K469" t="s">
        <v>14</v>
      </c>
      <c r="L469">
        <v>0</v>
      </c>
      <c r="M469">
        <v>1</v>
      </c>
    </row>
    <row r="470" spans="1:13">
      <c r="A470">
        <v>15</v>
      </c>
      <c r="B470">
        <v>1</v>
      </c>
      <c r="C470">
        <v>11</v>
      </c>
      <c r="D470" s="6" t="e">
        <f>VLOOKUP(Tabla1[[#This Row],[ID_PARTIDO]],Original!$AT$1:$AY$46,2,FALSE)</f>
        <v>#VALUE!</v>
      </c>
      <c r="E470" s="6" t="e">
        <f>VLOOKUP(Tabla1[[#This Row],[ID_PARTIDO]],Original!$AT$1:$AY$46,3,FALSE)</f>
        <v>#VALUE!</v>
      </c>
      <c r="F470" s="6" t="e">
        <f>VLOOKUP(Tabla1[[#This Row],[ID_PARTIDO]],Original!$AT$1:$AY$46,4,FALSE)</f>
        <v>#VALUE!</v>
      </c>
      <c r="G470" s="6" t="e">
        <f>VLOOKUP(Tabla1[[#This Row],[ID_PARTIDO]],Original!$AT$1:$AY$46,5,FALSE)</f>
        <v>#VALUE!</v>
      </c>
      <c r="H470" t="s">
        <v>7</v>
      </c>
      <c r="I470" t="s">
        <v>14</v>
      </c>
      <c r="J470" t="s">
        <v>7</v>
      </c>
      <c r="K470" t="s">
        <v>14</v>
      </c>
      <c r="L470">
        <v>0</v>
      </c>
      <c r="M470">
        <v>1</v>
      </c>
    </row>
    <row r="471" spans="1:13">
      <c r="A471">
        <v>15</v>
      </c>
      <c r="B471">
        <v>1</v>
      </c>
      <c r="C471">
        <v>12</v>
      </c>
      <c r="D471" s="6" t="e">
        <f>VLOOKUP(Tabla1[[#This Row],[ID_PARTIDO]],Original!$AT$1:$AY$46,2,FALSE)</f>
        <v>#VALUE!</v>
      </c>
      <c r="E471" s="6" t="e">
        <f>VLOOKUP(Tabla1[[#This Row],[ID_PARTIDO]],Original!$AT$1:$AY$46,3,FALSE)</f>
        <v>#VALUE!</v>
      </c>
      <c r="F471" s="6" t="e">
        <f>VLOOKUP(Tabla1[[#This Row],[ID_PARTIDO]],Original!$AT$1:$AY$46,4,FALSE)</f>
        <v>#VALUE!</v>
      </c>
      <c r="G471" s="6" t="e">
        <f>VLOOKUP(Tabla1[[#This Row],[ID_PARTIDO]],Original!$AT$1:$AY$46,5,FALSE)</f>
        <v>#VALUE!</v>
      </c>
      <c r="H471" t="s">
        <v>7</v>
      </c>
      <c r="I471" t="s">
        <v>14</v>
      </c>
      <c r="J471" t="s">
        <v>7</v>
      </c>
      <c r="K471" t="s">
        <v>14</v>
      </c>
      <c r="L471">
        <v>1</v>
      </c>
      <c r="M471">
        <v>0</v>
      </c>
    </row>
    <row r="472" spans="1:13">
      <c r="A472">
        <v>15</v>
      </c>
      <c r="B472" t="s">
        <v>66</v>
      </c>
      <c r="C472">
        <v>13</v>
      </c>
      <c r="D472" s="6" t="e">
        <f>VLOOKUP(Tabla1[[#This Row],[ID_PARTIDO]],Original!$AT$1:$AY$46,2,FALSE)</f>
        <v>#VALUE!</v>
      </c>
      <c r="E472" s="6" t="e">
        <f>VLOOKUP(Tabla1[[#This Row],[ID_PARTIDO]],Original!$AT$1:$AY$46,3,FALSE)</f>
        <v>#VALUE!</v>
      </c>
      <c r="F472" s="6" t="e">
        <f>VLOOKUP(Tabla1[[#This Row],[ID_PARTIDO]],Original!$AT$1:$AY$46,4,FALSE)</f>
        <v>#VALUE!</v>
      </c>
      <c r="G472" s="6" t="e">
        <f>VLOOKUP(Tabla1[[#This Row],[ID_PARTIDO]],Original!$AT$1:$AY$46,5,FALSE)</f>
        <v>#VALUE!</v>
      </c>
      <c r="H472" t="s">
        <v>7</v>
      </c>
      <c r="I472" t="s">
        <v>14</v>
      </c>
      <c r="J472" t="s">
        <v>7</v>
      </c>
      <c r="K472" t="s">
        <v>14</v>
      </c>
      <c r="L472">
        <v>0</v>
      </c>
      <c r="M472">
        <v>1</v>
      </c>
    </row>
  </sheetData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2270-93D2-EB4B-B8E9-2AC14F264150}">
  <dimension ref="A1:M249"/>
  <sheetViews>
    <sheetView zoomScale="186" workbookViewId="0">
      <selection activeCell="A2" sqref="A2"/>
    </sheetView>
  </sheetViews>
  <sheetFormatPr defaultColWidth="10.85546875" defaultRowHeight="14.45"/>
  <cols>
    <col min="1" max="1" width="15.140625" bestFit="1" customWidth="1"/>
    <col min="2" max="2" width="13.85546875" bestFit="1" customWidth="1"/>
    <col min="3" max="3" width="23.42578125" bestFit="1" customWidth="1"/>
    <col min="4" max="4" width="54.140625" customWidth="1"/>
    <col min="5" max="5" width="61.5703125" customWidth="1"/>
    <col min="6" max="6" width="65.28515625" customWidth="1"/>
    <col min="7" max="7" width="43.42578125" customWidth="1"/>
    <col min="8" max="10" width="29.85546875" bestFit="1" customWidth="1"/>
    <col min="11" max="12" width="17.28515625" bestFit="1" customWidth="1"/>
    <col min="13" max="13" width="19.7109375" bestFit="1" customWidth="1"/>
  </cols>
  <sheetData>
    <row r="1" spans="1:13" ht="23.25" customHeight="1">
      <c r="A1" s="3" t="s">
        <v>56</v>
      </c>
      <c r="B1" s="3" t="s">
        <v>0</v>
      </c>
      <c r="C1" s="3" t="s">
        <v>57</v>
      </c>
      <c r="D1" s="5" t="s">
        <v>45</v>
      </c>
      <c r="E1" s="5" t="s">
        <v>48</v>
      </c>
      <c r="F1" s="5" t="s">
        <v>50</v>
      </c>
      <c r="G1" s="5" t="s">
        <v>53</v>
      </c>
      <c r="H1" s="4" t="s">
        <v>46</v>
      </c>
      <c r="I1" s="4" t="s">
        <v>49</v>
      </c>
      <c r="J1" s="4" t="s">
        <v>51</v>
      </c>
      <c r="K1" s="4" t="s">
        <v>54</v>
      </c>
      <c r="L1" s="4" t="s">
        <v>58</v>
      </c>
      <c r="M1" s="4" t="s">
        <v>59</v>
      </c>
    </row>
    <row r="2" spans="1:13">
      <c r="A2">
        <v>2</v>
      </c>
      <c r="B2">
        <v>2</v>
      </c>
      <c r="C2">
        <v>1</v>
      </c>
      <c r="D2" s="6" t="s">
        <v>60</v>
      </c>
      <c r="E2" s="6" t="s">
        <v>61</v>
      </c>
      <c r="F2" s="6" t="s">
        <v>62</v>
      </c>
      <c r="G2" s="6" t="str">
        <f>VLOOKUP(Tabla13[[#This Row],[ID_PARTIDO]],Original!$AT$1:$AY$46,5,FALSE)</f>
        <v>Valentina Jimenez Gomez</v>
      </c>
      <c r="H2" t="s">
        <v>14</v>
      </c>
      <c r="I2" t="s">
        <v>7</v>
      </c>
      <c r="J2" t="s">
        <v>14</v>
      </c>
      <c r="K2" t="s">
        <v>7</v>
      </c>
      <c r="L2">
        <v>1</v>
      </c>
      <c r="M2">
        <v>0</v>
      </c>
    </row>
    <row r="3" spans="1:13">
      <c r="A3">
        <v>2</v>
      </c>
      <c r="B3">
        <v>2</v>
      </c>
      <c r="C3">
        <v>2</v>
      </c>
      <c r="D3" s="6" t="s">
        <v>60</v>
      </c>
      <c r="E3" s="6" t="s">
        <v>61</v>
      </c>
      <c r="F3" s="6" t="s">
        <v>62</v>
      </c>
      <c r="G3" s="6" t="str">
        <f>VLOOKUP(Tabla13[[#This Row],[ID_PARTIDO]],Original!$AT$1:$AY$46,5,FALSE)</f>
        <v>Valentina Jimenez Gomez</v>
      </c>
      <c r="H3" t="s">
        <v>14</v>
      </c>
      <c r="I3" t="s">
        <v>7</v>
      </c>
      <c r="J3" t="s">
        <v>14</v>
      </c>
      <c r="K3" t="s">
        <v>7</v>
      </c>
      <c r="L3">
        <v>1</v>
      </c>
      <c r="M3">
        <v>0</v>
      </c>
    </row>
    <row r="4" spans="1:13">
      <c r="A4">
        <v>2</v>
      </c>
      <c r="B4">
        <v>2</v>
      </c>
      <c r="C4">
        <v>3</v>
      </c>
      <c r="D4" s="6" t="s">
        <v>60</v>
      </c>
      <c r="E4" s="6" t="s">
        <v>61</v>
      </c>
      <c r="F4" s="6" t="s">
        <v>62</v>
      </c>
      <c r="G4" s="6" t="str">
        <f>VLOOKUP(Tabla13[[#This Row],[ID_PARTIDO]],Original!$AT$1:$AY$46,5,FALSE)</f>
        <v>Valentina Jimenez Gomez</v>
      </c>
      <c r="H4" t="s">
        <v>14</v>
      </c>
      <c r="I4" t="s">
        <v>7</v>
      </c>
      <c r="J4" t="s">
        <v>14</v>
      </c>
      <c r="K4" t="s">
        <v>7</v>
      </c>
      <c r="L4">
        <v>1</v>
      </c>
      <c r="M4">
        <v>0</v>
      </c>
    </row>
    <row r="5" spans="1:13">
      <c r="A5">
        <v>2</v>
      </c>
      <c r="B5">
        <v>2</v>
      </c>
      <c r="C5">
        <v>4</v>
      </c>
      <c r="D5" s="6" t="s">
        <v>60</v>
      </c>
      <c r="E5" s="6" t="s">
        <v>61</v>
      </c>
      <c r="F5" s="6" t="s">
        <v>62</v>
      </c>
      <c r="G5" s="6" t="str">
        <f>VLOOKUP(Tabla13[[#This Row],[ID_PARTIDO]],Original!$AT$1:$AY$46,5,FALSE)</f>
        <v>Valentina Jimenez Gomez</v>
      </c>
      <c r="H5" t="s">
        <v>14</v>
      </c>
      <c r="I5" t="s">
        <v>7</v>
      </c>
      <c r="J5" t="s">
        <v>14</v>
      </c>
      <c r="K5" t="s">
        <v>7</v>
      </c>
      <c r="L5">
        <v>0</v>
      </c>
      <c r="M5">
        <v>1</v>
      </c>
    </row>
    <row r="6" spans="1:13">
      <c r="A6">
        <v>2</v>
      </c>
      <c r="B6">
        <v>2</v>
      </c>
      <c r="C6">
        <v>5</v>
      </c>
      <c r="D6" s="6" t="s">
        <v>60</v>
      </c>
      <c r="E6" s="6" t="s">
        <v>61</v>
      </c>
      <c r="F6" s="6" t="s">
        <v>62</v>
      </c>
      <c r="G6" s="6" t="str">
        <f>VLOOKUP(Tabla13[[#This Row],[ID_PARTIDO]],Original!$AT$1:$AY$46,5,FALSE)</f>
        <v>Valentina Jimenez Gomez</v>
      </c>
      <c r="H6" t="s">
        <v>14</v>
      </c>
      <c r="I6" t="s">
        <v>7</v>
      </c>
      <c r="J6" t="s">
        <v>14</v>
      </c>
      <c r="K6" t="s">
        <v>7</v>
      </c>
      <c r="L6">
        <v>1</v>
      </c>
      <c r="M6">
        <v>0</v>
      </c>
    </row>
    <row r="7" spans="1:13">
      <c r="A7">
        <v>2</v>
      </c>
      <c r="B7">
        <v>2</v>
      </c>
      <c r="C7">
        <v>6</v>
      </c>
      <c r="D7" s="6" t="s">
        <v>60</v>
      </c>
      <c r="E7" s="6" t="s">
        <v>61</v>
      </c>
      <c r="F7" s="6" t="s">
        <v>62</v>
      </c>
      <c r="G7" s="6" t="str">
        <f>VLOOKUP(Tabla13[[#This Row],[ID_PARTIDO]],Original!$AT$1:$AY$46,5,FALSE)</f>
        <v>Valentina Jimenez Gomez</v>
      </c>
      <c r="H7" t="s">
        <v>14</v>
      </c>
      <c r="I7" t="s">
        <v>7</v>
      </c>
      <c r="J7" t="s">
        <v>14</v>
      </c>
      <c r="K7" t="s">
        <v>7</v>
      </c>
      <c r="L7">
        <v>0</v>
      </c>
      <c r="M7">
        <v>1</v>
      </c>
    </row>
    <row r="8" spans="1:13">
      <c r="A8">
        <v>2</v>
      </c>
      <c r="B8">
        <v>2</v>
      </c>
      <c r="C8">
        <v>7</v>
      </c>
      <c r="D8" s="6" t="s">
        <v>60</v>
      </c>
      <c r="E8" s="6" t="s">
        <v>61</v>
      </c>
      <c r="F8" s="6" t="s">
        <v>62</v>
      </c>
      <c r="G8" s="6" t="str">
        <f>VLOOKUP(Tabla13[[#This Row],[ID_PARTIDO]],Original!$AT$1:$AY$46,5,FALSE)</f>
        <v>Valentina Jimenez Gomez</v>
      </c>
      <c r="H8" t="s">
        <v>14</v>
      </c>
      <c r="I8" t="s">
        <v>7</v>
      </c>
      <c r="J8" t="s">
        <v>14</v>
      </c>
      <c r="K8" t="s">
        <v>7</v>
      </c>
      <c r="L8">
        <v>1</v>
      </c>
      <c r="M8">
        <v>0</v>
      </c>
    </row>
    <row r="9" spans="1:13">
      <c r="A9">
        <v>2</v>
      </c>
      <c r="B9">
        <v>2</v>
      </c>
      <c r="C9">
        <v>8</v>
      </c>
      <c r="D9" s="6" t="s">
        <v>60</v>
      </c>
      <c r="E9" s="6" t="s">
        <v>61</v>
      </c>
      <c r="F9" s="6" t="s">
        <v>62</v>
      </c>
      <c r="G9" s="6" t="str">
        <f>VLOOKUP(Tabla13[[#This Row],[ID_PARTIDO]],Original!$AT$1:$AY$46,5,FALSE)</f>
        <v>Valentina Jimenez Gomez</v>
      </c>
      <c r="H9" t="s">
        <v>14</v>
      </c>
      <c r="I9" t="s">
        <v>7</v>
      </c>
      <c r="J9" t="s">
        <v>14</v>
      </c>
      <c r="K9" t="s">
        <v>7</v>
      </c>
      <c r="L9">
        <v>1</v>
      </c>
      <c r="M9">
        <v>0</v>
      </c>
    </row>
    <row r="10" spans="1:13">
      <c r="A10">
        <v>2</v>
      </c>
      <c r="B10">
        <v>2</v>
      </c>
      <c r="C10">
        <v>9</v>
      </c>
      <c r="D10" s="6" t="s">
        <v>60</v>
      </c>
      <c r="E10" s="6" t="s">
        <v>61</v>
      </c>
      <c r="F10" s="6" t="s">
        <v>62</v>
      </c>
      <c r="G10" s="6" t="str">
        <f>VLOOKUP(Tabla13[[#This Row],[ID_PARTIDO]],Original!$AT$1:$AY$46,5,FALSE)</f>
        <v>Valentina Jimenez Gomez</v>
      </c>
      <c r="H10" t="s">
        <v>14</v>
      </c>
      <c r="I10" t="s">
        <v>7</v>
      </c>
      <c r="J10" t="s">
        <v>14</v>
      </c>
      <c r="K10" t="s">
        <v>7</v>
      </c>
      <c r="L10">
        <v>1</v>
      </c>
      <c r="M10">
        <v>0</v>
      </c>
    </row>
    <row r="11" spans="1:13">
      <c r="A11">
        <v>6</v>
      </c>
      <c r="B11">
        <v>2</v>
      </c>
      <c r="C11">
        <v>1</v>
      </c>
      <c r="D11" s="6" t="s">
        <v>60</v>
      </c>
      <c r="E11" s="6" t="s">
        <v>63</v>
      </c>
      <c r="F11" s="6" t="str">
        <f>VLOOKUP(Tabla13[[#This Row],[ID_PARTIDO]],Original!$AT$1:$AY$46,4,FALSE)</f>
        <v>Fermin Alejandro Escalona Guillen</v>
      </c>
      <c r="G11" s="6" t="str">
        <f>VLOOKUP(Tabla13[[#This Row],[ID_PARTIDO]],Original!$AT$1:$AY$46,5,FALSE)</f>
        <v>David Santiago Medina Buitrago</v>
      </c>
      <c r="H11" t="s">
        <v>14</v>
      </c>
      <c r="I11" t="s">
        <v>7</v>
      </c>
      <c r="J11" t="s">
        <v>7</v>
      </c>
      <c r="K11" t="s">
        <v>14</v>
      </c>
      <c r="L11">
        <v>0</v>
      </c>
      <c r="M11">
        <v>1</v>
      </c>
    </row>
    <row r="12" spans="1:13">
      <c r="A12">
        <v>6</v>
      </c>
      <c r="B12">
        <v>2</v>
      </c>
      <c r="C12">
        <v>2</v>
      </c>
      <c r="D12" s="6" t="s">
        <v>60</v>
      </c>
      <c r="E12" s="6" t="s">
        <v>63</v>
      </c>
      <c r="F12" s="6" t="str">
        <f>VLOOKUP(Tabla13[[#This Row],[ID_PARTIDO]],Original!$AT$1:$AY$46,4,FALSE)</f>
        <v>Fermin Alejandro Escalona Guillen</v>
      </c>
      <c r="G12" s="6" t="str">
        <f>VLOOKUP(Tabla13[[#This Row],[ID_PARTIDO]],Original!$AT$1:$AY$46,5,FALSE)</f>
        <v>David Santiago Medina Buitrago</v>
      </c>
      <c r="H12" t="s">
        <v>14</v>
      </c>
      <c r="I12" t="s">
        <v>7</v>
      </c>
      <c r="J12" t="s">
        <v>7</v>
      </c>
      <c r="K12" t="s">
        <v>14</v>
      </c>
      <c r="L12">
        <v>1</v>
      </c>
      <c r="M12">
        <v>0</v>
      </c>
    </row>
    <row r="13" spans="1:13">
      <c r="A13">
        <v>6</v>
      </c>
      <c r="B13">
        <v>2</v>
      </c>
      <c r="C13">
        <v>3</v>
      </c>
      <c r="D13" s="6" t="s">
        <v>60</v>
      </c>
      <c r="E13" s="6" t="s">
        <v>63</v>
      </c>
      <c r="F13" s="6" t="str">
        <f>VLOOKUP(Tabla13[[#This Row],[ID_PARTIDO]],Original!$AT$1:$AY$46,4,FALSE)</f>
        <v>Fermin Alejandro Escalona Guillen</v>
      </c>
      <c r="G13" s="6" t="str">
        <f>VLOOKUP(Tabla13[[#This Row],[ID_PARTIDO]],Original!$AT$1:$AY$46,5,FALSE)</f>
        <v>David Santiago Medina Buitrago</v>
      </c>
      <c r="H13" t="s">
        <v>14</v>
      </c>
      <c r="I13" t="s">
        <v>7</v>
      </c>
      <c r="J13" t="s">
        <v>7</v>
      </c>
      <c r="K13" t="s">
        <v>14</v>
      </c>
      <c r="L13">
        <v>0</v>
      </c>
      <c r="M13">
        <v>1</v>
      </c>
    </row>
    <row r="14" spans="1:13">
      <c r="A14">
        <v>6</v>
      </c>
      <c r="B14">
        <v>2</v>
      </c>
      <c r="C14">
        <v>4</v>
      </c>
      <c r="D14" s="6" t="s">
        <v>60</v>
      </c>
      <c r="E14" s="6" t="s">
        <v>63</v>
      </c>
      <c r="F14" s="6" t="str">
        <f>VLOOKUP(Tabla13[[#This Row],[ID_PARTIDO]],Original!$AT$1:$AY$46,4,FALSE)</f>
        <v>Fermin Alejandro Escalona Guillen</v>
      </c>
      <c r="G14" s="6" t="str">
        <f>VLOOKUP(Tabla13[[#This Row],[ID_PARTIDO]],Original!$AT$1:$AY$46,5,FALSE)</f>
        <v>David Santiago Medina Buitrago</v>
      </c>
      <c r="H14" t="s">
        <v>14</v>
      </c>
      <c r="I14" t="s">
        <v>7</v>
      </c>
      <c r="J14" t="s">
        <v>7</v>
      </c>
      <c r="K14" t="s">
        <v>14</v>
      </c>
      <c r="L14">
        <v>1</v>
      </c>
      <c r="M14">
        <v>0</v>
      </c>
    </row>
    <row r="15" spans="1:13">
      <c r="A15">
        <v>6</v>
      </c>
      <c r="B15">
        <v>2</v>
      </c>
      <c r="C15">
        <v>5</v>
      </c>
      <c r="D15" s="6" t="s">
        <v>60</v>
      </c>
      <c r="E15" s="6" t="s">
        <v>63</v>
      </c>
      <c r="F15" s="6" t="str">
        <f>VLOOKUP(Tabla13[[#This Row],[ID_PARTIDO]],Original!$AT$1:$AY$46,4,FALSE)</f>
        <v>Fermin Alejandro Escalona Guillen</v>
      </c>
      <c r="G15" s="6" t="str">
        <f>VLOOKUP(Tabla13[[#This Row],[ID_PARTIDO]],Original!$AT$1:$AY$46,5,FALSE)</f>
        <v>David Santiago Medina Buitrago</v>
      </c>
      <c r="H15" t="s">
        <v>14</v>
      </c>
      <c r="I15" t="s">
        <v>7</v>
      </c>
      <c r="J15" t="s">
        <v>7</v>
      </c>
      <c r="K15" t="s">
        <v>14</v>
      </c>
      <c r="L15">
        <v>1</v>
      </c>
      <c r="M15">
        <v>0</v>
      </c>
    </row>
    <row r="16" spans="1:13">
      <c r="A16">
        <v>6</v>
      </c>
      <c r="B16">
        <v>2</v>
      </c>
      <c r="C16">
        <v>6</v>
      </c>
      <c r="D16" s="6" t="s">
        <v>60</v>
      </c>
      <c r="E16" s="6" t="s">
        <v>63</v>
      </c>
      <c r="F16" s="6" t="str">
        <f>VLOOKUP(Tabla13[[#This Row],[ID_PARTIDO]],Original!$AT$1:$AY$46,4,FALSE)</f>
        <v>Fermin Alejandro Escalona Guillen</v>
      </c>
      <c r="G16" s="6" t="str">
        <f>VLOOKUP(Tabla13[[#This Row],[ID_PARTIDO]],Original!$AT$1:$AY$46,5,FALSE)</f>
        <v>David Santiago Medina Buitrago</v>
      </c>
      <c r="H16" t="s">
        <v>14</v>
      </c>
      <c r="I16" t="s">
        <v>7</v>
      </c>
      <c r="J16" t="s">
        <v>7</v>
      </c>
      <c r="K16" t="s">
        <v>14</v>
      </c>
      <c r="L16">
        <v>0</v>
      </c>
      <c r="M16">
        <v>1</v>
      </c>
    </row>
    <row r="17" spans="1:13">
      <c r="A17">
        <v>6</v>
      </c>
      <c r="B17">
        <v>2</v>
      </c>
      <c r="C17">
        <v>7</v>
      </c>
      <c r="D17" s="6" t="s">
        <v>60</v>
      </c>
      <c r="E17" s="6" t="s">
        <v>63</v>
      </c>
      <c r="F17" s="6" t="str">
        <f>VLOOKUP(Tabla13[[#This Row],[ID_PARTIDO]],Original!$AT$1:$AY$46,4,FALSE)</f>
        <v>Fermin Alejandro Escalona Guillen</v>
      </c>
      <c r="G17" s="6" t="str">
        <f>VLOOKUP(Tabla13[[#This Row],[ID_PARTIDO]],Original!$AT$1:$AY$46,5,FALSE)</f>
        <v>David Santiago Medina Buitrago</v>
      </c>
      <c r="H17" t="s">
        <v>14</v>
      </c>
      <c r="I17" t="s">
        <v>7</v>
      </c>
      <c r="J17" t="s">
        <v>7</v>
      </c>
      <c r="K17" t="s">
        <v>14</v>
      </c>
      <c r="L17">
        <v>0</v>
      </c>
      <c r="M17">
        <v>1</v>
      </c>
    </row>
    <row r="18" spans="1:13">
      <c r="A18">
        <v>6</v>
      </c>
      <c r="B18">
        <v>2</v>
      </c>
      <c r="C18">
        <v>8</v>
      </c>
      <c r="D18" s="6" t="s">
        <v>60</v>
      </c>
      <c r="E18" s="6" t="s">
        <v>63</v>
      </c>
      <c r="F18" s="6" t="str">
        <f>VLOOKUP(Tabla13[[#This Row],[ID_PARTIDO]],Original!$AT$1:$AY$46,4,FALSE)</f>
        <v>Fermin Alejandro Escalona Guillen</v>
      </c>
      <c r="G18" s="6" t="str">
        <f>VLOOKUP(Tabla13[[#This Row],[ID_PARTIDO]],Original!$AT$1:$AY$46,5,FALSE)</f>
        <v>David Santiago Medina Buitrago</v>
      </c>
      <c r="H18" t="s">
        <v>14</v>
      </c>
      <c r="I18" t="s">
        <v>7</v>
      </c>
      <c r="J18" t="s">
        <v>7</v>
      </c>
      <c r="K18" t="s">
        <v>14</v>
      </c>
      <c r="L18">
        <v>1</v>
      </c>
      <c r="M18">
        <v>0</v>
      </c>
    </row>
    <row r="19" spans="1:13">
      <c r="A19">
        <v>6</v>
      </c>
      <c r="B19">
        <v>2</v>
      </c>
      <c r="C19">
        <v>9</v>
      </c>
      <c r="D19" s="6" t="s">
        <v>60</v>
      </c>
      <c r="E19" s="6" t="s">
        <v>63</v>
      </c>
      <c r="F19" s="6" t="str">
        <f>VLOOKUP(Tabla13[[#This Row],[ID_PARTIDO]],Original!$AT$1:$AY$46,4,FALSE)</f>
        <v>Fermin Alejandro Escalona Guillen</v>
      </c>
      <c r="G19" s="6" t="str">
        <f>VLOOKUP(Tabla13[[#This Row],[ID_PARTIDO]],Original!$AT$1:$AY$46,5,FALSE)</f>
        <v>David Santiago Medina Buitrago</v>
      </c>
      <c r="H19" t="s">
        <v>14</v>
      </c>
      <c r="I19" t="s">
        <v>7</v>
      </c>
      <c r="J19" t="s">
        <v>7</v>
      </c>
      <c r="K19" t="s">
        <v>14</v>
      </c>
      <c r="L19">
        <v>0</v>
      </c>
      <c r="M19">
        <v>1</v>
      </c>
    </row>
    <row r="20" spans="1:13">
      <c r="A20">
        <v>6</v>
      </c>
      <c r="B20">
        <v>2</v>
      </c>
      <c r="C20">
        <v>10</v>
      </c>
      <c r="D20" s="6" t="s">
        <v>60</v>
      </c>
      <c r="E20" s="6" t="s">
        <v>63</v>
      </c>
      <c r="F20" s="6" t="str">
        <f>VLOOKUP(Tabla13[[#This Row],[ID_PARTIDO]],Original!$AT$1:$AY$46,4,FALSE)</f>
        <v>Fermin Alejandro Escalona Guillen</v>
      </c>
      <c r="G20" s="6" t="str">
        <f>VLOOKUP(Tabla13[[#This Row],[ID_PARTIDO]],Original!$AT$1:$AY$46,5,FALSE)</f>
        <v>David Santiago Medina Buitrago</v>
      </c>
      <c r="H20" t="s">
        <v>14</v>
      </c>
      <c r="I20" t="s">
        <v>7</v>
      </c>
      <c r="J20" t="s">
        <v>7</v>
      </c>
      <c r="K20" t="s">
        <v>14</v>
      </c>
      <c r="L20">
        <v>1</v>
      </c>
      <c r="M20">
        <v>0</v>
      </c>
    </row>
    <row r="21" spans="1:13">
      <c r="A21">
        <v>6</v>
      </c>
      <c r="B21">
        <v>2</v>
      </c>
      <c r="C21">
        <v>11</v>
      </c>
      <c r="D21" s="6" t="s">
        <v>60</v>
      </c>
      <c r="E21" s="6" t="s">
        <v>63</v>
      </c>
      <c r="F21" s="6" t="str">
        <f>VLOOKUP(Tabla13[[#This Row],[ID_PARTIDO]],Original!$AT$1:$AY$46,4,FALSE)</f>
        <v>Fermin Alejandro Escalona Guillen</v>
      </c>
      <c r="G21" s="6" t="str">
        <f>VLOOKUP(Tabla13[[#This Row],[ID_PARTIDO]],Original!$AT$1:$AY$46,5,FALSE)</f>
        <v>David Santiago Medina Buitrago</v>
      </c>
      <c r="H21" t="s">
        <v>14</v>
      </c>
      <c r="I21" t="s">
        <v>7</v>
      </c>
      <c r="J21" t="s">
        <v>7</v>
      </c>
      <c r="K21" t="s">
        <v>14</v>
      </c>
      <c r="L21">
        <v>0</v>
      </c>
      <c r="M21">
        <v>1</v>
      </c>
    </row>
    <row r="22" spans="1:13">
      <c r="A22">
        <v>6</v>
      </c>
      <c r="B22">
        <v>2</v>
      </c>
      <c r="C22">
        <v>12</v>
      </c>
      <c r="D22" s="6" t="s">
        <v>60</v>
      </c>
      <c r="E22" s="6" t="s">
        <v>63</v>
      </c>
      <c r="F22" s="6" t="str">
        <f>VLOOKUP(Tabla13[[#This Row],[ID_PARTIDO]],Original!$AT$1:$AY$46,4,FALSE)</f>
        <v>Fermin Alejandro Escalona Guillen</v>
      </c>
      <c r="G22" s="6" t="str">
        <f>VLOOKUP(Tabla13[[#This Row],[ID_PARTIDO]],Original!$AT$1:$AY$46,5,FALSE)</f>
        <v>David Santiago Medina Buitrago</v>
      </c>
      <c r="H22" t="s">
        <v>14</v>
      </c>
      <c r="I22" t="s">
        <v>7</v>
      </c>
      <c r="J22" t="s">
        <v>7</v>
      </c>
      <c r="K22" t="s">
        <v>14</v>
      </c>
      <c r="L22">
        <v>1</v>
      </c>
      <c r="M22">
        <v>0</v>
      </c>
    </row>
    <row r="23" spans="1:13">
      <c r="A23">
        <v>8</v>
      </c>
      <c r="B23">
        <v>2</v>
      </c>
      <c r="C23">
        <v>1</v>
      </c>
      <c r="D23" s="6" t="s">
        <v>17</v>
      </c>
      <c r="E23" s="6" t="s">
        <v>15</v>
      </c>
      <c r="F23" s="6" t="s">
        <v>28</v>
      </c>
      <c r="G23" s="6" t="str">
        <f>VLOOKUP(Tabla13[[#This Row],[ID_PARTIDO]],Original!$AT$1:$AY$46,5,FALSE)</f>
        <v xml:space="preserve">Nicolas Navarro </v>
      </c>
      <c r="H23" t="s">
        <v>7</v>
      </c>
      <c r="I23" t="s">
        <v>14</v>
      </c>
      <c r="J23" t="s">
        <v>7</v>
      </c>
      <c r="K23" t="s">
        <v>14</v>
      </c>
      <c r="L23">
        <v>1</v>
      </c>
      <c r="M23">
        <v>0</v>
      </c>
    </row>
    <row r="24" spans="1:13">
      <c r="A24">
        <v>8</v>
      </c>
      <c r="B24">
        <v>2</v>
      </c>
      <c r="C24">
        <v>2</v>
      </c>
      <c r="D24" s="6" t="s">
        <v>17</v>
      </c>
      <c r="E24" s="6" t="s">
        <v>15</v>
      </c>
      <c r="F24" s="6" t="s">
        <v>28</v>
      </c>
      <c r="G24" s="6" t="str">
        <f>VLOOKUP(Tabla13[[#This Row],[ID_PARTIDO]],Original!$AT$1:$AY$46,5,FALSE)</f>
        <v xml:space="preserve">Nicolas Navarro </v>
      </c>
      <c r="H24" t="s">
        <v>7</v>
      </c>
      <c r="I24" t="s">
        <v>14</v>
      </c>
      <c r="J24" t="s">
        <v>7</v>
      </c>
      <c r="K24" t="s">
        <v>14</v>
      </c>
      <c r="L24">
        <v>1</v>
      </c>
      <c r="M24">
        <v>0</v>
      </c>
    </row>
    <row r="25" spans="1:13">
      <c r="A25">
        <v>8</v>
      </c>
      <c r="B25">
        <v>2</v>
      </c>
      <c r="C25">
        <v>3</v>
      </c>
      <c r="D25" s="6" t="s">
        <v>17</v>
      </c>
      <c r="E25" s="6" t="s">
        <v>15</v>
      </c>
      <c r="F25" s="6" t="s">
        <v>28</v>
      </c>
      <c r="G25" s="6" t="str">
        <f>VLOOKUP(Tabla13[[#This Row],[ID_PARTIDO]],Original!$AT$1:$AY$46,5,FALSE)</f>
        <v xml:space="preserve">Nicolas Navarro </v>
      </c>
      <c r="H25" t="s">
        <v>7</v>
      </c>
      <c r="I25" t="s">
        <v>14</v>
      </c>
      <c r="J25" t="s">
        <v>7</v>
      </c>
      <c r="K25" t="s">
        <v>14</v>
      </c>
      <c r="L25">
        <v>0</v>
      </c>
      <c r="M25">
        <v>1</v>
      </c>
    </row>
    <row r="26" spans="1:13">
      <c r="A26">
        <v>8</v>
      </c>
      <c r="B26">
        <v>2</v>
      </c>
      <c r="C26">
        <v>4</v>
      </c>
      <c r="D26" s="6" t="s">
        <v>17</v>
      </c>
      <c r="E26" s="6" t="s">
        <v>15</v>
      </c>
      <c r="F26" s="6" t="s">
        <v>28</v>
      </c>
      <c r="G26" s="6" t="str">
        <f>VLOOKUP(Tabla13[[#This Row],[ID_PARTIDO]],Original!$AT$1:$AY$46,5,FALSE)</f>
        <v xml:space="preserve">Nicolas Navarro </v>
      </c>
      <c r="H26" t="s">
        <v>7</v>
      </c>
      <c r="I26" t="s">
        <v>14</v>
      </c>
      <c r="J26" t="s">
        <v>7</v>
      </c>
      <c r="K26" t="s">
        <v>14</v>
      </c>
      <c r="L26">
        <v>0</v>
      </c>
      <c r="M26">
        <v>1</v>
      </c>
    </row>
    <row r="27" spans="1:13">
      <c r="A27">
        <v>8</v>
      </c>
      <c r="B27">
        <v>2</v>
      </c>
      <c r="C27">
        <v>5</v>
      </c>
      <c r="D27" s="6" t="s">
        <v>17</v>
      </c>
      <c r="E27" s="6" t="s">
        <v>15</v>
      </c>
      <c r="F27" s="6" t="s">
        <v>28</v>
      </c>
      <c r="G27" s="6" t="str">
        <f>VLOOKUP(Tabla13[[#This Row],[ID_PARTIDO]],Original!$AT$1:$AY$46,5,FALSE)</f>
        <v xml:space="preserve">Nicolas Navarro </v>
      </c>
      <c r="H27" t="s">
        <v>7</v>
      </c>
      <c r="I27" t="s">
        <v>14</v>
      </c>
      <c r="J27" t="s">
        <v>7</v>
      </c>
      <c r="K27" t="s">
        <v>14</v>
      </c>
      <c r="L27">
        <v>0</v>
      </c>
      <c r="M27">
        <v>1</v>
      </c>
    </row>
    <row r="28" spans="1:13">
      <c r="A28">
        <v>8</v>
      </c>
      <c r="B28">
        <v>2</v>
      </c>
      <c r="C28">
        <v>6</v>
      </c>
      <c r="D28" s="6" t="s">
        <v>17</v>
      </c>
      <c r="E28" s="6" t="s">
        <v>15</v>
      </c>
      <c r="F28" s="6" t="s">
        <v>28</v>
      </c>
      <c r="G28" s="6" t="str">
        <f>VLOOKUP(Tabla13[[#This Row],[ID_PARTIDO]],Original!$AT$1:$AY$46,5,FALSE)</f>
        <v xml:space="preserve">Nicolas Navarro </v>
      </c>
      <c r="H28" t="s">
        <v>7</v>
      </c>
      <c r="I28" t="s">
        <v>14</v>
      </c>
      <c r="J28" t="s">
        <v>7</v>
      </c>
      <c r="K28" t="s">
        <v>14</v>
      </c>
      <c r="L28">
        <v>0</v>
      </c>
      <c r="M28">
        <v>1</v>
      </c>
    </row>
    <row r="29" spans="1:13">
      <c r="A29">
        <v>8</v>
      </c>
      <c r="B29">
        <v>2</v>
      </c>
      <c r="C29">
        <v>7</v>
      </c>
      <c r="D29" s="6" t="s">
        <v>17</v>
      </c>
      <c r="E29" s="6" t="s">
        <v>15</v>
      </c>
      <c r="F29" s="6" t="s">
        <v>28</v>
      </c>
      <c r="G29" s="6" t="str">
        <f>VLOOKUP(Tabla13[[#This Row],[ID_PARTIDO]],Original!$AT$1:$AY$46,5,FALSE)</f>
        <v xml:space="preserve">Nicolas Navarro </v>
      </c>
      <c r="H29" t="s">
        <v>7</v>
      </c>
      <c r="I29" t="s">
        <v>14</v>
      </c>
      <c r="J29" t="s">
        <v>7</v>
      </c>
      <c r="K29" t="s">
        <v>14</v>
      </c>
      <c r="L29">
        <v>1</v>
      </c>
      <c r="M29">
        <v>0</v>
      </c>
    </row>
    <row r="30" spans="1:13">
      <c r="A30">
        <v>8</v>
      </c>
      <c r="B30">
        <v>2</v>
      </c>
      <c r="C30">
        <v>8</v>
      </c>
      <c r="D30" s="6" t="s">
        <v>17</v>
      </c>
      <c r="E30" s="6" t="s">
        <v>15</v>
      </c>
      <c r="F30" s="6" t="s">
        <v>28</v>
      </c>
      <c r="G30" s="6" t="str">
        <f>VLOOKUP(Tabla13[[#This Row],[ID_PARTIDO]],Original!$AT$1:$AY$46,5,FALSE)</f>
        <v xml:space="preserve">Nicolas Navarro </v>
      </c>
      <c r="H30" t="s">
        <v>7</v>
      </c>
      <c r="I30" t="s">
        <v>14</v>
      </c>
      <c r="J30" t="s">
        <v>7</v>
      </c>
      <c r="K30" t="s">
        <v>14</v>
      </c>
      <c r="L30">
        <v>1</v>
      </c>
      <c r="M30">
        <v>0</v>
      </c>
    </row>
    <row r="31" spans="1:13">
      <c r="A31">
        <v>8</v>
      </c>
      <c r="B31">
        <v>2</v>
      </c>
      <c r="C31">
        <v>9</v>
      </c>
      <c r="D31" s="6" t="s">
        <v>17</v>
      </c>
      <c r="E31" s="6" t="s">
        <v>15</v>
      </c>
      <c r="F31" s="6" t="s">
        <v>28</v>
      </c>
      <c r="G31" s="6" t="str">
        <f>VLOOKUP(Tabla13[[#This Row],[ID_PARTIDO]],Original!$AT$1:$AY$46,5,FALSE)</f>
        <v xml:space="preserve">Nicolas Navarro </v>
      </c>
      <c r="H31" t="s">
        <v>7</v>
      </c>
      <c r="I31" t="s">
        <v>14</v>
      </c>
      <c r="J31" t="s">
        <v>7</v>
      </c>
      <c r="K31" t="s">
        <v>14</v>
      </c>
      <c r="L31">
        <v>1</v>
      </c>
      <c r="M31">
        <v>0</v>
      </c>
    </row>
    <row r="32" spans="1:13">
      <c r="A32">
        <v>8</v>
      </c>
      <c r="B32">
        <v>2</v>
      </c>
      <c r="C32">
        <v>10</v>
      </c>
      <c r="D32" s="6" t="s">
        <v>17</v>
      </c>
      <c r="E32" s="6" t="s">
        <v>15</v>
      </c>
      <c r="F32" s="6" t="s">
        <v>28</v>
      </c>
      <c r="G32" s="6" t="str">
        <f>VLOOKUP(Tabla13[[#This Row],[ID_PARTIDO]],Original!$AT$1:$AY$46,5,FALSE)</f>
        <v xml:space="preserve">Nicolas Navarro </v>
      </c>
      <c r="H32" t="s">
        <v>7</v>
      </c>
      <c r="I32" t="s">
        <v>14</v>
      </c>
      <c r="J32" t="s">
        <v>7</v>
      </c>
      <c r="K32" t="s">
        <v>14</v>
      </c>
      <c r="L32">
        <v>1</v>
      </c>
      <c r="M32">
        <v>0</v>
      </c>
    </row>
    <row r="33" spans="1:13">
      <c r="A33">
        <v>8</v>
      </c>
      <c r="B33">
        <v>2</v>
      </c>
      <c r="C33">
        <v>11</v>
      </c>
      <c r="D33" s="6" t="s">
        <v>17</v>
      </c>
      <c r="E33" s="6" t="s">
        <v>15</v>
      </c>
      <c r="F33" s="6" t="s">
        <v>28</v>
      </c>
      <c r="G33" s="6" t="str">
        <f>VLOOKUP(Tabla13[[#This Row],[ID_PARTIDO]],Original!$AT$1:$AY$46,5,FALSE)</f>
        <v xml:space="preserve">Nicolas Navarro </v>
      </c>
      <c r="H33" t="s">
        <v>7</v>
      </c>
      <c r="I33" t="s">
        <v>14</v>
      </c>
      <c r="J33" t="s">
        <v>7</v>
      </c>
      <c r="K33" t="s">
        <v>14</v>
      </c>
      <c r="L33">
        <v>1</v>
      </c>
      <c r="M33">
        <v>0</v>
      </c>
    </row>
    <row r="34" spans="1:13">
      <c r="A34">
        <v>4</v>
      </c>
      <c r="B34">
        <v>2</v>
      </c>
      <c r="C34">
        <v>1</v>
      </c>
      <c r="D34" s="6" t="str">
        <f>VLOOKUP(Tabla13[[#This Row],[ID_PARTIDO]],Original!$AT$1:$AY$46,2,FALSE)</f>
        <v>Rafael Andres Salcedo Valdivieso</v>
      </c>
      <c r="E34" s="6" t="str">
        <f>VLOOKUP(Tabla13[[#This Row],[ID_PARTIDO]],Original!$AT$1:$AY$46,3,FALSE)</f>
        <v>Luis Jorge Garcia Camargo</v>
      </c>
      <c r="F34" s="6" t="str">
        <f>VLOOKUP(Tabla13[[#This Row],[ID_PARTIDO]],Original!$AT$1:$AY$46,4,FALSE)</f>
        <v>Santiago Navarro Cuy</v>
      </c>
      <c r="G34" s="6" t="str">
        <f>VLOOKUP(Tabla13[[#This Row],[ID_PARTIDO]],Original!$AT$1:$AY$46,5,FALSE)</f>
        <v xml:space="preserve">Juan Pablo Aponte Veloza </v>
      </c>
      <c r="H34" t="s">
        <v>7</v>
      </c>
      <c r="I34" t="s">
        <v>14</v>
      </c>
      <c r="J34" t="s">
        <v>14</v>
      </c>
      <c r="K34" t="s">
        <v>7</v>
      </c>
      <c r="L34">
        <v>0</v>
      </c>
      <c r="M34">
        <v>1</v>
      </c>
    </row>
    <row r="35" spans="1:13">
      <c r="A35">
        <v>4</v>
      </c>
      <c r="B35">
        <v>2</v>
      </c>
      <c r="C35">
        <v>2</v>
      </c>
      <c r="D35" s="6" t="str">
        <f>VLOOKUP(Tabla13[[#This Row],[ID_PARTIDO]],Original!$AT$1:$AY$46,2,FALSE)</f>
        <v>Rafael Andres Salcedo Valdivieso</v>
      </c>
      <c r="E35" s="6" t="str">
        <f>VLOOKUP(Tabla13[[#This Row],[ID_PARTIDO]],Original!$AT$1:$AY$46,3,FALSE)</f>
        <v>Luis Jorge Garcia Camargo</v>
      </c>
      <c r="F35" s="6" t="str">
        <f>VLOOKUP(Tabla13[[#This Row],[ID_PARTIDO]],Original!$AT$1:$AY$46,4,FALSE)</f>
        <v>Santiago Navarro Cuy</v>
      </c>
      <c r="G35" s="6" t="str">
        <f>VLOOKUP(Tabla13[[#This Row],[ID_PARTIDO]],Original!$AT$1:$AY$46,5,FALSE)</f>
        <v xml:space="preserve">Juan Pablo Aponte Veloza </v>
      </c>
      <c r="H35" t="s">
        <v>7</v>
      </c>
      <c r="I35" t="s">
        <v>14</v>
      </c>
      <c r="J35" t="s">
        <v>14</v>
      </c>
      <c r="K35" t="s">
        <v>7</v>
      </c>
      <c r="L35">
        <v>1</v>
      </c>
      <c r="M35">
        <v>0</v>
      </c>
    </row>
    <row r="36" spans="1:13">
      <c r="A36">
        <v>4</v>
      </c>
      <c r="B36">
        <v>2</v>
      </c>
      <c r="C36">
        <v>3</v>
      </c>
      <c r="D36" s="6" t="str">
        <f>VLOOKUP(Tabla13[[#This Row],[ID_PARTIDO]],Original!$AT$1:$AY$46,2,FALSE)</f>
        <v>Rafael Andres Salcedo Valdivieso</v>
      </c>
      <c r="E36" s="6" t="str">
        <f>VLOOKUP(Tabla13[[#This Row],[ID_PARTIDO]],Original!$AT$1:$AY$46,3,FALSE)</f>
        <v>Luis Jorge Garcia Camargo</v>
      </c>
      <c r="F36" s="6" t="str">
        <f>VLOOKUP(Tabla13[[#This Row],[ID_PARTIDO]],Original!$AT$1:$AY$46,4,FALSE)</f>
        <v>Santiago Navarro Cuy</v>
      </c>
      <c r="G36" s="6" t="str">
        <f>VLOOKUP(Tabla13[[#This Row],[ID_PARTIDO]],Original!$AT$1:$AY$46,5,FALSE)</f>
        <v xml:space="preserve">Juan Pablo Aponte Veloza </v>
      </c>
      <c r="H36" t="s">
        <v>7</v>
      </c>
      <c r="I36" t="s">
        <v>14</v>
      </c>
      <c r="J36" t="s">
        <v>14</v>
      </c>
      <c r="K36" t="s">
        <v>7</v>
      </c>
      <c r="L36">
        <v>1</v>
      </c>
      <c r="M36">
        <v>0</v>
      </c>
    </row>
    <row r="37" spans="1:13">
      <c r="A37">
        <v>4</v>
      </c>
      <c r="B37">
        <v>2</v>
      </c>
      <c r="C37">
        <v>4</v>
      </c>
      <c r="D37" s="6" t="str">
        <f>VLOOKUP(Tabla13[[#This Row],[ID_PARTIDO]],Original!$AT$1:$AY$46,2,FALSE)</f>
        <v>Rafael Andres Salcedo Valdivieso</v>
      </c>
      <c r="E37" s="6" t="str">
        <f>VLOOKUP(Tabla13[[#This Row],[ID_PARTIDO]],Original!$AT$1:$AY$46,3,FALSE)</f>
        <v>Luis Jorge Garcia Camargo</v>
      </c>
      <c r="F37" s="6" t="str">
        <f>VLOOKUP(Tabla13[[#This Row],[ID_PARTIDO]],Original!$AT$1:$AY$46,4,FALSE)</f>
        <v>Santiago Navarro Cuy</v>
      </c>
      <c r="G37" s="6" t="str">
        <f>VLOOKUP(Tabla13[[#This Row],[ID_PARTIDO]],Original!$AT$1:$AY$46,5,FALSE)</f>
        <v xml:space="preserve">Juan Pablo Aponte Veloza </v>
      </c>
      <c r="H37" t="s">
        <v>7</v>
      </c>
      <c r="I37" t="s">
        <v>14</v>
      </c>
      <c r="J37" t="s">
        <v>14</v>
      </c>
      <c r="K37" t="s">
        <v>7</v>
      </c>
      <c r="L37">
        <v>1</v>
      </c>
      <c r="M37">
        <v>0</v>
      </c>
    </row>
    <row r="38" spans="1:13">
      <c r="A38">
        <v>4</v>
      </c>
      <c r="B38">
        <v>2</v>
      </c>
      <c r="C38">
        <v>5</v>
      </c>
      <c r="D38" s="6" t="str">
        <f>VLOOKUP(Tabla13[[#This Row],[ID_PARTIDO]],Original!$AT$1:$AY$46,2,FALSE)</f>
        <v>Rafael Andres Salcedo Valdivieso</v>
      </c>
      <c r="E38" s="6" t="str">
        <f>VLOOKUP(Tabla13[[#This Row],[ID_PARTIDO]],Original!$AT$1:$AY$46,3,FALSE)</f>
        <v>Luis Jorge Garcia Camargo</v>
      </c>
      <c r="F38" s="6" t="str">
        <f>VLOOKUP(Tabla13[[#This Row],[ID_PARTIDO]],Original!$AT$1:$AY$46,4,FALSE)</f>
        <v>Santiago Navarro Cuy</v>
      </c>
      <c r="G38" s="6" t="str">
        <f>VLOOKUP(Tabla13[[#This Row],[ID_PARTIDO]],Original!$AT$1:$AY$46,5,FALSE)</f>
        <v xml:space="preserve">Juan Pablo Aponte Veloza </v>
      </c>
      <c r="H38" t="s">
        <v>7</v>
      </c>
      <c r="I38" t="s">
        <v>14</v>
      </c>
      <c r="J38" t="s">
        <v>14</v>
      </c>
      <c r="K38" t="s">
        <v>7</v>
      </c>
      <c r="L38">
        <v>1</v>
      </c>
      <c r="M38">
        <v>0</v>
      </c>
    </row>
    <row r="39" spans="1:13">
      <c r="A39">
        <v>4</v>
      </c>
      <c r="B39">
        <v>2</v>
      </c>
      <c r="C39">
        <v>6</v>
      </c>
      <c r="D39" s="6" t="str">
        <f>VLOOKUP(Tabla13[[#This Row],[ID_PARTIDO]],Original!$AT$1:$AY$46,2,FALSE)</f>
        <v>Rafael Andres Salcedo Valdivieso</v>
      </c>
      <c r="E39" s="6" t="str">
        <f>VLOOKUP(Tabla13[[#This Row],[ID_PARTIDO]],Original!$AT$1:$AY$46,3,FALSE)</f>
        <v>Luis Jorge Garcia Camargo</v>
      </c>
      <c r="F39" s="6" t="str">
        <f>VLOOKUP(Tabla13[[#This Row],[ID_PARTIDO]],Original!$AT$1:$AY$46,4,FALSE)</f>
        <v>Santiago Navarro Cuy</v>
      </c>
      <c r="G39" s="6" t="str">
        <f>VLOOKUP(Tabla13[[#This Row],[ID_PARTIDO]],Original!$AT$1:$AY$46,5,FALSE)</f>
        <v xml:space="preserve">Juan Pablo Aponte Veloza </v>
      </c>
      <c r="H39" t="s">
        <v>7</v>
      </c>
      <c r="I39" t="s">
        <v>14</v>
      </c>
      <c r="J39" t="s">
        <v>14</v>
      </c>
      <c r="K39" t="s">
        <v>7</v>
      </c>
      <c r="L39">
        <v>1</v>
      </c>
      <c r="M39">
        <v>0</v>
      </c>
    </row>
    <row r="40" spans="1:13">
      <c r="A40">
        <v>4</v>
      </c>
      <c r="B40">
        <v>2</v>
      </c>
      <c r="C40">
        <v>7</v>
      </c>
      <c r="D40" s="6" t="str">
        <f>VLOOKUP(Tabla13[[#This Row],[ID_PARTIDO]],Original!$AT$1:$AY$46,2,FALSE)</f>
        <v>Rafael Andres Salcedo Valdivieso</v>
      </c>
      <c r="E40" s="6" t="str">
        <f>VLOOKUP(Tabla13[[#This Row],[ID_PARTIDO]],Original!$AT$1:$AY$46,3,FALSE)</f>
        <v>Luis Jorge Garcia Camargo</v>
      </c>
      <c r="F40" s="6" t="str">
        <f>VLOOKUP(Tabla13[[#This Row],[ID_PARTIDO]],Original!$AT$1:$AY$46,4,FALSE)</f>
        <v>Santiago Navarro Cuy</v>
      </c>
      <c r="G40" s="6" t="str">
        <f>VLOOKUP(Tabla13[[#This Row],[ID_PARTIDO]],Original!$AT$1:$AY$46,5,FALSE)</f>
        <v xml:space="preserve">Juan Pablo Aponte Veloza </v>
      </c>
      <c r="H40" t="s">
        <v>7</v>
      </c>
      <c r="I40" t="s">
        <v>14</v>
      </c>
      <c r="J40" t="s">
        <v>14</v>
      </c>
      <c r="K40" t="s">
        <v>7</v>
      </c>
      <c r="L40">
        <v>1</v>
      </c>
      <c r="M40">
        <v>0</v>
      </c>
    </row>
    <row r="41" spans="1:13">
      <c r="A41">
        <v>4</v>
      </c>
      <c r="B41">
        <v>2</v>
      </c>
      <c r="C41">
        <v>8</v>
      </c>
      <c r="D41" s="6" t="str">
        <f>VLOOKUP(Tabla13[[#This Row],[ID_PARTIDO]],Original!$AT$1:$AY$46,2,FALSE)</f>
        <v>Rafael Andres Salcedo Valdivieso</v>
      </c>
      <c r="E41" s="6" t="str">
        <f>VLOOKUP(Tabla13[[#This Row],[ID_PARTIDO]],Original!$AT$1:$AY$46,3,FALSE)</f>
        <v>Luis Jorge Garcia Camargo</v>
      </c>
      <c r="F41" s="6" t="str">
        <f>VLOOKUP(Tabla13[[#This Row],[ID_PARTIDO]],Original!$AT$1:$AY$46,4,FALSE)</f>
        <v>Santiago Navarro Cuy</v>
      </c>
      <c r="G41" s="6" t="str">
        <f>VLOOKUP(Tabla13[[#This Row],[ID_PARTIDO]],Original!$AT$1:$AY$46,5,FALSE)</f>
        <v xml:space="preserve">Juan Pablo Aponte Veloza </v>
      </c>
      <c r="H41" t="s">
        <v>7</v>
      </c>
      <c r="I41" t="s">
        <v>14</v>
      </c>
      <c r="J41" t="s">
        <v>14</v>
      </c>
      <c r="K41" t="s">
        <v>7</v>
      </c>
      <c r="L41">
        <v>0</v>
      </c>
      <c r="M41">
        <v>1</v>
      </c>
    </row>
    <row r="42" spans="1:13">
      <c r="A42">
        <v>4</v>
      </c>
      <c r="B42">
        <v>2</v>
      </c>
      <c r="C42">
        <v>9</v>
      </c>
      <c r="D42" s="6" t="str">
        <f>VLOOKUP(Tabla13[[#This Row],[ID_PARTIDO]],Original!$AT$1:$AY$46,2,FALSE)</f>
        <v>Rafael Andres Salcedo Valdivieso</v>
      </c>
      <c r="E42" s="6" t="str">
        <f>VLOOKUP(Tabla13[[#This Row],[ID_PARTIDO]],Original!$AT$1:$AY$46,3,FALSE)</f>
        <v>Luis Jorge Garcia Camargo</v>
      </c>
      <c r="F42" s="6" t="str">
        <f>VLOOKUP(Tabla13[[#This Row],[ID_PARTIDO]],Original!$AT$1:$AY$46,4,FALSE)</f>
        <v>Santiago Navarro Cuy</v>
      </c>
      <c r="G42" s="6" t="str">
        <f>VLOOKUP(Tabla13[[#This Row],[ID_PARTIDO]],Original!$AT$1:$AY$46,5,FALSE)</f>
        <v xml:space="preserve">Juan Pablo Aponte Veloza </v>
      </c>
      <c r="H42" t="s">
        <v>7</v>
      </c>
      <c r="I42" t="s">
        <v>14</v>
      </c>
      <c r="J42" t="s">
        <v>14</v>
      </c>
      <c r="K42" t="s">
        <v>7</v>
      </c>
      <c r="L42">
        <v>1</v>
      </c>
      <c r="M42">
        <v>0</v>
      </c>
    </row>
    <row r="43" spans="1:13">
      <c r="A43">
        <v>10</v>
      </c>
      <c r="B43">
        <v>2</v>
      </c>
      <c r="C43">
        <v>1</v>
      </c>
      <c r="D43" s="6" t="str">
        <f>VLOOKUP(Tabla13[[#This Row],[ID_PARTIDO]],Original!$AT$1:$AY$46,2,FALSE)</f>
        <v>Santiago Urrego Rodríguez</v>
      </c>
      <c r="E43" s="6" t="str">
        <f>VLOOKUP(Tabla13[[#This Row],[ID_PARTIDO]],Original!$AT$1:$AY$46,3,FALSE)</f>
        <v>Maria Fernanda Tamayo Lopez</v>
      </c>
      <c r="F43" s="6" t="str">
        <f>VLOOKUP(Tabla13[[#This Row],[ID_PARTIDO]],Original!$AT$1:$AY$46,4,FALSE)</f>
        <v xml:space="preserve">maria jose martinez villabona </v>
      </c>
      <c r="G43" s="6" t="str">
        <f>VLOOKUP(Tabla13[[#This Row],[ID_PARTIDO]],Original!$AT$1:$AY$46,5,FALSE)</f>
        <v>Nikol sofia avendaño</v>
      </c>
      <c r="H43" t="s">
        <v>14</v>
      </c>
      <c r="I43" t="s">
        <v>7</v>
      </c>
      <c r="J43" t="s">
        <v>7</v>
      </c>
      <c r="K43" t="s">
        <v>14</v>
      </c>
      <c r="L43">
        <v>0</v>
      </c>
      <c r="M43">
        <v>1</v>
      </c>
    </row>
    <row r="44" spans="1:13">
      <c r="A44">
        <v>10</v>
      </c>
      <c r="B44">
        <v>2</v>
      </c>
      <c r="C44">
        <v>2</v>
      </c>
      <c r="D44" s="6" t="str">
        <f>VLOOKUP(Tabla13[[#This Row],[ID_PARTIDO]],Original!$AT$1:$AY$46,2,FALSE)</f>
        <v>Santiago Urrego Rodríguez</v>
      </c>
      <c r="E44" s="6" t="str">
        <f>VLOOKUP(Tabla13[[#This Row],[ID_PARTIDO]],Original!$AT$1:$AY$46,3,FALSE)</f>
        <v>Maria Fernanda Tamayo Lopez</v>
      </c>
      <c r="F44" s="6" t="str">
        <f>VLOOKUP(Tabla13[[#This Row],[ID_PARTIDO]],Original!$AT$1:$AY$46,4,FALSE)</f>
        <v xml:space="preserve">maria jose martinez villabona </v>
      </c>
      <c r="G44" s="6" t="str">
        <f>VLOOKUP(Tabla13[[#This Row],[ID_PARTIDO]],Original!$AT$1:$AY$46,5,FALSE)</f>
        <v>Nikol sofia avendaño</v>
      </c>
      <c r="H44" t="s">
        <v>14</v>
      </c>
      <c r="I44" t="s">
        <v>7</v>
      </c>
      <c r="J44" t="s">
        <v>7</v>
      </c>
      <c r="K44" t="s">
        <v>14</v>
      </c>
      <c r="L44">
        <v>1</v>
      </c>
      <c r="M44">
        <v>0</v>
      </c>
    </row>
    <row r="45" spans="1:13">
      <c r="A45">
        <v>10</v>
      </c>
      <c r="B45">
        <v>2</v>
      </c>
      <c r="C45">
        <v>3</v>
      </c>
      <c r="D45" s="6" t="str">
        <f>VLOOKUP(Tabla13[[#This Row],[ID_PARTIDO]],Original!$AT$1:$AY$46,2,FALSE)</f>
        <v>Santiago Urrego Rodríguez</v>
      </c>
      <c r="E45" s="6" t="str">
        <f>VLOOKUP(Tabla13[[#This Row],[ID_PARTIDO]],Original!$AT$1:$AY$46,3,FALSE)</f>
        <v>Maria Fernanda Tamayo Lopez</v>
      </c>
      <c r="F45" s="6" t="str">
        <f>VLOOKUP(Tabla13[[#This Row],[ID_PARTIDO]],Original!$AT$1:$AY$46,4,FALSE)</f>
        <v xml:space="preserve">maria jose martinez villabona </v>
      </c>
      <c r="G45" s="6" t="str">
        <f>VLOOKUP(Tabla13[[#This Row],[ID_PARTIDO]],Original!$AT$1:$AY$46,5,FALSE)</f>
        <v>Nikol sofia avendaño</v>
      </c>
      <c r="H45" t="s">
        <v>14</v>
      </c>
      <c r="I45" t="s">
        <v>7</v>
      </c>
      <c r="J45" t="s">
        <v>7</v>
      </c>
      <c r="K45" t="s">
        <v>14</v>
      </c>
      <c r="L45">
        <v>1</v>
      </c>
      <c r="M45">
        <v>0</v>
      </c>
    </row>
    <row r="46" spans="1:13">
      <c r="A46">
        <v>10</v>
      </c>
      <c r="B46">
        <v>2</v>
      </c>
      <c r="C46">
        <v>4</v>
      </c>
      <c r="D46" s="6" t="str">
        <f>VLOOKUP(Tabla13[[#This Row],[ID_PARTIDO]],Original!$AT$1:$AY$46,2,FALSE)</f>
        <v>Santiago Urrego Rodríguez</v>
      </c>
      <c r="E46" s="6" t="str">
        <f>VLOOKUP(Tabla13[[#This Row],[ID_PARTIDO]],Original!$AT$1:$AY$46,3,FALSE)</f>
        <v>Maria Fernanda Tamayo Lopez</v>
      </c>
      <c r="F46" s="6" t="str">
        <f>VLOOKUP(Tabla13[[#This Row],[ID_PARTIDO]],Original!$AT$1:$AY$46,4,FALSE)</f>
        <v xml:space="preserve">maria jose martinez villabona </v>
      </c>
      <c r="G46" s="6" t="str">
        <f>VLOOKUP(Tabla13[[#This Row],[ID_PARTIDO]],Original!$AT$1:$AY$46,5,FALSE)</f>
        <v>Nikol sofia avendaño</v>
      </c>
      <c r="H46" t="s">
        <v>14</v>
      </c>
      <c r="I46" t="s">
        <v>7</v>
      </c>
      <c r="J46" t="s">
        <v>7</v>
      </c>
      <c r="K46" t="s">
        <v>14</v>
      </c>
      <c r="L46">
        <v>1</v>
      </c>
      <c r="M46">
        <v>0</v>
      </c>
    </row>
    <row r="47" spans="1:13">
      <c r="A47">
        <v>10</v>
      </c>
      <c r="B47">
        <v>2</v>
      </c>
      <c r="C47">
        <v>5</v>
      </c>
      <c r="D47" s="6" t="str">
        <f>VLOOKUP(Tabla13[[#This Row],[ID_PARTIDO]],Original!$AT$1:$AY$46,2,FALSE)</f>
        <v>Santiago Urrego Rodríguez</v>
      </c>
      <c r="E47" s="6" t="str">
        <f>VLOOKUP(Tabla13[[#This Row],[ID_PARTIDO]],Original!$AT$1:$AY$46,3,FALSE)</f>
        <v>Maria Fernanda Tamayo Lopez</v>
      </c>
      <c r="F47" s="6" t="str">
        <f>VLOOKUP(Tabla13[[#This Row],[ID_PARTIDO]],Original!$AT$1:$AY$46,4,FALSE)</f>
        <v xml:space="preserve">maria jose martinez villabona </v>
      </c>
      <c r="G47" s="6" t="str">
        <f>VLOOKUP(Tabla13[[#This Row],[ID_PARTIDO]],Original!$AT$1:$AY$46,5,FALSE)</f>
        <v>Nikol sofia avendaño</v>
      </c>
      <c r="H47" t="s">
        <v>14</v>
      </c>
      <c r="I47" t="s">
        <v>7</v>
      </c>
      <c r="J47" t="s">
        <v>7</v>
      </c>
      <c r="K47" t="s">
        <v>14</v>
      </c>
      <c r="L47">
        <v>0</v>
      </c>
      <c r="M47">
        <v>1</v>
      </c>
    </row>
    <row r="48" spans="1:13">
      <c r="A48">
        <v>10</v>
      </c>
      <c r="B48">
        <v>2</v>
      </c>
      <c r="C48">
        <v>6</v>
      </c>
      <c r="D48" s="6" t="str">
        <f>VLOOKUP(Tabla13[[#This Row],[ID_PARTIDO]],Original!$AT$1:$AY$46,2,FALSE)</f>
        <v>Santiago Urrego Rodríguez</v>
      </c>
      <c r="E48" s="6" t="str">
        <f>VLOOKUP(Tabla13[[#This Row],[ID_PARTIDO]],Original!$AT$1:$AY$46,3,FALSE)</f>
        <v>Maria Fernanda Tamayo Lopez</v>
      </c>
      <c r="F48" s="6" t="str">
        <f>VLOOKUP(Tabla13[[#This Row],[ID_PARTIDO]],Original!$AT$1:$AY$46,4,FALSE)</f>
        <v xml:space="preserve">maria jose martinez villabona </v>
      </c>
      <c r="G48" s="6" t="str">
        <f>VLOOKUP(Tabla13[[#This Row],[ID_PARTIDO]],Original!$AT$1:$AY$46,5,FALSE)</f>
        <v>Nikol sofia avendaño</v>
      </c>
      <c r="H48" t="s">
        <v>14</v>
      </c>
      <c r="I48" t="s">
        <v>7</v>
      </c>
      <c r="J48" t="s">
        <v>7</v>
      </c>
      <c r="K48" t="s">
        <v>14</v>
      </c>
      <c r="L48">
        <v>1</v>
      </c>
      <c r="M48">
        <v>0</v>
      </c>
    </row>
    <row r="49" spans="1:13">
      <c r="A49">
        <v>10</v>
      </c>
      <c r="B49">
        <v>2</v>
      </c>
      <c r="C49">
        <v>7</v>
      </c>
      <c r="D49" s="6" t="str">
        <f>VLOOKUP(Tabla13[[#This Row],[ID_PARTIDO]],Original!$AT$1:$AY$46,2,FALSE)</f>
        <v>Santiago Urrego Rodríguez</v>
      </c>
      <c r="E49" s="6" t="str">
        <f>VLOOKUP(Tabla13[[#This Row],[ID_PARTIDO]],Original!$AT$1:$AY$46,3,FALSE)</f>
        <v>Maria Fernanda Tamayo Lopez</v>
      </c>
      <c r="F49" s="6" t="str">
        <f>VLOOKUP(Tabla13[[#This Row],[ID_PARTIDO]],Original!$AT$1:$AY$46,4,FALSE)</f>
        <v xml:space="preserve">maria jose martinez villabona </v>
      </c>
      <c r="G49" s="6" t="str">
        <f>VLOOKUP(Tabla13[[#This Row],[ID_PARTIDO]],Original!$AT$1:$AY$46,5,FALSE)</f>
        <v>Nikol sofia avendaño</v>
      </c>
      <c r="H49" t="s">
        <v>14</v>
      </c>
      <c r="I49" t="s">
        <v>7</v>
      </c>
      <c r="J49" t="s">
        <v>7</v>
      </c>
      <c r="K49" t="s">
        <v>14</v>
      </c>
      <c r="L49">
        <v>1</v>
      </c>
      <c r="M49">
        <v>0</v>
      </c>
    </row>
    <row r="50" spans="1:13">
      <c r="A50">
        <v>10</v>
      </c>
      <c r="B50">
        <v>2</v>
      </c>
      <c r="C50">
        <v>8</v>
      </c>
      <c r="D50" s="6" t="str">
        <f>VLOOKUP(Tabla13[[#This Row],[ID_PARTIDO]],Original!$AT$1:$AY$46,2,FALSE)</f>
        <v>Santiago Urrego Rodríguez</v>
      </c>
      <c r="E50" s="6" t="str">
        <f>VLOOKUP(Tabla13[[#This Row],[ID_PARTIDO]],Original!$AT$1:$AY$46,3,FALSE)</f>
        <v>Maria Fernanda Tamayo Lopez</v>
      </c>
      <c r="F50" s="6" t="str">
        <f>VLOOKUP(Tabla13[[#This Row],[ID_PARTIDO]],Original!$AT$1:$AY$46,4,FALSE)</f>
        <v xml:space="preserve">maria jose martinez villabona </v>
      </c>
      <c r="G50" s="6" t="str">
        <f>VLOOKUP(Tabla13[[#This Row],[ID_PARTIDO]],Original!$AT$1:$AY$46,5,FALSE)</f>
        <v>Nikol sofia avendaño</v>
      </c>
      <c r="H50" t="s">
        <v>14</v>
      </c>
      <c r="I50" t="s">
        <v>7</v>
      </c>
      <c r="J50" t="s">
        <v>7</v>
      </c>
      <c r="K50" t="s">
        <v>14</v>
      </c>
      <c r="L50">
        <v>0</v>
      </c>
      <c r="M50">
        <v>1</v>
      </c>
    </row>
    <row r="51" spans="1:13">
      <c r="A51">
        <v>10</v>
      </c>
      <c r="B51">
        <v>2</v>
      </c>
      <c r="C51">
        <v>9</v>
      </c>
      <c r="D51" s="6" t="str">
        <f>VLOOKUP(Tabla13[[#This Row],[ID_PARTIDO]],Original!$AT$1:$AY$46,2,FALSE)</f>
        <v>Santiago Urrego Rodríguez</v>
      </c>
      <c r="E51" s="6" t="str">
        <f>VLOOKUP(Tabla13[[#This Row],[ID_PARTIDO]],Original!$AT$1:$AY$46,3,FALSE)</f>
        <v>Maria Fernanda Tamayo Lopez</v>
      </c>
      <c r="F51" s="6" t="str">
        <f>VLOOKUP(Tabla13[[#This Row],[ID_PARTIDO]],Original!$AT$1:$AY$46,4,FALSE)</f>
        <v xml:space="preserve">maria jose martinez villabona </v>
      </c>
      <c r="G51" s="6" t="str">
        <f>VLOOKUP(Tabla13[[#This Row],[ID_PARTIDO]],Original!$AT$1:$AY$46,5,FALSE)</f>
        <v>Nikol sofia avendaño</v>
      </c>
      <c r="H51" t="s">
        <v>14</v>
      </c>
      <c r="I51" t="s">
        <v>7</v>
      </c>
      <c r="J51" t="s">
        <v>7</v>
      </c>
      <c r="K51" t="s">
        <v>14</v>
      </c>
      <c r="L51">
        <v>0</v>
      </c>
      <c r="M51">
        <v>1</v>
      </c>
    </row>
    <row r="52" spans="1:13">
      <c r="A52">
        <v>10</v>
      </c>
      <c r="B52">
        <v>2</v>
      </c>
      <c r="C52">
        <v>10</v>
      </c>
      <c r="D52" s="6" t="str">
        <f>VLOOKUP(Tabla13[[#This Row],[ID_PARTIDO]],Original!$AT$1:$AY$46,2,FALSE)</f>
        <v>Santiago Urrego Rodríguez</v>
      </c>
      <c r="E52" s="6" t="str">
        <f>VLOOKUP(Tabla13[[#This Row],[ID_PARTIDO]],Original!$AT$1:$AY$46,3,FALSE)</f>
        <v>Maria Fernanda Tamayo Lopez</v>
      </c>
      <c r="F52" s="6" t="str">
        <f>VLOOKUP(Tabla13[[#This Row],[ID_PARTIDO]],Original!$AT$1:$AY$46,4,FALSE)</f>
        <v xml:space="preserve">maria jose martinez villabona </v>
      </c>
      <c r="G52" s="6" t="str">
        <f>VLOOKUP(Tabla13[[#This Row],[ID_PARTIDO]],Original!$AT$1:$AY$46,5,FALSE)</f>
        <v>Nikol sofia avendaño</v>
      </c>
      <c r="H52" t="s">
        <v>14</v>
      </c>
      <c r="I52" t="s">
        <v>7</v>
      </c>
      <c r="J52" t="s">
        <v>7</v>
      </c>
      <c r="K52" t="s">
        <v>14</v>
      </c>
      <c r="L52">
        <v>1</v>
      </c>
      <c r="M52">
        <v>0</v>
      </c>
    </row>
    <row r="53" spans="1:13">
      <c r="A53">
        <v>10</v>
      </c>
      <c r="B53">
        <v>2</v>
      </c>
      <c r="C53">
        <v>11</v>
      </c>
      <c r="D53" s="6" t="str">
        <f>VLOOKUP(Tabla13[[#This Row],[ID_PARTIDO]],Original!$AT$1:$AY$46,2,FALSE)</f>
        <v>Santiago Urrego Rodríguez</v>
      </c>
      <c r="E53" s="6" t="str">
        <f>VLOOKUP(Tabla13[[#This Row],[ID_PARTIDO]],Original!$AT$1:$AY$46,3,FALSE)</f>
        <v>Maria Fernanda Tamayo Lopez</v>
      </c>
      <c r="F53" s="6" t="str">
        <f>VLOOKUP(Tabla13[[#This Row],[ID_PARTIDO]],Original!$AT$1:$AY$46,4,FALSE)</f>
        <v xml:space="preserve">maria jose martinez villabona </v>
      </c>
      <c r="G53" s="6" t="str">
        <f>VLOOKUP(Tabla13[[#This Row],[ID_PARTIDO]],Original!$AT$1:$AY$46,5,FALSE)</f>
        <v>Nikol sofia avendaño</v>
      </c>
      <c r="H53" t="s">
        <v>14</v>
      </c>
      <c r="I53" t="s">
        <v>7</v>
      </c>
      <c r="J53" t="s">
        <v>7</v>
      </c>
      <c r="K53" t="s">
        <v>14</v>
      </c>
      <c r="L53">
        <v>0</v>
      </c>
      <c r="M53">
        <v>1</v>
      </c>
    </row>
    <row r="54" spans="1:13">
      <c r="A54">
        <v>10</v>
      </c>
      <c r="B54">
        <v>2</v>
      </c>
      <c r="C54">
        <v>12</v>
      </c>
      <c r="D54" s="6" t="str">
        <f>VLOOKUP(Tabla13[[#This Row],[ID_PARTIDO]],Original!$AT$1:$AY$46,2,FALSE)</f>
        <v>Santiago Urrego Rodríguez</v>
      </c>
      <c r="E54" s="6" t="str">
        <f>VLOOKUP(Tabla13[[#This Row],[ID_PARTIDO]],Original!$AT$1:$AY$46,3,FALSE)</f>
        <v>Maria Fernanda Tamayo Lopez</v>
      </c>
      <c r="F54" s="6" t="str">
        <f>VLOOKUP(Tabla13[[#This Row],[ID_PARTIDO]],Original!$AT$1:$AY$46,4,FALSE)</f>
        <v xml:space="preserve">maria jose martinez villabona </v>
      </c>
      <c r="G54" s="6" t="str">
        <f>VLOOKUP(Tabla13[[#This Row],[ID_PARTIDO]],Original!$AT$1:$AY$46,5,FALSE)</f>
        <v>Nikol sofia avendaño</v>
      </c>
      <c r="H54" t="s">
        <v>14</v>
      </c>
      <c r="I54" t="s">
        <v>7</v>
      </c>
      <c r="J54" t="s">
        <v>7</v>
      </c>
      <c r="K54" t="s">
        <v>14</v>
      </c>
      <c r="L54">
        <v>0</v>
      </c>
      <c r="M54">
        <v>1</v>
      </c>
    </row>
    <row r="55" spans="1:13">
      <c r="A55">
        <v>12</v>
      </c>
      <c r="B55">
        <v>2</v>
      </c>
      <c r="C55">
        <v>1</v>
      </c>
      <c r="D55" s="6" t="str">
        <f>VLOOKUP(Tabla13[[#This Row],[ID_PARTIDO]],Original!$AT$1:$AY$46,2,FALSE)</f>
        <v>Santiago Urrego Rodríguez</v>
      </c>
      <c r="E55" s="6" t="str">
        <f>VLOOKUP(Tabla13[[#This Row],[ID_PARTIDO]],Original!$AT$1:$AY$46,3,FALSE)</f>
        <v>Santiago Peña Beltran</v>
      </c>
      <c r="F55" s="6" t="str">
        <f>VLOOKUP(Tabla13[[#This Row],[ID_PARTIDO]],Original!$AT$1:$AY$46,4,FALSE)</f>
        <v>Luis Jorge Garcia Camargo</v>
      </c>
      <c r="G55" s="6" t="str">
        <f>VLOOKUP(Tabla13[[#This Row],[ID_PARTIDO]],Original!$AT$1:$AY$46,5,FALSE)</f>
        <v xml:space="preserve">Sergio Andrés López Rodríguez </v>
      </c>
      <c r="H55" t="s">
        <v>14</v>
      </c>
      <c r="I55" t="s">
        <v>7</v>
      </c>
      <c r="J55" t="s">
        <v>7</v>
      </c>
      <c r="K55" t="s">
        <v>14</v>
      </c>
      <c r="L55">
        <v>0</v>
      </c>
      <c r="M55">
        <v>1</v>
      </c>
    </row>
    <row r="56" spans="1:13">
      <c r="A56">
        <v>12</v>
      </c>
      <c r="B56">
        <v>2</v>
      </c>
      <c r="C56">
        <v>2</v>
      </c>
      <c r="D56" s="6" t="str">
        <f>VLOOKUP(Tabla13[[#This Row],[ID_PARTIDO]],Original!$AT$1:$AY$46,2,FALSE)</f>
        <v>Santiago Urrego Rodríguez</v>
      </c>
      <c r="E56" s="6" t="str">
        <f>VLOOKUP(Tabla13[[#This Row],[ID_PARTIDO]],Original!$AT$1:$AY$46,3,FALSE)</f>
        <v>Santiago Peña Beltran</v>
      </c>
      <c r="F56" s="6" t="str">
        <f>VLOOKUP(Tabla13[[#This Row],[ID_PARTIDO]],Original!$AT$1:$AY$46,4,FALSE)</f>
        <v>Luis Jorge Garcia Camargo</v>
      </c>
      <c r="G56" s="6" t="str">
        <f>VLOOKUP(Tabla13[[#This Row],[ID_PARTIDO]],Original!$AT$1:$AY$46,5,FALSE)</f>
        <v xml:space="preserve">Sergio Andrés López Rodríguez </v>
      </c>
      <c r="H56" t="s">
        <v>14</v>
      </c>
      <c r="I56" t="s">
        <v>7</v>
      </c>
      <c r="J56" t="s">
        <v>7</v>
      </c>
      <c r="K56" t="s">
        <v>14</v>
      </c>
      <c r="L56">
        <v>0</v>
      </c>
      <c r="M56">
        <v>1</v>
      </c>
    </row>
    <row r="57" spans="1:13">
      <c r="A57">
        <v>12</v>
      </c>
      <c r="B57">
        <v>2</v>
      </c>
      <c r="C57">
        <v>3</v>
      </c>
      <c r="D57" s="6" t="str">
        <f>VLOOKUP(Tabla13[[#This Row],[ID_PARTIDO]],Original!$AT$1:$AY$46,2,FALSE)</f>
        <v>Santiago Urrego Rodríguez</v>
      </c>
      <c r="E57" s="6" t="str">
        <f>VLOOKUP(Tabla13[[#This Row],[ID_PARTIDO]],Original!$AT$1:$AY$46,3,FALSE)</f>
        <v>Santiago Peña Beltran</v>
      </c>
      <c r="F57" s="6" t="str">
        <f>VLOOKUP(Tabla13[[#This Row],[ID_PARTIDO]],Original!$AT$1:$AY$46,4,FALSE)</f>
        <v>Luis Jorge Garcia Camargo</v>
      </c>
      <c r="G57" s="6" t="str">
        <f>VLOOKUP(Tabla13[[#This Row],[ID_PARTIDO]],Original!$AT$1:$AY$46,5,FALSE)</f>
        <v xml:space="preserve">Sergio Andrés López Rodríguez </v>
      </c>
      <c r="H57" t="s">
        <v>14</v>
      </c>
      <c r="I57" t="s">
        <v>7</v>
      </c>
      <c r="J57" t="s">
        <v>7</v>
      </c>
      <c r="K57" t="s">
        <v>14</v>
      </c>
      <c r="L57">
        <v>0</v>
      </c>
      <c r="M57">
        <v>1</v>
      </c>
    </row>
    <row r="58" spans="1:13">
      <c r="A58">
        <v>12</v>
      </c>
      <c r="B58">
        <v>2</v>
      </c>
      <c r="C58">
        <v>4</v>
      </c>
      <c r="D58" s="6" t="str">
        <f>VLOOKUP(Tabla13[[#This Row],[ID_PARTIDO]],Original!$AT$1:$AY$46,2,FALSE)</f>
        <v>Santiago Urrego Rodríguez</v>
      </c>
      <c r="E58" s="6" t="str">
        <f>VLOOKUP(Tabla13[[#This Row],[ID_PARTIDO]],Original!$AT$1:$AY$46,3,FALSE)</f>
        <v>Santiago Peña Beltran</v>
      </c>
      <c r="F58" s="6" t="str">
        <f>VLOOKUP(Tabla13[[#This Row],[ID_PARTIDO]],Original!$AT$1:$AY$46,4,FALSE)</f>
        <v>Luis Jorge Garcia Camargo</v>
      </c>
      <c r="G58" s="6" t="str">
        <f>VLOOKUP(Tabla13[[#This Row],[ID_PARTIDO]],Original!$AT$1:$AY$46,5,FALSE)</f>
        <v xml:space="preserve">Sergio Andrés López Rodríguez </v>
      </c>
      <c r="H58" t="s">
        <v>14</v>
      </c>
      <c r="I58" t="s">
        <v>7</v>
      </c>
      <c r="J58" t="s">
        <v>7</v>
      </c>
      <c r="K58" t="s">
        <v>14</v>
      </c>
      <c r="L58">
        <v>1</v>
      </c>
      <c r="M58">
        <v>0</v>
      </c>
    </row>
    <row r="59" spans="1:13">
      <c r="A59">
        <v>12</v>
      </c>
      <c r="B59">
        <v>2</v>
      </c>
      <c r="C59">
        <v>5</v>
      </c>
      <c r="D59" s="6" t="str">
        <f>VLOOKUP(Tabla13[[#This Row],[ID_PARTIDO]],Original!$AT$1:$AY$46,2,FALSE)</f>
        <v>Santiago Urrego Rodríguez</v>
      </c>
      <c r="E59" s="6" t="str">
        <f>VLOOKUP(Tabla13[[#This Row],[ID_PARTIDO]],Original!$AT$1:$AY$46,3,FALSE)</f>
        <v>Santiago Peña Beltran</v>
      </c>
      <c r="F59" s="6" t="str">
        <f>VLOOKUP(Tabla13[[#This Row],[ID_PARTIDO]],Original!$AT$1:$AY$46,4,FALSE)</f>
        <v>Luis Jorge Garcia Camargo</v>
      </c>
      <c r="G59" s="6" t="str">
        <f>VLOOKUP(Tabla13[[#This Row],[ID_PARTIDO]],Original!$AT$1:$AY$46,5,FALSE)</f>
        <v xml:space="preserve">Sergio Andrés López Rodríguez </v>
      </c>
      <c r="H59" t="s">
        <v>14</v>
      </c>
      <c r="I59" t="s">
        <v>7</v>
      </c>
      <c r="J59" t="s">
        <v>7</v>
      </c>
      <c r="K59" t="s">
        <v>14</v>
      </c>
      <c r="L59">
        <v>0</v>
      </c>
      <c r="M59">
        <v>1</v>
      </c>
    </row>
    <row r="60" spans="1:13">
      <c r="A60">
        <v>12</v>
      </c>
      <c r="B60">
        <v>2</v>
      </c>
      <c r="C60">
        <v>6</v>
      </c>
      <c r="D60" s="6" t="str">
        <f>VLOOKUP(Tabla13[[#This Row],[ID_PARTIDO]],Original!$AT$1:$AY$46,2,FALSE)</f>
        <v>Santiago Urrego Rodríguez</v>
      </c>
      <c r="E60" s="6" t="str">
        <f>VLOOKUP(Tabla13[[#This Row],[ID_PARTIDO]],Original!$AT$1:$AY$46,3,FALSE)</f>
        <v>Santiago Peña Beltran</v>
      </c>
      <c r="F60" s="6" t="str">
        <f>VLOOKUP(Tabla13[[#This Row],[ID_PARTIDO]],Original!$AT$1:$AY$46,4,FALSE)</f>
        <v>Luis Jorge Garcia Camargo</v>
      </c>
      <c r="G60" s="6" t="str">
        <f>VLOOKUP(Tabla13[[#This Row],[ID_PARTIDO]],Original!$AT$1:$AY$46,5,FALSE)</f>
        <v xml:space="preserve">Sergio Andrés López Rodríguez </v>
      </c>
      <c r="H60" t="s">
        <v>14</v>
      </c>
      <c r="I60" t="s">
        <v>7</v>
      </c>
      <c r="J60" t="s">
        <v>7</v>
      </c>
      <c r="K60" t="s">
        <v>14</v>
      </c>
      <c r="L60">
        <v>0</v>
      </c>
      <c r="M60">
        <v>1</v>
      </c>
    </row>
    <row r="61" spans="1:13">
      <c r="A61">
        <v>12</v>
      </c>
      <c r="B61">
        <v>2</v>
      </c>
      <c r="C61">
        <v>7</v>
      </c>
      <c r="D61" s="6" t="str">
        <f>VLOOKUP(Tabla13[[#This Row],[ID_PARTIDO]],Original!$AT$1:$AY$46,2,FALSE)</f>
        <v>Santiago Urrego Rodríguez</v>
      </c>
      <c r="E61" s="6" t="str">
        <f>VLOOKUP(Tabla13[[#This Row],[ID_PARTIDO]],Original!$AT$1:$AY$46,3,FALSE)</f>
        <v>Santiago Peña Beltran</v>
      </c>
      <c r="F61" s="6" t="str">
        <f>VLOOKUP(Tabla13[[#This Row],[ID_PARTIDO]],Original!$AT$1:$AY$46,4,FALSE)</f>
        <v>Luis Jorge Garcia Camargo</v>
      </c>
      <c r="G61" s="6" t="str">
        <f>VLOOKUP(Tabla13[[#This Row],[ID_PARTIDO]],Original!$AT$1:$AY$46,5,FALSE)</f>
        <v xml:space="preserve">Sergio Andrés López Rodríguez </v>
      </c>
      <c r="H61" t="s">
        <v>14</v>
      </c>
      <c r="I61" t="s">
        <v>7</v>
      </c>
      <c r="J61" t="s">
        <v>7</v>
      </c>
      <c r="K61" t="s">
        <v>14</v>
      </c>
      <c r="L61">
        <v>0</v>
      </c>
      <c r="M61">
        <v>1</v>
      </c>
    </row>
    <row r="62" spans="1:13">
      <c r="A62">
        <v>12</v>
      </c>
      <c r="B62">
        <v>2</v>
      </c>
      <c r="C62">
        <v>8</v>
      </c>
      <c r="D62" s="6" t="str">
        <f>VLOOKUP(Tabla13[[#This Row],[ID_PARTIDO]],Original!$AT$1:$AY$46,2,FALSE)</f>
        <v>Santiago Urrego Rodríguez</v>
      </c>
      <c r="E62" s="6" t="str">
        <f>VLOOKUP(Tabla13[[#This Row],[ID_PARTIDO]],Original!$AT$1:$AY$46,3,FALSE)</f>
        <v>Santiago Peña Beltran</v>
      </c>
      <c r="F62" s="6" t="str">
        <f>VLOOKUP(Tabla13[[#This Row],[ID_PARTIDO]],Original!$AT$1:$AY$46,4,FALSE)</f>
        <v>Luis Jorge Garcia Camargo</v>
      </c>
      <c r="G62" s="6" t="str">
        <f>VLOOKUP(Tabla13[[#This Row],[ID_PARTIDO]],Original!$AT$1:$AY$46,5,FALSE)</f>
        <v xml:space="preserve">Sergio Andrés López Rodríguez </v>
      </c>
      <c r="H62" t="s">
        <v>14</v>
      </c>
      <c r="I62" t="s">
        <v>7</v>
      </c>
      <c r="J62" t="s">
        <v>7</v>
      </c>
      <c r="K62" t="s">
        <v>14</v>
      </c>
      <c r="L62">
        <v>0</v>
      </c>
      <c r="M62">
        <v>1</v>
      </c>
    </row>
    <row r="63" spans="1:13">
      <c r="A63">
        <v>20</v>
      </c>
      <c r="B63">
        <v>2</v>
      </c>
      <c r="C63">
        <v>1</v>
      </c>
      <c r="D63" s="6" t="str">
        <f>VLOOKUP(Tabla13[[#This Row],[ID_PARTIDO]],Original!$AT$1:$AY$46,2,FALSE)</f>
        <v>Santiago Navarro Cuy</v>
      </c>
      <c r="E63" s="6" t="str">
        <f>VLOOKUP(Tabla13[[#This Row],[ID_PARTIDO]],Original!$AT$1:$AY$46,3,FALSE)</f>
        <v xml:space="preserve">Juan Pablo Vargas Jiménez </v>
      </c>
      <c r="F63" s="6" t="str">
        <f>VLOOKUP(Tabla13[[#This Row],[ID_PARTIDO]],Original!$AT$1:$AY$46,4,FALSE)</f>
        <v>sara juliana solano boada</v>
      </c>
      <c r="G63" s="6" t="str">
        <f>VLOOKUP(Tabla13[[#This Row],[ID_PARTIDO]],Original!$AT$1:$AY$46,5,FALSE)</f>
        <v xml:space="preserve">Juan Pablo Aponte Veloza </v>
      </c>
      <c r="H63" t="s">
        <v>14</v>
      </c>
      <c r="I63" t="s">
        <v>7</v>
      </c>
      <c r="J63" t="s">
        <v>14</v>
      </c>
      <c r="K63" t="s">
        <v>7</v>
      </c>
      <c r="L63">
        <v>0</v>
      </c>
      <c r="M63">
        <v>1</v>
      </c>
    </row>
    <row r="64" spans="1:13">
      <c r="A64">
        <v>20</v>
      </c>
      <c r="B64">
        <v>2</v>
      </c>
      <c r="C64">
        <v>2</v>
      </c>
      <c r="D64" s="6" t="str">
        <f>VLOOKUP(Tabla13[[#This Row],[ID_PARTIDO]],Original!$AT$1:$AY$46,2,FALSE)</f>
        <v>Santiago Navarro Cuy</v>
      </c>
      <c r="E64" s="6" t="str">
        <f>VLOOKUP(Tabla13[[#This Row],[ID_PARTIDO]],Original!$AT$1:$AY$46,3,FALSE)</f>
        <v xml:space="preserve">Juan Pablo Vargas Jiménez </v>
      </c>
      <c r="F64" s="6" t="str">
        <f>VLOOKUP(Tabla13[[#This Row],[ID_PARTIDO]],Original!$AT$1:$AY$46,4,FALSE)</f>
        <v>sara juliana solano boada</v>
      </c>
      <c r="G64" s="6" t="str">
        <f>VLOOKUP(Tabla13[[#This Row],[ID_PARTIDO]],Original!$AT$1:$AY$46,5,FALSE)</f>
        <v xml:space="preserve">Juan Pablo Aponte Veloza </v>
      </c>
      <c r="H64" t="s">
        <v>14</v>
      </c>
      <c r="I64" t="s">
        <v>7</v>
      </c>
      <c r="J64" t="s">
        <v>14</v>
      </c>
      <c r="K64" t="s">
        <v>7</v>
      </c>
      <c r="L64">
        <v>0</v>
      </c>
      <c r="M64">
        <v>1</v>
      </c>
    </row>
    <row r="65" spans="1:13">
      <c r="A65">
        <v>20</v>
      </c>
      <c r="B65">
        <v>2</v>
      </c>
      <c r="C65">
        <v>3</v>
      </c>
      <c r="D65" s="6" t="str">
        <f>VLOOKUP(Tabla13[[#This Row],[ID_PARTIDO]],Original!$AT$1:$AY$46,2,FALSE)</f>
        <v>Santiago Navarro Cuy</v>
      </c>
      <c r="E65" s="6" t="str">
        <f>VLOOKUP(Tabla13[[#This Row],[ID_PARTIDO]],Original!$AT$1:$AY$46,3,FALSE)</f>
        <v xml:space="preserve">Juan Pablo Vargas Jiménez </v>
      </c>
      <c r="F65" s="6" t="str">
        <f>VLOOKUP(Tabla13[[#This Row],[ID_PARTIDO]],Original!$AT$1:$AY$46,4,FALSE)</f>
        <v>sara juliana solano boada</v>
      </c>
      <c r="G65" s="6" t="str">
        <f>VLOOKUP(Tabla13[[#This Row],[ID_PARTIDO]],Original!$AT$1:$AY$46,5,FALSE)</f>
        <v xml:space="preserve">Juan Pablo Aponte Veloza </v>
      </c>
      <c r="H65" t="s">
        <v>14</v>
      </c>
      <c r="I65" t="s">
        <v>7</v>
      </c>
      <c r="J65" t="s">
        <v>14</v>
      </c>
      <c r="K65" t="s">
        <v>7</v>
      </c>
      <c r="L65">
        <v>0</v>
      </c>
      <c r="M65">
        <v>1</v>
      </c>
    </row>
    <row r="66" spans="1:13">
      <c r="A66">
        <v>20</v>
      </c>
      <c r="B66">
        <v>2</v>
      </c>
      <c r="C66">
        <v>4</v>
      </c>
      <c r="D66" s="6" t="str">
        <f>VLOOKUP(Tabla13[[#This Row],[ID_PARTIDO]],Original!$AT$1:$AY$46,2,FALSE)</f>
        <v>Santiago Navarro Cuy</v>
      </c>
      <c r="E66" s="6" t="str">
        <f>VLOOKUP(Tabla13[[#This Row],[ID_PARTIDO]],Original!$AT$1:$AY$46,3,FALSE)</f>
        <v xml:space="preserve">Juan Pablo Vargas Jiménez </v>
      </c>
      <c r="F66" s="6" t="str">
        <f>VLOOKUP(Tabla13[[#This Row],[ID_PARTIDO]],Original!$AT$1:$AY$46,4,FALSE)</f>
        <v>sara juliana solano boada</v>
      </c>
      <c r="G66" s="6" t="str">
        <f>VLOOKUP(Tabla13[[#This Row],[ID_PARTIDO]],Original!$AT$1:$AY$46,5,FALSE)</f>
        <v xml:space="preserve">Juan Pablo Aponte Veloza </v>
      </c>
      <c r="H66" t="s">
        <v>14</v>
      </c>
      <c r="I66" t="s">
        <v>7</v>
      </c>
      <c r="J66" t="s">
        <v>14</v>
      </c>
      <c r="K66" t="s">
        <v>7</v>
      </c>
      <c r="L66">
        <v>0</v>
      </c>
      <c r="M66">
        <v>1</v>
      </c>
    </row>
    <row r="67" spans="1:13">
      <c r="A67">
        <v>20</v>
      </c>
      <c r="B67">
        <v>2</v>
      </c>
      <c r="C67">
        <v>5</v>
      </c>
      <c r="D67" s="6" t="str">
        <f>VLOOKUP(Tabla13[[#This Row],[ID_PARTIDO]],Original!$AT$1:$AY$46,2,FALSE)</f>
        <v>Santiago Navarro Cuy</v>
      </c>
      <c r="E67" s="6" t="str">
        <f>VLOOKUP(Tabla13[[#This Row],[ID_PARTIDO]],Original!$AT$1:$AY$46,3,FALSE)</f>
        <v xml:space="preserve">Juan Pablo Vargas Jiménez </v>
      </c>
      <c r="F67" s="6" t="str">
        <f>VLOOKUP(Tabla13[[#This Row],[ID_PARTIDO]],Original!$AT$1:$AY$46,4,FALSE)</f>
        <v>sara juliana solano boada</v>
      </c>
      <c r="G67" s="6" t="str">
        <f>VLOOKUP(Tabla13[[#This Row],[ID_PARTIDO]],Original!$AT$1:$AY$46,5,FALSE)</f>
        <v xml:space="preserve">Juan Pablo Aponte Veloza </v>
      </c>
      <c r="H67" t="s">
        <v>14</v>
      </c>
      <c r="I67" t="s">
        <v>7</v>
      </c>
      <c r="J67" t="s">
        <v>14</v>
      </c>
      <c r="K67" t="s">
        <v>7</v>
      </c>
      <c r="L67">
        <v>1</v>
      </c>
      <c r="M67">
        <v>0</v>
      </c>
    </row>
    <row r="68" spans="1:13">
      <c r="A68">
        <v>20</v>
      </c>
      <c r="B68">
        <v>2</v>
      </c>
      <c r="C68">
        <v>6</v>
      </c>
      <c r="D68" s="6" t="str">
        <f>VLOOKUP(Tabla13[[#This Row],[ID_PARTIDO]],Original!$AT$1:$AY$46,2,FALSE)</f>
        <v>Santiago Navarro Cuy</v>
      </c>
      <c r="E68" s="6" t="str">
        <f>VLOOKUP(Tabla13[[#This Row],[ID_PARTIDO]],Original!$AT$1:$AY$46,3,FALSE)</f>
        <v xml:space="preserve">Juan Pablo Vargas Jiménez </v>
      </c>
      <c r="F68" s="6" t="str">
        <f>VLOOKUP(Tabla13[[#This Row],[ID_PARTIDO]],Original!$AT$1:$AY$46,4,FALSE)</f>
        <v>sara juliana solano boada</v>
      </c>
      <c r="G68" s="6" t="str">
        <f>VLOOKUP(Tabla13[[#This Row],[ID_PARTIDO]],Original!$AT$1:$AY$46,5,FALSE)</f>
        <v xml:space="preserve">Juan Pablo Aponte Veloza </v>
      </c>
      <c r="H68" t="s">
        <v>14</v>
      </c>
      <c r="I68" t="s">
        <v>7</v>
      </c>
      <c r="J68" t="s">
        <v>14</v>
      </c>
      <c r="K68" t="s">
        <v>7</v>
      </c>
      <c r="L68">
        <v>1</v>
      </c>
      <c r="M68">
        <v>0</v>
      </c>
    </row>
    <row r="69" spans="1:13">
      <c r="A69">
        <v>20</v>
      </c>
      <c r="B69">
        <v>2</v>
      </c>
      <c r="C69">
        <v>7</v>
      </c>
      <c r="D69" s="6" t="str">
        <f>VLOOKUP(Tabla13[[#This Row],[ID_PARTIDO]],Original!$AT$1:$AY$46,2,FALSE)</f>
        <v>Santiago Navarro Cuy</v>
      </c>
      <c r="E69" s="6" t="str">
        <f>VLOOKUP(Tabla13[[#This Row],[ID_PARTIDO]],Original!$AT$1:$AY$46,3,FALSE)</f>
        <v xml:space="preserve">Juan Pablo Vargas Jiménez </v>
      </c>
      <c r="F69" s="6" t="str">
        <f>VLOOKUP(Tabla13[[#This Row],[ID_PARTIDO]],Original!$AT$1:$AY$46,4,FALSE)</f>
        <v>sara juliana solano boada</v>
      </c>
      <c r="G69" s="6" t="str">
        <f>VLOOKUP(Tabla13[[#This Row],[ID_PARTIDO]],Original!$AT$1:$AY$46,5,FALSE)</f>
        <v xml:space="preserve">Juan Pablo Aponte Veloza </v>
      </c>
      <c r="H69" t="s">
        <v>14</v>
      </c>
      <c r="I69" t="s">
        <v>7</v>
      </c>
      <c r="J69" t="s">
        <v>14</v>
      </c>
      <c r="K69" t="s">
        <v>7</v>
      </c>
      <c r="L69">
        <v>0</v>
      </c>
      <c r="M69">
        <v>1</v>
      </c>
    </row>
    <row r="70" spans="1:13">
      <c r="A70">
        <v>20</v>
      </c>
      <c r="B70">
        <v>2</v>
      </c>
      <c r="C70">
        <v>8</v>
      </c>
      <c r="D70" s="6" t="str">
        <f>VLOOKUP(Tabla13[[#This Row],[ID_PARTIDO]],Original!$AT$1:$AY$46,2,FALSE)</f>
        <v>Santiago Navarro Cuy</v>
      </c>
      <c r="E70" s="6" t="str">
        <f>VLOOKUP(Tabla13[[#This Row],[ID_PARTIDO]],Original!$AT$1:$AY$46,3,FALSE)</f>
        <v xml:space="preserve">Juan Pablo Vargas Jiménez </v>
      </c>
      <c r="F70" s="6" t="str">
        <f>VLOOKUP(Tabla13[[#This Row],[ID_PARTIDO]],Original!$AT$1:$AY$46,4,FALSE)</f>
        <v>sara juliana solano boada</v>
      </c>
      <c r="G70" s="6" t="str">
        <f>VLOOKUP(Tabla13[[#This Row],[ID_PARTIDO]],Original!$AT$1:$AY$46,5,FALSE)</f>
        <v xml:space="preserve">Juan Pablo Aponte Veloza </v>
      </c>
      <c r="H70" t="s">
        <v>14</v>
      </c>
      <c r="I70" t="s">
        <v>7</v>
      </c>
      <c r="J70" t="s">
        <v>14</v>
      </c>
      <c r="K70" t="s">
        <v>7</v>
      </c>
      <c r="L70">
        <v>1</v>
      </c>
      <c r="M70">
        <v>0</v>
      </c>
    </row>
    <row r="71" spans="1:13">
      <c r="A71">
        <v>20</v>
      </c>
      <c r="B71">
        <v>2</v>
      </c>
      <c r="C71">
        <v>9</v>
      </c>
      <c r="D71" s="6" t="str">
        <f>VLOOKUP(Tabla13[[#This Row],[ID_PARTIDO]],Original!$AT$1:$AY$46,2,FALSE)</f>
        <v>Santiago Navarro Cuy</v>
      </c>
      <c r="E71" s="6" t="str">
        <f>VLOOKUP(Tabla13[[#This Row],[ID_PARTIDO]],Original!$AT$1:$AY$46,3,FALSE)</f>
        <v xml:space="preserve">Juan Pablo Vargas Jiménez </v>
      </c>
      <c r="F71" s="6" t="str">
        <f>VLOOKUP(Tabla13[[#This Row],[ID_PARTIDO]],Original!$AT$1:$AY$46,4,FALSE)</f>
        <v>sara juliana solano boada</v>
      </c>
      <c r="G71" s="6" t="str">
        <f>VLOOKUP(Tabla13[[#This Row],[ID_PARTIDO]],Original!$AT$1:$AY$46,5,FALSE)</f>
        <v xml:space="preserve">Juan Pablo Aponte Veloza </v>
      </c>
      <c r="H71" t="s">
        <v>14</v>
      </c>
      <c r="I71" t="s">
        <v>7</v>
      </c>
      <c r="J71" t="s">
        <v>14</v>
      </c>
      <c r="K71" t="s">
        <v>7</v>
      </c>
      <c r="L71">
        <v>1</v>
      </c>
      <c r="M71">
        <v>0</v>
      </c>
    </row>
    <row r="72" spans="1:13">
      <c r="A72">
        <v>20</v>
      </c>
      <c r="B72">
        <v>2</v>
      </c>
      <c r="C72">
        <v>10</v>
      </c>
      <c r="D72" s="6" t="str">
        <f>VLOOKUP(Tabla13[[#This Row],[ID_PARTIDO]],Original!$AT$1:$AY$46,2,FALSE)</f>
        <v>Santiago Navarro Cuy</v>
      </c>
      <c r="E72" s="6" t="str">
        <f>VLOOKUP(Tabla13[[#This Row],[ID_PARTIDO]],Original!$AT$1:$AY$46,3,FALSE)</f>
        <v xml:space="preserve">Juan Pablo Vargas Jiménez </v>
      </c>
      <c r="F72" s="6" t="str">
        <f>VLOOKUP(Tabla13[[#This Row],[ID_PARTIDO]],Original!$AT$1:$AY$46,4,FALSE)</f>
        <v>sara juliana solano boada</v>
      </c>
      <c r="G72" s="6" t="str">
        <f>VLOOKUP(Tabla13[[#This Row],[ID_PARTIDO]],Original!$AT$1:$AY$46,5,FALSE)</f>
        <v xml:space="preserve">Juan Pablo Aponte Veloza </v>
      </c>
      <c r="H72" t="s">
        <v>14</v>
      </c>
      <c r="I72" t="s">
        <v>7</v>
      </c>
      <c r="J72" t="s">
        <v>14</v>
      </c>
      <c r="K72" t="s">
        <v>7</v>
      </c>
      <c r="L72">
        <v>1</v>
      </c>
      <c r="M72">
        <v>0</v>
      </c>
    </row>
    <row r="73" spans="1:13">
      <c r="A73">
        <v>20</v>
      </c>
      <c r="B73">
        <v>2</v>
      </c>
      <c r="C73">
        <v>11</v>
      </c>
      <c r="D73" s="6" t="str">
        <f>VLOOKUP(Tabla13[[#This Row],[ID_PARTIDO]],Original!$AT$1:$AY$46,2,FALSE)</f>
        <v>Santiago Navarro Cuy</v>
      </c>
      <c r="E73" s="6" t="str">
        <f>VLOOKUP(Tabla13[[#This Row],[ID_PARTIDO]],Original!$AT$1:$AY$46,3,FALSE)</f>
        <v xml:space="preserve">Juan Pablo Vargas Jiménez </v>
      </c>
      <c r="F73" s="6" t="str">
        <f>VLOOKUP(Tabla13[[#This Row],[ID_PARTIDO]],Original!$AT$1:$AY$46,4,FALSE)</f>
        <v>sara juliana solano boada</v>
      </c>
      <c r="G73" s="6" t="str">
        <f>VLOOKUP(Tabla13[[#This Row],[ID_PARTIDO]],Original!$AT$1:$AY$46,5,FALSE)</f>
        <v xml:space="preserve">Juan Pablo Aponte Veloza </v>
      </c>
      <c r="H73" t="s">
        <v>14</v>
      </c>
      <c r="I73" t="s">
        <v>7</v>
      </c>
      <c r="J73" t="s">
        <v>14</v>
      </c>
      <c r="K73" t="s">
        <v>7</v>
      </c>
      <c r="L73">
        <v>0</v>
      </c>
      <c r="M73">
        <v>1</v>
      </c>
    </row>
    <row r="74" spans="1:13">
      <c r="A74">
        <v>20</v>
      </c>
      <c r="B74">
        <v>2</v>
      </c>
      <c r="C74">
        <v>12</v>
      </c>
      <c r="D74" s="6" t="str">
        <f>VLOOKUP(Tabla13[[#This Row],[ID_PARTIDO]],Original!$AT$1:$AY$46,2,FALSE)</f>
        <v>Santiago Navarro Cuy</v>
      </c>
      <c r="E74" s="6" t="str">
        <f>VLOOKUP(Tabla13[[#This Row],[ID_PARTIDO]],Original!$AT$1:$AY$46,3,FALSE)</f>
        <v xml:space="preserve">Juan Pablo Vargas Jiménez </v>
      </c>
      <c r="F74" s="6" t="str">
        <f>VLOOKUP(Tabla13[[#This Row],[ID_PARTIDO]],Original!$AT$1:$AY$46,4,FALSE)</f>
        <v>sara juliana solano boada</v>
      </c>
      <c r="G74" s="6" t="str">
        <f>VLOOKUP(Tabla13[[#This Row],[ID_PARTIDO]],Original!$AT$1:$AY$46,5,FALSE)</f>
        <v xml:space="preserve">Juan Pablo Aponte Veloza </v>
      </c>
      <c r="H74" t="s">
        <v>14</v>
      </c>
      <c r="I74" t="s">
        <v>7</v>
      </c>
      <c r="J74" t="s">
        <v>14</v>
      </c>
      <c r="K74" t="s">
        <v>7</v>
      </c>
      <c r="L74">
        <v>0</v>
      </c>
      <c r="M74">
        <v>1</v>
      </c>
    </row>
    <row r="75" spans="1:13">
      <c r="A75">
        <v>18</v>
      </c>
      <c r="B75">
        <v>2</v>
      </c>
      <c r="C75">
        <v>1</v>
      </c>
      <c r="D75" s="6" t="str">
        <f>VLOOKUP(Tabla13[[#This Row],[ID_PARTIDO]],Original!$AT$1:$AY$46,2,FALSE)</f>
        <v xml:space="preserve">Juliana Beltrán Díaz </v>
      </c>
      <c r="E75" s="6" t="str">
        <f>VLOOKUP(Tabla13[[#This Row],[ID_PARTIDO]],Original!$AT$1:$AY$46,3,FALSE)</f>
        <v xml:space="preserve">Jonatan Nicolas Marmolejo Lopez </v>
      </c>
      <c r="F75" s="6" t="str">
        <f>VLOOKUP(Tabla13[[#This Row],[ID_PARTIDO]],Original!$AT$1:$AY$46,4,FALSE)</f>
        <v xml:space="preserve">Santiago Gutiérrez de Piñeres Barbosa  </v>
      </c>
      <c r="G75" s="6" t="str">
        <f>VLOOKUP(Tabla13[[#This Row],[ID_PARTIDO]],Original!$AT$1:$AY$46,5,FALSE)</f>
        <v>Jaime Andres Castillo Alvarez</v>
      </c>
      <c r="H75" t="s">
        <v>7</v>
      </c>
      <c r="I75" t="s">
        <v>14</v>
      </c>
      <c r="J75" t="s">
        <v>7</v>
      </c>
      <c r="K75" t="s">
        <v>14</v>
      </c>
      <c r="L75">
        <v>0</v>
      </c>
      <c r="M75">
        <v>1</v>
      </c>
    </row>
    <row r="76" spans="1:13">
      <c r="A76">
        <v>18</v>
      </c>
      <c r="B76">
        <v>2</v>
      </c>
      <c r="C76">
        <v>2</v>
      </c>
      <c r="D76" s="6" t="str">
        <f>VLOOKUP(Tabla13[[#This Row],[ID_PARTIDO]],Original!$AT$1:$AY$46,2,FALSE)</f>
        <v xml:space="preserve">Juliana Beltrán Díaz </v>
      </c>
      <c r="E76" s="6" t="str">
        <f>VLOOKUP(Tabla13[[#This Row],[ID_PARTIDO]],Original!$AT$1:$AY$46,3,FALSE)</f>
        <v xml:space="preserve">Jonatan Nicolas Marmolejo Lopez </v>
      </c>
      <c r="F76" s="6" t="str">
        <f>VLOOKUP(Tabla13[[#This Row],[ID_PARTIDO]],Original!$AT$1:$AY$46,4,FALSE)</f>
        <v xml:space="preserve">Santiago Gutiérrez de Piñeres Barbosa  </v>
      </c>
      <c r="G76" s="6" t="str">
        <f>VLOOKUP(Tabla13[[#This Row],[ID_PARTIDO]],Original!$AT$1:$AY$46,5,FALSE)</f>
        <v>Jaime Andres Castillo Alvarez</v>
      </c>
      <c r="H76" t="s">
        <v>7</v>
      </c>
      <c r="I76" t="s">
        <v>14</v>
      </c>
      <c r="J76" t="s">
        <v>7</v>
      </c>
      <c r="K76" t="s">
        <v>14</v>
      </c>
      <c r="L76">
        <v>0</v>
      </c>
      <c r="M76">
        <v>1</v>
      </c>
    </row>
    <row r="77" spans="1:13">
      <c r="A77">
        <v>18</v>
      </c>
      <c r="B77">
        <v>2</v>
      </c>
      <c r="C77">
        <v>3</v>
      </c>
      <c r="D77" s="6" t="str">
        <f>VLOOKUP(Tabla13[[#This Row],[ID_PARTIDO]],Original!$AT$1:$AY$46,2,FALSE)</f>
        <v xml:space="preserve">Juliana Beltrán Díaz </v>
      </c>
      <c r="E77" s="6" t="str">
        <f>VLOOKUP(Tabla13[[#This Row],[ID_PARTIDO]],Original!$AT$1:$AY$46,3,FALSE)</f>
        <v xml:space="preserve">Jonatan Nicolas Marmolejo Lopez </v>
      </c>
      <c r="F77" s="6" t="str">
        <f>VLOOKUP(Tabla13[[#This Row],[ID_PARTIDO]],Original!$AT$1:$AY$46,4,FALSE)</f>
        <v xml:space="preserve">Santiago Gutiérrez de Piñeres Barbosa  </v>
      </c>
      <c r="G77" s="6" t="str">
        <f>VLOOKUP(Tabla13[[#This Row],[ID_PARTIDO]],Original!$AT$1:$AY$46,5,FALSE)</f>
        <v>Jaime Andres Castillo Alvarez</v>
      </c>
      <c r="H77" t="s">
        <v>7</v>
      </c>
      <c r="I77" t="s">
        <v>14</v>
      </c>
      <c r="J77" t="s">
        <v>7</v>
      </c>
      <c r="K77" t="s">
        <v>14</v>
      </c>
      <c r="L77">
        <v>0</v>
      </c>
      <c r="M77">
        <v>1</v>
      </c>
    </row>
    <row r="78" spans="1:13">
      <c r="A78">
        <v>18</v>
      </c>
      <c r="B78">
        <v>2</v>
      </c>
      <c r="C78">
        <v>4</v>
      </c>
      <c r="D78" s="6" t="str">
        <f>VLOOKUP(Tabla13[[#This Row],[ID_PARTIDO]],Original!$AT$1:$AY$46,2,FALSE)</f>
        <v xml:space="preserve">Juliana Beltrán Díaz </v>
      </c>
      <c r="E78" s="6" t="str">
        <f>VLOOKUP(Tabla13[[#This Row],[ID_PARTIDO]],Original!$AT$1:$AY$46,3,FALSE)</f>
        <v xml:space="preserve">Jonatan Nicolas Marmolejo Lopez </v>
      </c>
      <c r="F78" s="6" t="str">
        <f>VLOOKUP(Tabla13[[#This Row],[ID_PARTIDO]],Original!$AT$1:$AY$46,4,FALSE)</f>
        <v xml:space="preserve">Santiago Gutiérrez de Piñeres Barbosa  </v>
      </c>
      <c r="G78" s="6" t="str">
        <f>VLOOKUP(Tabla13[[#This Row],[ID_PARTIDO]],Original!$AT$1:$AY$46,5,FALSE)</f>
        <v>Jaime Andres Castillo Alvarez</v>
      </c>
      <c r="H78" t="s">
        <v>7</v>
      </c>
      <c r="I78" t="s">
        <v>14</v>
      </c>
      <c r="J78" t="s">
        <v>7</v>
      </c>
      <c r="K78" t="s">
        <v>14</v>
      </c>
      <c r="L78">
        <v>0</v>
      </c>
      <c r="M78">
        <v>1</v>
      </c>
    </row>
    <row r="79" spans="1:13">
      <c r="A79">
        <v>18</v>
      </c>
      <c r="B79">
        <v>2</v>
      </c>
      <c r="C79">
        <v>5</v>
      </c>
      <c r="D79" s="6" t="str">
        <f>VLOOKUP(Tabla13[[#This Row],[ID_PARTIDO]],Original!$AT$1:$AY$46,2,FALSE)</f>
        <v xml:space="preserve">Juliana Beltrán Díaz </v>
      </c>
      <c r="E79" s="6" t="str">
        <f>VLOOKUP(Tabla13[[#This Row],[ID_PARTIDO]],Original!$AT$1:$AY$46,3,FALSE)</f>
        <v xml:space="preserve">Jonatan Nicolas Marmolejo Lopez </v>
      </c>
      <c r="F79" s="6" t="str">
        <f>VLOOKUP(Tabla13[[#This Row],[ID_PARTIDO]],Original!$AT$1:$AY$46,4,FALSE)</f>
        <v xml:space="preserve">Santiago Gutiérrez de Piñeres Barbosa  </v>
      </c>
      <c r="G79" s="6" t="str">
        <f>VLOOKUP(Tabla13[[#This Row],[ID_PARTIDO]],Original!$AT$1:$AY$46,5,FALSE)</f>
        <v>Jaime Andres Castillo Alvarez</v>
      </c>
      <c r="H79" t="s">
        <v>7</v>
      </c>
      <c r="I79" t="s">
        <v>14</v>
      </c>
      <c r="J79" t="s">
        <v>7</v>
      </c>
      <c r="K79" t="s">
        <v>14</v>
      </c>
      <c r="L79">
        <v>1</v>
      </c>
      <c r="M79">
        <v>0</v>
      </c>
    </row>
    <row r="80" spans="1:13">
      <c r="A80">
        <v>18</v>
      </c>
      <c r="B80">
        <v>2</v>
      </c>
      <c r="C80">
        <v>6</v>
      </c>
      <c r="D80" s="6" t="str">
        <f>VLOOKUP(Tabla13[[#This Row],[ID_PARTIDO]],Original!$AT$1:$AY$46,2,FALSE)</f>
        <v xml:space="preserve">Juliana Beltrán Díaz </v>
      </c>
      <c r="E80" s="6" t="str">
        <f>VLOOKUP(Tabla13[[#This Row],[ID_PARTIDO]],Original!$AT$1:$AY$46,3,FALSE)</f>
        <v xml:space="preserve">Jonatan Nicolas Marmolejo Lopez </v>
      </c>
      <c r="F80" s="6" t="str">
        <f>VLOOKUP(Tabla13[[#This Row],[ID_PARTIDO]],Original!$AT$1:$AY$46,4,FALSE)</f>
        <v xml:space="preserve">Santiago Gutiérrez de Piñeres Barbosa  </v>
      </c>
      <c r="G80" s="6" t="str">
        <f>VLOOKUP(Tabla13[[#This Row],[ID_PARTIDO]],Original!$AT$1:$AY$46,5,FALSE)</f>
        <v>Jaime Andres Castillo Alvarez</v>
      </c>
      <c r="H80" t="s">
        <v>7</v>
      </c>
      <c r="I80" t="s">
        <v>14</v>
      </c>
      <c r="J80" t="s">
        <v>7</v>
      </c>
      <c r="K80" t="s">
        <v>14</v>
      </c>
      <c r="L80">
        <v>0</v>
      </c>
      <c r="M80">
        <v>1</v>
      </c>
    </row>
    <row r="81" spans="1:13">
      <c r="A81">
        <v>18</v>
      </c>
      <c r="B81">
        <v>2</v>
      </c>
      <c r="C81">
        <v>7</v>
      </c>
      <c r="D81" s="6" t="str">
        <f>VLOOKUP(Tabla13[[#This Row],[ID_PARTIDO]],Original!$AT$1:$AY$46,2,FALSE)</f>
        <v xml:space="preserve">Juliana Beltrán Díaz </v>
      </c>
      <c r="E81" s="6" t="str">
        <f>VLOOKUP(Tabla13[[#This Row],[ID_PARTIDO]],Original!$AT$1:$AY$46,3,FALSE)</f>
        <v xml:space="preserve">Jonatan Nicolas Marmolejo Lopez </v>
      </c>
      <c r="F81" s="6" t="str">
        <f>VLOOKUP(Tabla13[[#This Row],[ID_PARTIDO]],Original!$AT$1:$AY$46,4,FALSE)</f>
        <v xml:space="preserve">Santiago Gutiérrez de Piñeres Barbosa  </v>
      </c>
      <c r="G81" s="6" t="str">
        <f>VLOOKUP(Tabla13[[#This Row],[ID_PARTIDO]],Original!$AT$1:$AY$46,5,FALSE)</f>
        <v>Jaime Andres Castillo Alvarez</v>
      </c>
      <c r="H81" t="s">
        <v>7</v>
      </c>
      <c r="I81" t="s">
        <v>14</v>
      </c>
      <c r="J81" t="s">
        <v>7</v>
      </c>
      <c r="K81" t="s">
        <v>14</v>
      </c>
      <c r="L81">
        <v>0</v>
      </c>
      <c r="M81">
        <v>1</v>
      </c>
    </row>
    <row r="82" spans="1:13">
      <c r="A82">
        <v>18</v>
      </c>
      <c r="B82">
        <v>2</v>
      </c>
      <c r="C82">
        <v>8</v>
      </c>
      <c r="D82" s="6" t="str">
        <f>VLOOKUP(Tabla13[[#This Row],[ID_PARTIDO]],Original!$AT$1:$AY$46,2,FALSE)</f>
        <v xml:space="preserve">Juliana Beltrán Díaz </v>
      </c>
      <c r="E82" s="6" t="str">
        <f>VLOOKUP(Tabla13[[#This Row],[ID_PARTIDO]],Original!$AT$1:$AY$46,3,FALSE)</f>
        <v xml:space="preserve">Jonatan Nicolas Marmolejo Lopez </v>
      </c>
      <c r="F82" s="6" t="str">
        <f>VLOOKUP(Tabla13[[#This Row],[ID_PARTIDO]],Original!$AT$1:$AY$46,4,FALSE)</f>
        <v xml:space="preserve">Santiago Gutiérrez de Piñeres Barbosa  </v>
      </c>
      <c r="G82" s="6" t="str">
        <f>VLOOKUP(Tabla13[[#This Row],[ID_PARTIDO]],Original!$AT$1:$AY$46,5,FALSE)</f>
        <v>Jaime Andres Castillo Alvarez</v>
      </c>
      <c r="H82" t="s">
        <v>7</v>
      </c>
      <c r="I82" t="s">
        <v>14</v>
      </c>
      <c r="J82" t="s">
        <v>7</v>
      </c>
      <c r="K82" t="s">
        <v>14</v>
      </c>
      <c r="L82">
        <v>1</v>
      </c>
      <c r="M82">
        <v>0</v>
      </c>
    </row>
    <row r="83" spans="1:13">
      <c r="A83">
        <v>18</v>
      </c>
      <c r="B83">
        <v>2</v>
      </c>
      <c r="C83">
        <v>9</v>
      </c>
      <c r="D83" s="6" t="str">
        <f>VLOOKUP(Tabla13[[#This Row],[ID_PARTIDO]],Original!$AT$1:$AY$46,2,FALSE)</f>
        <v xml:space="preserve">Juliana Beltrán Díaz </v>
      </c>
      <c r="E83" s="6" t="str">
        <f>VLOOKUP(Tabla13[[#This Row],[ID_PARTIDO]],Original!$AT$1:$AY$46,3,FALSE)</f>
        <v xml:space="preserve">Jonatan Nicolas Marmolejo Lopez </v>
      </c>
      <c r="F83" s="6" t="str">
        <f>VLOOKUP(Tabla13[[#This Row],[ID_PARTIDO]],Original!$AT$1:$AY$46,4,FALSE)</f>
        <v xml:space="preserve">Santiago Gutiérrez de Piñeres Barbosa  </v>
      </c>
      <c r="G83" s="6" t="str">
        <f>VLOOKUP(Tabla13[[#This Row],[ID_PARTIDO]],Original!$AT$1:$AY$46,5,FALSE)</f>
        <v>Jaime Andres Castillo Alvarez</v>
      </c>
      <c r="H83" t="s">
        <v>7</v>
      </c>
      <c r="I83" t="s">
        <v>14</v>
      </c>
      <c r="J83" t="s">
        <v>7</v>
      </c>
      <c r="K83" t="s">
        <v>14</v>
      </c>
      <c r="L83">
        <v>1</v>
      </c>
      <c r="M83">
        <v>0</v>
      </c>
    </row>
    <row r="84" spans="1:13">
      <c r="A84">
        <v>18</v>
      </c>
      <c r="B84">
        <v>2</v>
      </c>
      <c r="C84">
        <v>10</v>
      </c>
      <c r="D84" s="6" t="str">
        <f>VLOOKUP(Tabla13[[#This Row],[ID_PARTIDO]],Original!$AT$1:$AY$46,2,FALSE)</f>
        <v xml:space="preserve">Juliana Beltrán Díaz </v>
      </c>
      <c r="E84" s="6" t="str">
        <f>VLOOKUP(Tabla13[[#This Row],[ID_PARTIDO]],Original!$AT$1:$AY$46,3,FALSE)</f>
        <v xml:space="preserve">Jonatan Nicolas Marmolejo Lopez </v>
      </c>
      <c r="F84" s="6" t="str">
        <f>VLOOKUP(Tabla13[[#This Row],[ID_PARTIDO]],Original!$AT$1:$AY$46,4,FALSE)</f>
        <v xml:space="preserve">Santiago Gutiérrez de Piñeres Barbosa  </v>
      </c>
      <c r="G84" s="6" t="str">
        <f>VLOOKUP(Tabla13[[#This Row],[ID_PARTIDO]],Original!$AT$1:$AY$46,5,FALSE)</f>
        <v>Jaime Andres Castillo Alvarez</v>
      </c>
      <c r="H84" t="s">
        <v>7</v>
      </c>
      <c r="I84" t="s">
        <v>14</v>
      </c>
      <c r="J84" t="s">
        <v>7</v>
      </c>
      <c r="K84" t="s">
        <v>14</v>
      </c>
      <c r="L84">
        <v>0</v>
      </c>
      <c r="M84">
        <v>1</v>
      </c>
    </row>
    <row r="85" spans="1:13">
      <c r="A85">
        <v>14</v>
      </c>
      <c r="B85">
        <v>2</v>
      </c>
      <c r="C85">
        <v>1</v>
      </c>
      <c r="D85" s="6" t="str">
        <f>VLOOKUP(Tabla13[[#This Row],[ID_PARTIDO]],Original!$AT$1:$AY$46,2,FALSE)</f>
        <v xml:space="preserve">María José Cifuentes </v>
      </c>
      <c r="E85" s="6" t="str">
        <f>VLOOKUP(Tabla13[[#This Row],[ID_PARTIDO]],Original!$AT$1:$AY$46,3,FALSE)</f>
        <v>Rafael Andres Salcedo Valdivieso</v>
      </c>
      <c r="F85" s="6" t="str">
        <f>VLOOKUP(Tabla13[[#This Row],[ID_PARTIDO]],Original!$AT$1:$AY$46,4,FALSE)</f>
        <v>Luis Mario Ramirez Muñoz</v>
      </c>
      <c r="G85" s="6" t="str">
        <f>VLOOKUP(Tabla13[[#This Row],[ID_PARTIDO]],Original!$AT$1:$AY$46,5,FALSE)</f>
        <v>César Camilo Díaz Cufiño</v>
      </c>
      <c r="H85" t="s">
        <v>14</v>
      </c>
      <c r="I85" t="s">
        <v>7</v>
      </c>
      <c r="J85" t="s">
        <v>14</v>
      </c>
      <c r="K85" t="s">
        <v>7</v>
      </c>
      <c r="L85">
        <v>0</v>
      </c>
      <c r="M85">
        <v>1</v>
      </c>
    </row>
    <row r="86" spans="1:13">
      <c r="A86">
        <v>14</v>
      </c>
      <c r="B86">
        <v>2</v>
      </c>
      <c r="C86">
        <v>2</v>
      </c>
      <c r="D86" s="6" t="str">
        <f>VLOOKUP(Tabla13[[#This Row],[ID_PARTIDO]],Original!$AT$1:$AY$46,2,FALSE)</f>
        <v xml:space="preserve">María José Cifuentes </v>
      </c>
      <c r="E86" s="6" t="str">
        <f>VLOOKUP(Tabla13[[#This Row],[ID_PARTIDO]],Original!$AT$1:$AY$46,3,FALSE)</f>
        <v>Rafael Andres Salcedo Valdivieso</v>
      </c>
      <c r="F86" s="6" t="str">
        <f>VLOOKUP(Tabla13[[#This Row],[ID_PARTIDO]],Original!$AT$1:$AY$46,4,FALSE)</f>
        <v>Luis Mario Ramirez Muñoz</v>
      </c>
      <c r="G86" s="6" t="str">
        <f>VLOOKUP(Tabla13[[#This Row],[ID_PARTIDO]],Original!$AT$1:$AY$46,5,FALSE)</f>
        <v>César Camilo Díaz Cufiño</v>
      </c>
      <c r="H86" t="s">
        <v>14</v>
      </c>
      <c r="I86" t="s">
        <v>7</v>
      </c>
      <c r="J86" t="s">
        <v>14</v>
      </c>
      <c r="K86" t="s">
        <v>7</v>
      </c>
      <c r="L86">
        <v>1</v>
      </c>
      <c r="M86">
        <v>0</v>
      </c>
    </row>
    <row r="87" spans="1:13">
      <c r="A87">
        <v>14</v>
      </c>
      <c r="B87">
        <v>2</v>
      </c>
      <c r="C87">
        <v>3</v>
      </c>
      <c r="D87" s="6" t="str">
        <f>VLOOKUP(Tabla13[[#This Row],[ID_PARTIDO]],Original!$AT$1:$AY$46,2,FALSE)</f>
        <v xml:space="preserve">María José Cifuentes </v>
      </c>
      <c r="E87" s="6" t="str">
        <f>VLOOKUP(Tabla13[[#This Row],[ID_PARTIDO]],Original!$AT$1:$AY$46,3,FALSE)</f>
        <v>Rafael Andres Salcedo Valdivieso</v>
      </c>
      <c r="F87" s="6" t="str">
        <f>VLOOKUP(Tabla13[[#This Row],[ID_PARTIDO]],Original!$AT$1:$AY$46,4,FALSE)</f>
        <v>Luis Mario Ramirez Muñoz</v>
      </c>
      <c r="G87" s="6" t="str">
        <f>VLOOKUP(Tabla13[[#This Row],[ID_PARTIDO]],Original!$AT$1:$AY$46,5,FALSE)</f>
        <v>César Camilo Díaz Cufiño</v>
      </c>
      <c r="H87" t="s">
        <v>14</v>
      </c>
      <c r="I87" t="s">
        <v>7</v>
      </c>
      <c r="J87" t="s">
        <v>14</v>
      </c>
      <c r="K87" t="s">
        <v>7</v>
      </c>
      <c r="L87">
        <v>1</v>
      </c>
      <c r="M87">
        <v>0</v>
      </c>
    </row>
    <row r="88" spans="1:13">
      <c r="A88">
        <v>14</v>
      </c>
      <c r="B88">
        <v>2</v>
      </c>
      <c r="C88">
        <v>4</v>
      </c>
      <c r="D88" s="6" t="str">
        <f>VLOOKUP(Tabla13[[#This Row],[ID_PARTIDO]],Original!$AT$1:$AY$46,2,FALSE)</f>
        <v xml:space="preserve">María José Cifuentes </v>
      </c>
      <c r="E88" s="6" t="str">
        <f>VLOOKUP(Tabla13[[#This Row],[ID_PARTIDO]],Original!$AT$1:$AY$46,3,FALSE)</f>
        <v>Rafael Andres Salcedo Valdivieso</v>
      </c>
      <c r="F88" s="6" t="str">
        <f>VLOOKUP(Tabla13[[#This Row],[ID_PARTIDO]],Original!$AT$1:$AY$46,4,FALSE)</f>
        <v>Luis Mario Ramirez Muñoz</v>
      </c>
      <c r="G88" s="6" t="str">
        <f>VLOOKUP(Tabla13[[#This Row],[ID_PARTIDO]],Original!$AT$1:$AY$46,5,FALSE)</f>
        <v>César Camilo Díaz Cufiño</v>
      </c>
      <c r="H88" t="s">
        <v>14</v>
      </c>
      <c r="I88" t="s">
        <v>7</v>
      </c>
      <c r="J88" t="s">
        <v>14</v>
      </c>
      <c r="K88" t="s">
        <v>7</v>
      </c>
      <c r="L88">
        <v>1</v>
      </c>
      <c r="M88">
        <v>0</v>
      </c>
    </row>
    <row r="89" spans="1:13">
      <c r="A89">
        <v>14</v>
      </c>
      <c r="B89">
        <v>2</v>
      </c>
      <c r="C89">
        <v>5</v>
      </c>
      <c r="D89" s="6" t="str">
        <f>VLOOKUP(Tabla13[[#This Row],[ID_PARTIDO]],Original!$AT$1:$AY$46,2,FALSE)</f>
        <v xml:space="preserve">María José Cifuentes </v>
      </c>
      <c r="E89" s="6" t="str">
        <f>VLOOKUP(Tabla13[[#This Row],[ID_PARTIDO]],Original!$AT$1:$AY$46,3,FALSE)</f>
        <v>Rafael Andres Salcedo Valdivieso</v>
      </c>
      <c r="F89" s="6" t="str">
        <f>VLOOKUP(Tabla13[[#This Row],[ID_PARTIDO]],Original!$AT$1:$AY$46,4,FALSE)</f>
        <v>Luis Mario Ramirez Muñoz</v>
      </c>
      <c r="G89" s="6" t="str">
        <f>VLOOKUP(Tabla13[[#This Row],[ID_PARTIDO]],Original!$AT$1:$AY$46,5,FALSE)</f>
        <v>César Camilo Díaz Cufiño</v>
      </c>
      <c r="H89" t="s">
        <v>14</v>
      </c>
      <c r="I89" t="s">
        <v>7</v>
      </c>
      <c r="J89" t="s">
        <v>14</v>
      </c>
      <c r="K89" t="s">
        <v>7</v>
      </c>
      <c r="L89">
        <v>1</v>
      </c>
      <c r="M89">
        <v>0</v>
      </c>
    </row>
    <row r="90" spans="1:13">
      <c r="A90">
        <v>14</v>
      </c>
      <c r="B90">
        <v>2</v>
      </c>
      <c r="C90">
        <v>6</v>
      </c>
      <c r="D90" s="6" t="str">
        <f>VLOOKUP(Tabla13[[#This Row],[ID_PARTIDO]],Original!$AT$1:$AY$46,2,FALSE)</f>
        <v xml:space="preserve">María José Cifuentes </v>
      </c>
      <c r="E90" s="6" t="str">
        <f>VLOOKUP(Tabla13[[#This Row],[ID_PARTIDO]],Original!$AT$1:$AY$46,3,FALSE)</f>
        <v>Rafael Andres Salcedo Valdivieso</v>
      </c>
      <c r="F90" s="6" t="str">
        <f>VLOOKUP(Tabla13[[#This Row],[ID_PARTIDO]],Original!$AT$1:$AY$46,4,FALSE)</f>
        <v>Luis Mario Ramirez Muñoz</v>
      </c>
      <c r="G90" s="6" t="str">
        <f>VLOOKUP(Tabla13[[#This Row],[ID_PARTIDO]],Original!$AT$1:$AY$46,5,FALSE)</f>
        <v>César Camilo Díaz Cufiño</v>
      </c>
      <c r="H90" t="s">
        <v>14</v>
      </c>
      <c r="I90" t="s">
        <v>7</v>
      </c>
      <c r="J90" t="s">
        <v>14</v>
      </c>
      <c r="K90" t="s">
        <v>7</v>
      </c>
      <c r="L90">
        <v>1</v>
      </c>
      <c r="M90">
        <v>0</v>
      </c>
    </row>
    <row r="91" spans="1:13">
      <c r="A91">
        <v>14</v>
      </c>
      <c r="B91">
        <v>2</v>
      </c>
      <c r="C91">
        <v>7</v>
      </c>
      <c r="D91" s="6" t="str">
        <f>VLOOKUP(Tabla13[[#This Row],[ID_PARTIDO]],Original!$AT$1:$AY$46,2,FALSE)</f>
        <v xml:space="preserve">María José Cifuentes </v>
      </c>
      <c r="E91" s="6" t="str">
        <f>VLOOKUP(Tabla13[[#This Row],[ID_PARTIDO]],Original!$AT$1:$AY$46,3,FALSE)</f>
        <v>Rafael Andres Salcedo Valdivieso</v>
      </c>
      <c r="F91" s="6" t="str">
        <f>VLOOKUP(Tabla13[[#This Row],[ID_PARTIDO]],Original!$AT$1:$AY$46,4,FALSE)</f>
        <v>Luis Mario Ramirez Muñoz</v>
      </c>
      <c r="G91" s="6" t="str">
        <f>VLOOKUP(Tabla13[[#This Row],[ID_PARTIDO]],Original!$AT$1:$AY$46,5,FALSE)</f>
        <v>César Camilo Díaz Cufiño</v>
      </c>
      <c r="H91" t="s">
        <v>14</v>
      </c>
      <c r="I91" t="s">
        <v>7</v>
      </c>
      <c r="J91" t="s">
        <v>14</v>
      </c>
      <c r="K91" t="s">
        <v>7</v>
      </c>
      <c r="L91">
        <v>0</v>
      </c>
      <c r="M91">
        <v>1</v>
      </c>
    </row>
    <row r="92" spans="1:13">
      <c r="A92">
        <v>14</v>
      </c>
      <c r="B92">
        <v>2</v>
      </c>
      <c r="C92">
        <v>8</v>
      </c>
      <c r="D92" s="6" t="str">
        <f>VLOOKUP(Tabla13[[#This Row],[ID_PARTIDO]],Original!$AT$1:$AY$46,2,FALSE)</f>
        <v xml:space="preserve">María José Cifuentes </v>
      </c>
      <c r="E92" s="6" t="str">
        <f>VLOOKUP(Tabla13[[#This Row],[ID_PARTIDO]],Original!$AT$1:$AY$46,3,FALSE)</f>
        <v>Rafael Andres Salcedo Valdivieso</v>
      </c>
      <c r="F92" s="6" t="str">
        <f>VLOOKUP(Tabla13[[#This Row],[ID_PARTIDO]],Original!$AT$1:$AY$46,4,FALSE)</f>
        <v>Luis Mario Ramirez Muñoz</v>
      </c>
      <c r="G92" s="6" t="str">
        <f>VLOOKUP(Tabla13[[#This Row],[ID_PARTIDO]],Original!$AT$1:$AY$46,5,FALSE)</f>
        <v>César Camilo Díaz Cufiño</v>
      </c>
      <c r="H92" t="s">
        <v>14</v>
      </c>
      <c r="I92" t="s">
        <v>7</v>
      </c>
      <c r="J92" t="s">
        <v>14</v>
      </c>
      <c r="K92" t="s">
        <v>7</v>
      </c>
      <c r="L92">
        <v>0</v>
      </c>
      <c r="M92">
        <v>1</v>
      </c>
    </row>
    <row r="93" spans="1:13">
      <c r="A93">
        <v>14</v>
      </c>
      <c r="B93">
        <v>2</v>
      </c>
      <c r="C93">
        <v>9</v>
      </c>
      <c r="D93" s="6" t="str">
        <f>VLOOKUP(Tabla13[[#This Row],[ID_PARTIDO]],Original!$AT$1:$AY$46,2,FALSE)</f>
        <v xml:space="preserve">María José Cifuentes </v>
      </c>
      <c r="E93" s="6" t="str">
        <f>VLOOKUP(Tabla13[[#This Row],[ID_PARTIDO]],Original!$AT$1:$AY$46,3,FALSE)</f>
        <v>Rafael Andres Salcedo Valdivieso</v>
      </c>
      <c r="F93" s="6" t="str">
        <f>VLOOKUP(Tabla13[[#This Row],[ID_PARTIDO]],Original!$AT$1:$AY$46,4,FALSE)</f>
        <v>Luis Mario Ramirez Muñoz</v>
      </c>
      <c r="G93" s="6" t="str">
        <f>VLOOKUP(Tabla13[[#This Row],[ID_PARTIDO]],Original!$AT$1:$AY$46,5,FALSE)</f>
        <v>César Camilo Díaz Cufiño</v>
      </c>
      <c r="H93" t="s">
        <v>14</v>
      </c>
      <c r="I93" t="s">
        <v>7</v>
      </c>
      <c r="J93" t="s">
        <v>14</v>
      </c>
      <c r="K93" t="s">
        <v>7</v>
      </c>
      <c r="L93">
        <v>0</v>
      </c>
      <c r="M93">
        <v>1</v>
      </c>
    </row>
    <row r="94" spans="1:13">
      <c r="A94">
        <v>14</v>
      </c>
      <c r="B94">
        <v>2</v>
      </c>
      <c r="C94">
        <v>10</v>
      </c>
      <c r="D94" s="6" t="str">
        <f>VLOOKUP(Tabla13[[#This Row],[ID_PARTIDO]],Original!$AT$1:$AY$46,2,FALSE)</f>
        <v xml:space="preserve">María José Cifuentes </v>
      </c>
      <c r="E94" s="6" t="str">
        <f>VLOOKUP(Tabla13[[#This Row],[ID_PARTIDO]],Original!$AT$1:$AY$46,3,FALSE)</f>
        <v>Rafael Andres Salcedo Valdivieso</v>
      </c>
      <c r="F94" s="6" t="str">
        <f>VLOOKUP(Tabla13[[#This Row],[ID_PARTIDO]],Original!$AT$1:$AY$46,4,FALSE)</f>
        <v>Luis Mario Ramirez Muñoz</v>
      </c>
      <c r="G94" s="6" t="str">
        <f>VLOOKUP(Tabla13[[#This Row],[ID_PARTIDO]],Original!$AT$1:$AY$46,5,FALSE)</f>
        <v>César Camilo Díaz Cufiño</v>
      </c>
      <c r="H94" t="s">
        <v>14</v>
      </c>
      <c r="I94" t="s">
        <v>7</v>
      </c>
      <c r="J94" t="s">
        <v>14</v>
      </c>
      <c r="K94" t="s">
        <v>7</v>
      </c>
      <c r="L94">
        <v>1</v>
      </c>
      <c r="M94">
        <v>0</v>
      </c>
    </row>
    <row r="95" spans="1:13">
      <c r="A95">
        <v>14</v>
      </c>
      <c r="B95">
        <v>2</v>
      </c>
      <c r="C95">
        <v>11</v>
      </c>
      <c r="D95" s="6" t="str">
        <f>VLOOKUP(Tabla13[[#This Row],[ID_PARTIDO]],Original!$AT$1:$AY$46,2,FALSE)</f>
        <v xml:space="preserve">María José Cifuentes </v>
      </c>
      <c r="E95" s="6" t="str">
        <f>VLOOKUP(Tabla13[[#This Row],[ID_PARTIDO]],Original!$AT$1:$AY$46,3,FALSE)</f>
        <v>Rafael Andres Salcedo Valdivieso</v>
      </c>
      <c r="F95" s="6" t="str">
        <f>VLOOKUP(Tabla13[[#This Row],[ID_PARTIDO]],Original!$AT$1:$AY$46,4,FALSE)</f>
        <v>Luis Mario Ramirez Muñoz</v>
      </c>
      <c r="G95" s="6" t="str">
        <f>VLOOKUP(Tabla13[[#This Row],[ID_PARTIDO]],Original!$AT$1:$AY$46,5,FALSE)</f>
        <v>César Camilo Díaz Cufiño</v>
      </c>
      <c r="H95" t="s">
        <v>14</v>
      </c>
      <c r="I95" t="s">
        <v>7</v>
      </c>
      <c r="J95" t="s">
        <v>14</v>
      </c>
      <c r="K95" t="s">
        <v>7</v>
      </c>
      <c r="L95">
        <v>1</v>
      </c>
      <c r="M95">
        <v>0</v>
      </c>
    </row>
    <row r="96" spans="1:13">
      <c r="A96">
        <v>16</v>
      </c>
      <c r="B96">
        <v>2</v>
      </c>
      <c r="C96">
        <v>1</v>
      </c>
      <c r="D96" s="6" t="str">
        <f>VLOOKUP(Tabla13[[#This Row],[ID_PARTIDO]],Original!$AT$1:$AY$46,2,FALSE)</f>
        <v>Santiago Peña Beltran</v>
      </c>
      <c r="E96" s="6" t="str">
        <f>VLOOKUP(Tabla13[[#This Row],[ID_PARTIDO]],Original!$AT$1:$AY$46,3,FALSE)</f>
        <v>Samuel Andrés Rodríguez Ulloa</v>
      </c>
      <c r="F96" s="6" t="str">
        <f>VLOOKUP(Tabla13[[#This Row],[ID_PARTIDO]],Original!$AT$1:$AY$46,4,FALSE)</f>
        <v>Maria Fernanda Tamayo Lopez</v>
      </c>
      <c r="G96" s="6" t="str">
        <f>VLOOKUP(Tabla13[[#This Row],[ID_PARTIDO]],Original!$AT$1:$AY$46,5,FALSE)</f>
        <v xml:space="preserve">maria jose martinez villabona </v>
      </c>
      <c r="H96" t="s">
        <v>14</v>
      </c>
      <c r="I96" t="s">
        <v>7</v>
      </c>
      <c r="J96" t="s">
        <v>7</v>
      </c>
      <c r="K96" t="s">
        <v>14</v>
      </c>
      <c r="L96">
        <v>1</v>
      </c>
      <c r="M96">
        <v>0</v>
      </c>
    </row>
    <row r="97" spans="1:13">
      <c r="A97">
        <v>16</v>
      </c>
      <c r="B97">
        <v>2</v>
      </c>
      <c r="C97">
        <v>2</v>
      </c>
      <c r="D97" s="6" t="str">
        <f>VLOOKUP(Tabla13[[#This Row],[ID_PARTIDO]],Original!$AT$1:$AY$46,2,FALSE)</f>
        <v>Santiago Peña Beltran</v>
      </c>
      <c r="E97" s="6" t="str">
        <f>VLOOKUP(Tabla13[[#This Row],[ID_PARTIDO]],Original!$AT$1:$AY$46,3,FALSE)</f>
        <v>Samuel Andrés Rodríguez Ulloa</v>
      </c>
      <c r="F97" s="6" t="str">
        <f>VLOOKUP(Tabla13[[#This Row],[ID_PARTIDO]],Original!$AT$1:$AY$46,4,FALSE)</f>
        <v>Maria Fernanda Tamayo Lopez</v>
      </c>
      <c r="G97" s="6" t="str">
        <f>VLOOKUP(Tabla13[[#This Row],[ID_PARTIDO]],Original!$AT$1:$AY$46,5,FALSE)</f>
        <v xml:space="preserve">maria jose martinez villabona </v>
      </c>
      <c r="H97" t="s">
        <v>14</v>
      </c>
      <c r="I97" t="s">
        <v>7</v>
      </c>
      <c r="J97" t="s">
        <v>7</v>
      </c>
      <c r="K97" t="s">
        <v>14</v>
      </c>
      <c r="L97">
        <v>0</v>
      </c>
      <c r="M97">
        <v>1</v>
      </c>
    </row>
    <row r="98" spans="1:13">
      <c r="A98">
        <v>16</v>
      </c>
      <c r="B98">
        <v>2</v>
      </c>
      <c r="C98">
        <v>3</v>
      </c>
      <c r="D98" s="6" t="str">
        <f>VLOOKUP(Tabla13[[#This Row],[ID_PARTIDO]],Original!$AT$1:$AY$46,2,FALSE)</f>
        <v>Santiago Peña Beltran</v>
      </c>
      <c r="E98" s="6" t="str">
        <f>VLOOKUP(Tabla13[[#This Row],[ID_PARTIDO]],Original!$AT$1:$AY$46,3,FALSE)</f>
        <v>Samuel Andrés Rodríguez Ulloa</v>
      </c>
      <c r="F98" s="6" t="str">
        <f>VLOOKUP(Tabla13[[#This Row],[ID_PARTIDO]],Original!$AT$1:$AY$46,4,FALSE)</f>
        <v>Maria Fernanda Tamayo Lopez</v>
      </c>
      <c r="G98" s="6" t="str">
        <f>VLOOKUP(Tabla13[[#This Row],[ID_PARTIDO]],Original!$AT$1:$AY$46,5,FALSE)</f>
        <v xml:space="preserve">maria jose martinez villabona </v>
      </c>
      <c r="H98" t="s">
        <v>14</v>
      </c>
      <c r="I98" t="s">
        <v>7</v>
      </c>
      <c r="J98" t="s">
        <v>7</v>
      </c>
      <c r="K98" t="s">
        <v>14</v>
      </c>
      <c r="L98">
        <v>0</v>
      </c>
      <c r="M98">
        <v>1</v>
      </c>
    </row>
    <row r="99" spans="1:13">
      <c r="A99">
        <v>16</v>
      </c>
      <c r="B99">
        <v>2</v>
      </c>
      <c r="C99">
        <v>4</v>
      </c>
      <c r="D99" s="6" t="str">
        <f>VLOOKUP(Tabla13[[#This Row],[ID_PARTIDO]],Original!$AT$1:$AY$46,2,FALSE)</f>
        <v>Santiago Peña Beltran</v>
      </c>
      <c r="E99" s="6" t="str">
        <f>VLOOKUP(Tabla13[[#This Row],[ID_PARTIDO]],Original!$AT$1:$AY$46,3,FALSE)</f>
        <v>Samuel Andrés Rodríguez Ulloa</v>
      </c>
      <c r="F99" s="6" t="str">
        <f>VLOOKUP(Tabla13[[#This Row],[ID_PARTIDO]],Original!$AT$1:$AY$46,4,FALSE)</f>
        <v>Maria Fernanda Tamayo Lopez</v>
      </c>
      <c r="G99" s="6" t="str">
        <f>VLOOKUP(Tabla13[[#This Row],[ID_PARTIDO]],Original!$AT$1:$AY$46,5,FALSE)</f>
        <v xml:space="preserve">maria jose martinez villabona </v>
      </c>
      <c r="H99" t="s">
        <v>14</v>
      </c>
      <c r="I99" t="s">
        <v>7</v>
      </c>
      <c r="J99" t="s">
        <v>7</v>
      </c>
      <c r="K99" t="s">
        <v>14</v>
      </c>
      <c r="L99">
        <v>0</v>
      </c>
      <c r="M99">
        <v>1</v>
      </c>
    </row>
    <row r="100" spans="1:13">
      <c r="A100">
        <v>16</v>
      </c>
      <c r="B100">
        <v>2</v>
      </c>
      <c r="C100">
        <v>5</v>
      </c>
      <c r="D100" s="6" t="str">
        <f>VLOOKUP(Tabla13[[#This Row],[ID_PARTIDO]],Original!$AT$1:$AY$46,2,FALSE)</f>
        <v>Santiago Peña Beltran</v>
      </c>
      <c r="E100" s="6" t="str">
        <f>VLOOKUP(Tabla13[[#This Row],[ID_PARTIDO]],Original!$AT$1:$AY$46,3,FALSE)</f>
        <v>Samuel Andrés Rodríguez Ulloa</v>
      </c>
      <c r="F100" s="6" t="str">
        <f>VLOOKUP(Tabla13[[#This Row],[ID_PARTIDO]],Original!$AT$1:$AY$46,4,FALSE)</f>
        <v>Maria Fernanda Tamayo Lopez</v>
      </c>
      <c r="G100" s="6" t="str">
        <f>VLOOKUP(Tabla13[[#This Row],[ID_PARTIDO]],Original!$AT$1:$AY$46,5,FALSE)</f>
        <v xml:space="preserve">maria jose martinez villabona </v>
      </c>
      <c r="H100" t="s">
        <v>14</v>
      </c>
      <c r="I100" t="s">
        <v>7</v>
      </c>
      <c r="J100" t="s">
        <v>7</v>
      </c>
      <c r="K100" t="s">
        <v>14</v>
      </c>
      <c r="L100">
        <v>1</v>
      </c>
      <c r="M100">
        <v>0</v>
      </c>
    </row>
    <row r="101" spans="1:13">
      <c r="A101">
        <v>16</v>
      </c>
      <c r="B101">
        <v>2</v>
      </c>
      <c r="C101">
        <v>6</v>
      </c>
      <c r="D101" s="6" t="str">
        <f>VLOOKUP(Tabla13[[#This Row],[ID_PARTIDO]],Original!$AT$1:$AY$46,2,FALSE)</f>
        <v>Santiago Peña Beltran</v>
      </c>
      <c r="E101" s="6" t="str">
        <f>VLOOKUP(Tabla13[[#This Row],[ID_PARTIDO]],Original!$AT$1:$AY$46,3,FALSE)</f>
        <v>Samuel Andrés Rodríguez Ulloa</v>
      </c>
      <c r="F101" s="6" t="str">
        <f>VLOOKUP(Tabla13[[#This Row],[ID_PARTIDO]],Original!$AT$1:$AY$46,4,FALSE)</f>
        <v>Maria Fernanda Tamayo Lopez</v>
      </c>
      <c r="G101" s="6" t="str">
        <f>VLOOKUP(Tabla13[[#This Row],[ID_PARTIDO]],Original!$AT$1:$AY$46,5,FALSE)</f>
        <v xml:space="preserve">maria jose martinez villabona </v>
      </c>
      <c r="H101" t="s">
        <v>14</v>
      </c>
      <c r="I101" t="s">
        <v>7</v>
      </c>
      <c r="J101" t="s">
        <v>7</v>
      </c>
      <c r="K101" t="s">
        <v>14</v>
      </c>
      <c r="L101">
        <v>1</v>
      </c>
      <c r="M101">
        <v>0</v>
      </c>
    </row>
    <row r="102" spans="1:13">
      <c r="A102">
        <v>16</v>
      </c>
      <c r="B102">
        <v>2</v>
      </c>
      <c r="C102">
        <v>7</v>
      </c>
      <c r="D102" s="6" t="str">
        <f>VLOOKUP(Tabla13[[#This Row],[ID_PARTIDO]],Original!$AT$1:$AY$46,2,FALSE)</f>
        <v>Santiago Peña Beltran</v>
      </c>
      <c r="E102" s="6" t="str">
        <f>VLOOKUP(Tabla13[[#This Row],[ID_PARTIDO]],Original!$AT$1:$AY$46,3,FALSE)</f>
        <v>Samuel Andrés Rodríguez Ulloa</v>
      </c>
      <c r="F102" s="6" t="str">
        <f>VLOOKUP(Tabla13[[#This Row],[ID_PARTIDO]],Original!$AT$1:$AY$46,4,FALSE)</f>
        <v>Maria Fernanda Tamayo Lopez</v>
      </c>
      <c r="G102" s="6" t="str">
        <f>VLOOKUP(Tabla13[[#This Row],[ID_PARTIDO]],Original!$AT$1:$AY$46,5,FALSE)</f>
        <v xml:space="preserve">maria jose martinez villabona </v>
      </c>
      <c r="H102" t="s">
        <v>14</v>
      </c>
      <c r="I102" t="s">
        <v>7</v>
      </c>
      <c r="J102" t="s">
        <v>7</v>
      </c>
      <c r="K102" t="s">
        <v>14</v>
      </c>
      <c r="L102">
        <v>1</v>
      </c>
      <c r="M102">
        <v>0</v>
      </c>
    </row>
    <row r="103" spans="1:13">
      <c r="A103">
        <v>16</v>
      </c>
      <c r="B103">
        <v>2</v>
      </c>
      <c r="C103">
        <v>8</v>
      </c>
      <c r="D103" s="6" t="str">
        <f>VLOOKUP(Tabla13[[#This Row],[ID_PARTIDO]],Original!$AT$1:$AY$46,2,FALSE)</f>
        <v>Santiago Peña Beltran</v>
      </c>
      <c r="E103" s="6" t="str">
        <f>VLOOKUP(Tabla13[[#This Row],[ID_PARTIDO]],Original!$AT$1:$AY$46,3,FALSE)</f>
        <v>Samuel Andrés Rodríguez Ulloa</v>
      </c>
      <c r="F103" s="6" t="str">
        <f>VLOOKUP(Tabla13[[#This Row],[ID_PARTIDO]],Original!$AT$1:$AY$46,4,FALSE)</f>
        <v>Maria Fernanda Tamayo Lopez</v>
      </c>
      <c r="G103" s="6" t="str">
        <f>VLOOKUP(Tabla13[[#This Row],[ID_PARTIDO]],Original!$AT$1:$AY$46,5,FALSE)</f>
        <v xml:space="preserve">maria jose martinez villabona </v>
      </c>
      <c r="H103" t="s">
        <v>14</v>
      </c>
      <c r="I103" t="s">
        <v>7</v>
      </c>
      <c r="J103" t="s">
        <v>7</v>
      </c>
      <c r="K103" t="s">
        <v>14</v>
      </c>
      <c r="L103">
        <v>0</v>
      </c>
      <c r="M103">
        <v>1</v>
      </c>
    </row>
    <row r="104" spans="1:13">
      <c r="A104">
        <v>16</v>
      </c>
      <c r="B104">
        <v>2</v>
      </c>
      <c r="C104">
        <v>9</v>
      </c>
      <c r="D104" s="6" t="str">
        <f>VLOOKUP(Tabla13[[#This Row],[ID_PARTIDO]],Original!$AT$1:$AY$46,2,FALSE)</f>
        <v>Santiago Peña Beltran</v>
      </c>
      <c r="E104" s="6" t="str">
        <f>VLOOKUP(Tabla13[[#This Row],[ID_PARTIDO]],Original!$AT$1:$AY$46,3,FALSE)</f>
        <v>Samuel Andrés Rodríguez Ulloa</v>
      </c>
      <c r="F104" s="6" t="str">
        <f>VLOOKUP(Tabla13[[#This Row],[ID_PARTIDO]],Original!$AT$1:$AY$46,4,FALSE)</f>
        <v>Maria Fernanda Tamayo Lopez</v>
      </c>
      <c r="G104" s="6" t="str">
        <f>VLOOKUP(Tabla13[[#This Row],[ID_PARTIDO]],Original!$AT$1:$AY$46,5,FALSE)</f>
        <v xml:space="preserve">maria jose martinez villabona </v>
      </c>
      <c r="H104" t="s">
        <v>14</v>
      </c>
      <c r="I104" t="s">
        <v>7</v>
      </c>
      <c r="J104" t="s">
        <v>7</v>
      </c>
      <c r="K104" t="s">
        <v>14</v>
      </c>
      <c r="L104">
        <v>1</v>
      </c>
      <c r="M104">
        <v>0</v>
      </c>
    </row>
    <row r="105" spans="1:13">
      <c r="A105">
        <v>16</v>
      </c>
      <c r="B105">
        <v>2</v>
      </c>
      <c r="C105">
        <v>10</v>
      </c>
      <c r="D105" s="6" t="str">
        <f>VLOOKUP(Tabla13[[#This Row],[ID_PARTIDO]],Original!$AT$1:$AY$46,2,FALSE)</f>
        <v>Santiago Peña Beltran</v>
      </c>
      <c r="E105" s="6" t="str">
        <f>VLOOKUP(Tabla13[[#This Row],[ID_PARTIDO]],Original!$AT$1:$AY$46,3,FALSE)</f>
        <v>Samuel Andrés Rodríguez Ulloa</v>
      </c>
      <c r="F105" s="6" t="str">
        <f>VLOOKUP(Tabla13[[#This Row],[ID_PARTIDO]],Original!$AT$1:$AY$46,4,FALSE)</f>
        <v>Maria Fernanda Tamayo Lopez</v>
      </c>
      <c r="G105" s="6" t="str">
        <f>VLOOKUP(Tabla13[[#This Row],[ID_PARTIDO]],Original!$AT$1:$AY$46,5,FALSE)</f>
        <v xml:space="preserve">maria jose martinez villabona </v>
      </c>
      <c r="H105" t="s">
        <v>14</v>
      </c>
      <c r="I105" t="s">
        <v>7</v>
      </c>
      <c r="J105" t="s">
        <v>7</v>
      </c>
      <c r="K105" t="s">
        <v>14</v>
      </c>
      <c r="L105">
        <v>0</v>
      </c>
      <c r="M105">
        <v>1</v>
      </c>
    </row>
    <row r="106" spans="1:13">
      <c r="A106">
        <v>16</v>
      </c>
      <c r="B106">
        <v>2</v>
      </c>
      <c r="C106">
        <v>11</v>
      </c>
      <c r="D106" s="6" t="str">
        <f>VLOOKUP(Tabla13[[#This Row],[ID_PARTIDO]],Original!$AT$1:$AY$46,2,FALSE)</f>
        <v>Santiago Peña Beltran</v>
      </c>
      <c r="E106" s="6" t="str">
        <f>VLOOKUP(Tabla13[[#This Row],[ID_PARTIDO]],Original!$AT$1:$AY$46,3,FALSE)</f>
        <v>Samuel Andrés Rodríguez Ulloa</v>
      </c>
      <c r="F106" s="6" t="str">
        <f>VLOOKUP(Tabla13[[#This Row],[ID_PARTIDO]],Original!$AT$1:$AY$46,4,FALSE)</f>
        <v>Maria Fernanda Tamayo Lopez</v>
      </c>
      <c r="G106" s="6" t="str">
        <f>VLOOKUP(Tabla13[[#This Row],[ID_PARTIDO]],Original!$AT$1:$AY$46,5,FALSE)</f>
        <v xml:space="preserve">maria jose martinez villabona </v>
      </c>
      <c r="H106" t="s">
        <v>14</v>
      </c>
      <c r="I106" t="s">
        <v>7</v>
      </c>
      <c r="J106" t="s">
        <v>7</v>
      </c>
      <c r="K106" t="s">
        <v>14</v>
      </c>
      <c r="L106">
        <v>1</v>
      </c>
      <c r="M106">
        <v>0</v>
      </c>
    </row>
    <row r="107" spans="1:13">
      <c r="A107">
        <v>16</v>
      </c>
      <c r="B107">
        <v>2</v>
      </c>
      <c r="C107">
        <v>12</v>
      </c>
      <c r="D107" s="6" t="str">
        <f>VLOOKUP(Tabla13[[#This Row],[ID_PARTIDO]],Original!$AT$1:$AY$46,2,FALSE)</f>
        <v>Santiago Peña Beltran</v>
      </c>
      <c r="E107" s="6" t="str">
        <f>VLOOKUP(Tabla13[[#This Row],[ID_PARTIDO]],Original!$AT$1:$AY$46,3,FALSE)</f>
        <v>Samuel Andrés Rodríguez Ulloa</v>
      </c>
      <c r="F107" s="6" t="str">
        <f>VLOOKUP(Tabla13[[#This Row],[ID_PARTIDO]],Original!$AT$1:$AY$46,4,FALSE)</f>
        <v>Maria Fernanda Tamayo Lopez</v>
      </c>
      <c r="G107" s="6" t="str">
        <f>VLOOKUP(Tabla13[[#This Row],[ID_PARTIDO]],Original!$AT$1:$AY$46,5,FALSE)</f>
        <v xml:space="preserve">maria jose martinez villabona </v>
      </c>
      <c r="H107" t="s">
        <v>14</v>
      </c>
      <c r="I107" t="s">
        <v>7</v>
      </c>
      <c r="J107" t="s">
        <v>7</v>
      </c>
      <c r="K107" t="s">
        <v>14</v>
      </c>
      <c r="L107">
        <v>0</v>
      </c>
      <c r="M107">
        <v>1</v>
      </c>
    </row>
    <row r="108" spans="1:13">
      <c r="A108">
        <v>16</v>
      </c>
      <c r="B108">
        <v>2</v>
      </c>
      <c r="C108">
        <v>13</v>
      </c>
      <c r="D108" s="6" t="str">
        <f>VLOOKUP(Tabla13[[#This Row],[ID_PARTIDO]],Original!$AT$1:$AY$46,2,FALSE)</f>
        <v>Santiago Peña Beltran</v>
      </c>
      <c r="E108" s="6" t="str">
        <f>VLOOKUP(Tabla13[[#This Row],[ID_PARTIDO]],Original!$AT$1:$AY$46,3,FALSE)</f>
        <v>Samuel Andrés Rodríguez Ulloa</v>
      </c>
      <c r="F108" s="6" t="str">
        <f>VLOOKUP(Tabla13[[#This Row],[ID_PARTIDO]],Original!$AT$1:$AY$46,4,FALSE)</f>
        <v>Maria Fernanda Tamayo Lopez</v>
      </c>
      <c r="G108" s="6" t="str">
        <f>VLOOKUP(Tabla13[[#This Row],[ID_PARTIDO]],Original!$AT$1:$AY$46,5,FALSE)</f>
        <v xml:space="preserve">maria jose martinez villabona </v>
      </c>
      <c r="H108" t="s">
        <v>14</v>
      </c>
      <c r="I108" t="s">
        <v>7</v>
      </c>
      <c r="J108" t="s">
        <v>7</v>
      </c>
      <c r="K108" t="s">
        <v>14</v>
      </c>
      <c r="L108">
        <v>1</v>
      </c>
      <c r="M108">
        <v>0</v>
      </c>
    </row>
    <row r="109" spans="1:13">
      <c r="A109">
        <v>22</v>
      </c>
      <c r="B109">
        <v>2</v>
      </c>
      <c r="C109">
        <v>1</v>
      </c>
      <c r="D109" s="6" t="str">
        <f>VLOOKUP(Tabla13[[#This Row],[ID_PARTIDO]],Original!$AT$1:$AY$46,2,FALSE)</f>
        <v xml:space="preserve">Juliana Beltrán Díaz </v>
      </c>
      <c r="E109" s="6" t="str">
        <f>VLOOKUP(Tabla13[[#This Row],[ID_PARTIDO]],Original!$AT$1:$AY$46,3,FALSE)</f>
        <v>Valentina Jimenez Gomez</v>
      </c>
      <c r="F109" s="6" t="str">
        <f>VLOOKUP(Tabla13[[#This Row],[ID_PARTIDO]],Original!$AT$1:$AY$46,4,FALSE)</f>
        <v>Isabella Buitrago Hurtado</v>
      </c>
      <c r="G109" s="6" t="str">
        <f>VLOOKUP(Tabla13[[#This Row],[ID_PARTIDO]],Original!$AT$1:$AY$46,5,FALSE)</f>
        <v xml:space="preserve">Santiago Gutiérrez de Piñeres Barbosa  </v>
      </c>
      <c r="H109" t="s">
        <v>7</v>
      </c>
      <c r="I109" t="s">
        <v>14</v>
      </c>
      <c r="J109" t="s">
        <v>14</v>
      </c>
      <c r="K109" t="s">
        <v>7</v>
      </c>
      <c r="L109">
        <v>1</v>
      </c>
      <c r="M109">
        <v>0</v>
      </c>
    </row>
    <row r="110" spans="1:13">
      <c r="A110">
        <v>22</v>
      </c>
      <c r="B110">
        <v>2</v>
      </c>
      <c r="C110">
        <v>2</v>
      </c>
      <c r="D110" s="6" t="str">
        <f>VLOOKUP(Tabla13[[#This Row],[ID_PARTIDO]],Original!$AT$1:$AY$46,2,FALSE)</f>
        <v xml:space="preserve">Juliana Beltrán Díaz </v>
      </c>
      <c r="E110" s="6" t="str">
        <f>VLOOKUP(Tabla13[[#This Row],[ID_PARTIDO]],Original!$AT$1:$AY$46,3,FALSE)</f>
        <v>Valentina Jimenez Gomez</v>
      </c>
      <c r="F110" s="6" t="str">
        <f>VLOOKUP(Tabla13[[#This Row],[ID_PARTIDO]],Original!$AT$1:$AY$46,4,FALSE)</f>
        <v>Isabella Buitrago Hurtado</v>
      </c>
      <c r="G110" s="6" t="str">
        <f>VLOOKUP(Tabla13[[#This Row],[ID_PARTIDO]],Original!$AT$1:$AY$46,5,FALSE)</f>
        <v xml:space="preserve">Santiago Gutiérrez de Piñeres Barbosa  </v>
      </c>
      <c r="H110" t="s">
        <v>7</v>
      </c>
      <c r="I110" t="s">
        <v>14</v>
      </c>
      <c r="J110" t="s">
        <v>14</v>
      </c>
      <c r="K110" t="s">
        <v>7</v>
      </c>
      <c r="L110">
        <v>1</v>
      </c>
      <c r="M110">
        <v>0</v>
      </c>
    </row>
    <row r="111" spans="1:13">
      <c r="A111">
        <v>22</v>
      </c>
      <c r="B111">
        <v>2</v>
      </c>
      <c r="C111">
        <v>3</v>
      </c>
      <c r="D111" s="6" t="str">
        <f>VLOOKUP(Tabla13[[#This Row],[ID_PARTIDO]],Original!$AT$1:$AY$46,2,FALSE)</f>
        <v xml:space="preserve">Juliana Beltrán Díaz </v>
      </c>
      <c r="E111" s="6" t="str">
        <f>VLOOKUP(Tabla13[[#This Row],[ID_PARTIDO]],Original!$AT$1:$AY$46,3,FALSE)</f>
        <v>Valentina Jimenez Gomez</v>
      </c>
      <c r="F111" s="6" t="str">
        <f>VLOOKUP(Tabla13[[#This Row],[ID_PARTIDO]],Original!$AT$1:$AY$46,4,FALSE)</f>
        <v>Isabella Buitrago Hurtado</v>
      </c>
      <c r="G111" s="6" t="str">
        <f>VLOOKUP(Tabla13[[#This Row],[ID_PARTIDO]],Original!$AT$1:$AY$46,5,FALSE)</f>
        <v xml:space="preserve">Santiago Gutiérrez de Piñeres Barbosa  </v>
      </c>
      <c r="H111" t="s">
        <v>7</v>
      </c>
      <c r="I111" t="s">
        <v>14</v>
      </c>
      <c r="J111" t="s">
        <v>14</v>
      </c>
      <c r="K111" t="s">
        <v>7</v>
      </c>
      <c r="L111">
        <v>1</v>
      </c>
      <c r="M111">
        <v>0</v>
      </c>
    </row>
    <row r="112" spans="1:13">
      <c r="A112">
        <v>22</v>
      </c>
      <c r="B112">
        <v>2</v>
      </c>
      <c r="C112">
        <v>4</v>
      </c>
      <c r="D112" s="6" t="str">
        <f>VLOOKUP(Tabla13[[#This Row],[ID_PARTIDO]],Original!$AT$1:$AY$46,2,FALSE)</f>
        <v xml:space="preserve">Juliana Beltrán Díaz </v>
      </c>
      <c r="E112" s="6" t="str">
        <f>VLOOKUP(Tabla13[[#This Row],[ID_PARTIDO]],Original!$AT$1:$AY$46,3,FALSE)</f>
        <v>Valentina Jimenez Gomez</v>
      </c>
      <c r="F112" s="6" t="str">
        <f>VLOOKUP(Tabla13[[#This Row],[ID_PARTIDO]],Original!$AT$1:$AY$46,4,FALSE)</f>
        <v>Isabella Buitrago Hurtado</v>
      </c>
      <c r="G112" s="6" t="str">
        <f>VLOOKUP(Tabla13[[#This Row],[ID_PARTIDO]],Original!$AT$1:$AY$46,5,FALSE)</f>
        <v xml:space="preserve">Santiago Gutiérrez de Piñeres Barbosa  </v>
      </c>
      <c r="H112" t="s">
        <v>7</v>
      </c>
      <c r="I112" t="s">
        <v>14</v>
      </c>
      <c r="J112" t="s">
        <v>14</v>
      </c>
      <c r="K112" t="s">
        <v>7</v>
      </c>
      <c r="L112">
        <v>1</v>
      </c>
      <c r="M112">
        <v>0</v>
      </c>
    </row>
    <row r="113" spans="1:13">
      <c r="A113">
        <v>22</v>
      </c>
      <c r="B113">
        <v>2</v>
      </c>
      <c r="C113">
        <v>5</v>
      </c>
      <c r="D113" s="6" t="str">
        <f>VLOOKUP(Tabla13[[#This Row],[ID_PARTIDO]],Original!$AT$1:$AY$46,2,FALSE)</f>
        <v xml:space="preserve">Juliana Beltrán Díaz </v>
      </c>
      <c r="E113" s="6" t="str">
        <f>VLOOKUP(Tabla13[[#This Row],[ID_PARTIDO]],Original!$AT$1:$AY$46,3,FALSE)</f>
        <v>Valentina Jimenez Gomez</v>
      </c>
      <c r="F113" s="6" t="str">
        <f>VLOOKUP(Tabla13[[#This Row],[ID_PARTIDO]],Original!$AT$1:$AY$46,4,FALSE)</f>
        <v>Isabella Buitrago Hurtado</v>
      </c>
      <c r="G113" s="6" t="str">
        <f>VLOOKUP(Tabla13[[#This Row],[ID_PARTIDO]],Original!$AT$1:$AY$46,5,FALSE)</f>
        <v xml:space="preserve">Santiago Gutiérrez de Piñeres Barbosa  </v>
      </c>
      <c r="H113" t="s">
        <v>7</v>
      </c>
      <c r="I113" t="s">
        <v>14</v>
      </c>
      <c r="J113" t="s">
        <v>14</v>
      </c>
      <c r="K113" t="s">
        <v>7</v>
      </c>
      <c r="L113">
        <v>0</v>
      </c>
      <c r="M113">
        <v>1</v>
      </c>
    </row>
    <row r="114" spans="1:13">
      <c r="A114">
        <v>22</v>
      </c>
      <c r="B114">
        <v>2</v>
      </c>
      <c r="C114">
        <v>6</v>
      </c>
      <c r="D114" s="6" t="str">
        <f>VLOOKUP(Tabla13[[#This Row],[ID_PARTIDO]],Original!$AT$1:$AY$46,2,FALSE)</f>
        <v xml:space="preserve">Juliana Beltrán Díaz </v>
      </c>
      <c r="E114" s="6" t="str">
        <f>VLOOKUP(Tabla13[[#This Row],[ID_PARTIDO]],Original!$AT$1:$AY$46,3,FALSE)</f>
        <v>Valentina Jimenez Gomez</v>
      </c>
      <c r="F114" s="6" t="str">
        <f>VLOOKUP(Tabla13[[#This Row],[ID_PARTIDO]],Original!$AT$1:$AY$46,4,FALSE)</f>
        <v>Isabella Buitrago Hurtado</v>
      </c>
      <c r="G114" s="6" t="str">
        <f>VLOOKUP(Tabla13[[#This Row],[ID_PARTIDO]],Original!$AT$1:$AY$46,5,FALSE)</f>
        <v xml:space="preserve">Santiago Gutiérrez de Piñeres Barbosa  </v>
      </c>
      <c r="H114" t="s">
        <v>7</v>
      </c>
      <c r="I114" t="s">
        <v>14</v>
      </c>
      <c r="J114" t="s">
        <v>14</v>
      </c>
      <c r="K114" t="s">
        <v>7</v>
      </c>
      <c r="L114">
        <v>0</v>
      </c>
      <c r="M114">
        <v>1</v>
      </c>
    </row>
    <row r="115" spans="1:13">
      <c r="A115">
        <v>22</v>
      </c>
      <c r="B115">
        <v>2</v>
      </c>
      <c r="C115">
        <v>7</v>
      </c>
      <c r="D115" s="6" t="str">
        <f>VLOOKUP(Tabla13[[#This Row],[ID_PARTIDO]],Original!$AT$1:$AY$46,2,FALSE)</f>
        <v xml:space="preserve">Juliana Beltrán Díaz </v>
      </c>
      <c r="E115" s="6" t="str">
        <f>VLOOKUP(Tabla13[[#This Row],[ID_PARTIDO]],Original!$AT$1:$AY$46,3,FALSE)</f>
        <v>Valentina Jimenez Gomez</v>
      </c>
      <c r="F115" s="6" t="str">
        <f>VLOOKUP(Tabla13[[#This Row],[ID_PARTIDO]],Original!$AT$1:$AY$46,4,FALSE)</f>
        <v>Isabella Buitrago Hurtado</v>
      </c>
      <c r="G115" s="6" t="str">
        <f>VLOOKUP(Tabla13[[#This Row],[ID_PARTIDO]],Original!$AT$1:$AY$46,5,FALSE)</f>
        <v xml:space="preserve">Santiago Gutiérrez de Piñeres Barbosa  </v>
      </c>
      <c r="H115" t="s">
        <v>7</v>
      </c>
      <c r="I115" t="s">
        <v>14</v>
      </c>
      <c r="J115" t="s">
        <v>14</v>
      </c>
      <c r="K115" t="s">
        <v>7</v>
      </c>
      <c r="L115">
        <v>1</v>
      </c>
      <c r="M115">
        <v>0</v>
      </c>
    </row>
    <row r="116" spans="1:13">
      <c r="A116">
        <v>22</v>
      </c>
      <c r="B116">
        <v>2</v>
      </c>
      <c r="C116">
        <v>8</v>
      </c>
      <c r="D116" s="6" t="str">
        <f>VLOOKUP(Tabla13[[#This Row],[ID_PARTIDO]],Original!$AT$1:$AY$46,2,FALSE)</f>
        <v xml:space="preserve">Juliana Beltrán Díaz </v>
      </c>
      <c r="E116" s="6" t="str">
        <f>VLOOKUP(Tabla13[[#This Row],[ID_PARTIDO]],Original!$AT$1:$AY$46,3,FALSE)</f>
        <v>Valentina Jimenez Gomez</v>
      </c>
      <c r="F116" s="6" t="str">
        <f>VLOOKUP(Tabla13[[#This Row],[ID_PARTIDO]],Original!$AT$1:$AY$46,4,FALSE)</f>
        <v>Isabella Buitrago Hurtado</v>
      </c>
      <c r="G116" s="6" t="str">
        <f>VLOOKUP(Tabla13[[#This Row],[ID_PARTIDO]],Original!$AT$1:$AY$46,5,FALSE)</f>
        <v xml:space="preserve">Santiago Gutiérrez de Piñeres Barbosa  </v>
      </c>
      <c r="H116" t="s">
        <v>7</v>
      </c>
      <c r="I116" t="s">
        <v>14</v>
      </c>
      <c r="J116" t="s">
        <v>14</v>
      </c>
      <c r="K116" t="s">
        <v>7</v>
      </c>
      <c r="L116">
        <v>0</v>
      </c>
      <c r="M116">
        <v>1</v>
      </c>
    </row>
    <row r="117" spans="1:13">
      <c r="A117">
        <v>22</v>
      </c>
      <c r="B117">
        <v>2</v>
      </c>
      <c r="C117">
        <v>9</v>
      </c>
      <c r="D117" s="6" t="str">
        <f>VLOOKUP(Tabla13[[#This Row],[ID_PARTIDO]],Original!$AT$1:$AY$46,2,FALSE)</f>
        <v xml:space="preserve">Juliana Beltrán Díaz </v>
      </c>
      <c r="E117" s="6" t="str">
        <f>VLOOKUP(Tabla13[[#This Row],[ID_PARTIDO]],Original!$AT$1:$AY$46,3,FALSE)</f>
        <v>Valentina Jimenez Gomez</v>
      </c>
      <c r="F117" s="6" t="str">
        <f>VLOOKUP(Tabla13[[#This Row],[ID_PARTIDO]],Original!$AT$1:$AY$46,4,FALSE)</f>
        <v>Isabella Buitrago Hurtado</v>
      </c>
      <c r="G117" s="6" t="str">
        <f>VLOOKUP(Tabla13[[#This Row],[ID_PARTIDO]],Original!$AT$1:$AY$46,5,FALSE)</f>
        <v xml:space="preserve">Santiago Gutiérrez de Piñeres Barbosa  </v>
      </c>
      <c r="H117" t="s">
        <v>7</v>
      </c>
      <c r="I117" t="s">
        <v>14</v>
      </c>
      <c r="J117" t="s">
        <v>14</v>
      </c>
      <c r="K117" t="s">
        <v>7</v>
      </c>
      <c r="L117">
        <v>0</v>
      </c>
      <c r="M117">
        <v>1</v>
      </c>
    </row>
    <row r="118" spans="1:13">
      <c r="A118">
        <v>22</v>
      </c>
      <c r="B118">
        <v>2</v>
      </c>
      <c r="C118">
        <v>10</v>
      </c>
      <c r="D118" s="6" t="str">
        <f>VLOOKUP(Tabla13[[#This Row],[ID_PARTIDO]],Original!$AT$1:$AY$46,2,FALSE)</f>
        <v xml:space="preserve">Juliana Beltrán Díaz </v>
      </c>
      <c r="E118" s="6" t="str">
        <f>VLOOKUP(Tabla13[[#This Row],[ID_PARTIDO]],Original!$AT$1:$AY$46,3,FALSE)</f>
        <v>Valentina Jimenez Gomez</v>
      </c>
      <c r="F118" s="6" t="str">
        <f>VLOOKUP(Tabla13[[#This Row],[ID_PARTIDO]],Original!$AT$1:$AY$46,4,FALSE)</f>
        <v>Isabella Buitrago Hurtado</v>
      </c>
      <c r="G118" s="6" t="str">
        <f>VLOOKUP(Tabla13[[#This Row],[ID_PARTIDO]],Original!$AT$1:$AY$46,5,FALSE)</f>
        <v xml:space="preserve">Santiago Gutiérrez de Piñeres Barbosa  </v>
      </c>
      <c r="H118" t="s">
        <v>7</v>
      </c>
      <c r="I118" t="s">
        <v>14</v>
      </c>
      <c r="J118" t="s">
        <v>14</v>
      </c>
      <c r="K118" t="s">
        <v>7</v>
      </c>
      <c r="L118">
        <v>0</v>
      </c>
      <c r="M118">
        <v>1</v>
      </c>
    </row>
    <row r="119" spans="1:13">
      <c r="A119">
        <v>22</v>
      </c>
      <c r="B119">
        <v>2</v>
      </c>
      <c r="C119">
        <v>11</v>
      </c>
      <c r="D119" s="6" t="str">
        <f>VLOOKUP(Tabla13[[#This Row],[ID_PARTIDO]],Original!$AT$1:$AY$46,2,FALSE)</f>
        <v xml:space="preserve">Juliana Beltrán Díaz </v>
      </c>
      <c r="E119" s="6" t="str">
        <f>VLOOKUP(Tabla13[[#This Row],[ID_PARTIDO]],Original!$AT$1:$AY$46,3,FALSE)</f>
        <v>Valentina Jimenez Gomez</v>
      </c>
      <c r="F119" s="6" t="str">
        <f>VLOOKUP(Tabla13[[#This Row],[ID_PARTIDO]],Original!$AT$1:$AY$46,4,FALSE)</f>
        <v>Isabella Buitrago Hurtado</v>
      </c>
      <c r="G119" s="6" t="str">
        <f>VLOOKUP(Tabla13[[#This Row],[ID_PARTIDO]],Original!$AT$1:$AY$46,5,FALSE)</f>
        <v xml:space="preserve">Santiago Gutiérrez de Piñeres Barbosa  </v>
      </c>
      <c r="H119" t="s">
        <v>7</v>
      </c>
      <c r="I119" t="s">
        <v>14</v>
      </c>
      <c r="J119" t="s">
        <v>14</v>
      </c>
      <c r="K119" t="s">
        <v>7</v>
      </c>
      <c r="L119">
        <v>0</v>
      </c>
      <c r="M119">
        <v>1</v>
      </c>
    </row>
    <row r="120" spans="1:13">
      <c r="A120">
        <v>22</v>
      </c>
      <c r="B120">
        <v>2</v>
      </c>
      <c r="C120">
        <v>12</v>
      </c>
      <c r="D120" s="6" t="str">
        <f>VLOOKUP(Tabla13[[#This Row],[ID_PARTIDO]],Original!$AT$1:$AY$46,2,FALSE)</f>
        <v xml:space="preserve">Juliana Beltrán Díaz </v>
      </c>
      <c r="E120" s="6" t="str">
        <f>VLOOKUP(Tabla13[[#This Row],[ID_PARTIDO]],Original!$AT$1:$AY$46,3,FALSE)</f>
        <v>Valentina Jimenez Gomez</v>
      </c>
      <c r="F120" s="6" t="str">
        <f>VLOOKUP(Tabla13[[#This Row],[ID_PARTIDO]],Original!$AT$1:$AY$46,4,FALSE)</f>
        <v>Isabella Buitrago Hurtado</v>
      </c>
      <c r="G120" s="6" t="str">
        <f>VLOOKUP(Tabla13[[#This Row],[ID_PARTIDO]],Original!$AT$1:$AY$46,5,FALSE)</f>
        <v xml:space="preserve">Santiago Gutiérrez de Piñeres Barbosa  </v>
      </c>
      <c r="H120" t="s">
        <v>7</v>
      </c>
      <c r="I120" t="s">
        <v>14</v>
      </c>
      <c r="J120" t="s">
        <v>14</v>
      </c>
      <c r="K120" t="s">
        <v>7</v>
      </c>
      <c r="L120">
        <v>1</v>
      </c>
      <c r="M120">
        <v>0</v>
      </c>
    </row>
    <row r="121" spans="1:13">
      <c r="A121">
        <v>22</v>
      </c>
      <c r="B121">
        <v>2</v>
      </c>
      <c r="C121">
        <v>13</v>
      </c>
      <c r="D121" s="6" t="str">
        <f>VLOOKUP(Tabla13[[#This Row],[ID_PARTIDO]],Original!$AT$1:$AY$46,2,FALSE)</f>
        <v xml:space="preserve">Juliana Beltrán Díaz </v>
      </c>
      <c r="E121" s="6" t="str">
        <f>VLOOKUP(Tabla13[[#This Row],[ID_PARTIDO]],Original!$AT$1:$AY$46,3,FALSE)</f>
        <v>Valentina Jimenez Gomez</v>
      </c>
      <c r="F121" s="6" t="str">
        <f>VLOOKUP(Tabla13[[#This Row],[ID_PARTIDO]],Original!$AT$1:$AY$46,4,FALSE)</f>
        <v>Isabella Buitrago Hurtado</v>
      </c>
      <c r="G121" s="6" t="str">
        <f>VLOOKUP(Tabla13[[#This Row],[ID_PARTIDO]],Original!$AT$1:$AY$46,5,FALSE)</f>
        <v xml:space="preserve">Santiago Gutiérrez de Piñeres Barbosa  </v>
      </c>
      <c r="H121" t="s">
        <v>7</v>
      </c>
      <c r="I121" t="s">
        <v>14</v>
      </c>
      <c r="J121" t="s">
        <v>14</v>
      </c>
      <c r="K121" t="s">
        <v>7</v>
      </c>
      <c r="L121">
        <v>0</v>
      </c>
      <c r="M121">
        <v>1</v>
      </c>
    </row>
    <row r="122" spans="1:13">
      <c r="A122">
        <v>24</v>
      </c>
      <c r="B122">
        <v>2</v>
      </c>
      <c r="C122">
        <v>1</v>
      </c>
      <c r="D122" s="6" t="str">
        <f>VLOOKUP(Tabla13[[#This Row],[ID_PARTIDO]],Original!$AT$1:$AY$46,2,FALSE)</f>
        <v>Santiago Urrego Rodríguez</v>
      </c>
      <c r="E122" s="6" t="str">
        <f>VLOOKUP(Tabla13[[#This Row],[ID_PARTIDO]],Original!$AT$1:$AY$46,3,FALSE)</f>
        <v>Jorge Enrique Lugo Lopez</v>
      </c>
      <c r="F122" s="6" t="str">
        <f>VLOOKUP(Tabla13[[#This Row],[ID_PARTIDO]],Original!$AT$1:$AY$46,4,FALSE)</f>
        <v>César Camilo Díaz Cufiño</v>
      </c>
      <c r="G122" s="6" t="str">
        <f>VLOOKUP(Tabla13[[#This Row],[ID_PARTIDO]],Original!$AT$1:$AY$46,5,FALSE)</f>
        <v>Valentina Jimenez Gomez</v>
      </c>
      <c r="H122" t="s">
        <v>14</v>
      </c>
      <c r="I122" t="s">
        <v>7</v>
      </c>
      <c r="J122" t="s">
        <v>14</v>
      </c>
      <c r="K122" t="s">
        <v>7</v>
      </c>
      <c r="L122">
        <v>0</v>
      </c>
      <c r="M122">
        <v>1</v>
      </c>
    </row>
    <row r="123" spans="1:13">
      <c r="A123">
        <v>24</v>
      </c>
      <c r="B123">
        <v>2</v>
      </c>
      <c r="C123">
        <v>2</v>
      </c>
      <c r="D123" s="6" t="str">
        <f>VLOOKUP(Tabla13[[#This Row],[ID_PARTIDO]],Original!$AT$1:$AY$46,2,FALSE)</f>
        <v>Santiago Urrego Rodríguez</v>
      </c>
      <c r="E123" s="6" t="str">
        <f>VLOOKUP(Tabla13[[#This Row],[ID_PARTIDO]],Original!$AT$1:$AY$46,3,FALSE)</f>
        <v>Jorge Enrique Lugo Lopez</v>
      </c>
      <c r="F123" s="6" t="str">
        <f>VLOOKUP(Tabla13[[#This Row],[ID_PARTIDO]],Original!$AT$1:$AY$46,4,FALSE)</f>
        <v>César Camilo Díaz Cufiño</v>
      </c>
      <c r="G123" s="6" t="str">
        <f>VLOOKUP(Tabla13[[#This Row],[ID_PARTIDO]],Original!$AT$1:$AY$46,5,FALSE)</f>
        <v>Valentina Jimenez Gomez</v>
      </c>
      <c r="H123" t="s">
        <v>14</v>
      </c>
      <c r="I123" t="s">
        <v>7</v>
      </c>
      <c r="J123" t="s">
        <v>14</v>
      </c>
      <c r="K123" t="s">
        <v>7</v>
      </c>
      <c r="L123">
        <v>1</v>
      </c>
      <c r="M123">
        <v>0</v>
      </c>
    </row>
    <row r="124" spans="1:13">
      <c r="A124">
        <v>24</v>
      </c>
      <c r="B124">
        <v>2</v>
      </c>
      <c r="C124">
        <v>3</v>
      </c>
      <c r="D124" s="6" t="str">
        <f>VLOOKUP(Tabla13[[#This Row],[ID_PARTIDO]],Original!$AT$1:$AY$46,2,FALSE)</f>
        <v>Santiago Urrego Rodríguez</v>
      </c>
      <c r="E124" s="6" t="str">
        <f>VLOOKUP(Tabla13[[#This Row],[ID_PARTIDO]],Original!$AT$1:$AY$46,3,FALSE)</f>
        <v>Jorge Enrique Lugo Lopez</v>
      </c>
      <c r="F124" s="6" t="str">
        <f>VLOOKUP(Tabla13[[#This Row],[ID_PARTIDO]],Original!$AT$1:$AY$46,4,FALSE)</f>
        <v>César Camilo Díaz Cufiño</v>
      </c>
      <c r="G124" s="6" t="str">
        <f>VLOOKUP(Tabla13[[#This Row],[ID_PARTIDO]],Original!$AT$1:$AY$46,5,FALSE)</f>
        <v>Valentina Jimenez Gomez</v>
      </c>
      <c r="H124" t="s">
        <v>14</v>
      </c>
      <c r="I124" t="s">
        <v>7</v>
      </c>
      <c r="J124" t="s">
        <v>14</v>
      </c>
      <c r="K124" t="s">
        <v>7</v>
      </c>
      <c r="L124">
        <v>0</v>
      </c>
      <c r="M124">
        <v>1</v>
      </c>
    </row>
    <row r="125" spans="1:13">
      <c r="A125">
        <v>24</v>
      </c>
      <c r="B125">
        <v>2</v>
      </c>
      <c r="C125">
        <v>4</v>
      </c>
      <c r="D125" s="6" t="str">
        <f>VLOOKUP(Tabla13[[#This Row],[ID_PARTIDO]],Original!$AT$1:$AY$46,2,FALSE)</f>
        <v>Santiago Urrego Rodríguez</v>
      </c>
      <c r="E125" s="6" t="str">
        <f>VLOOKUP(Tabla13[[#This Row],[ID_PARTIDO]],Original!$AT$1:$AY$46,3,FALSE)</f>
        <v>Jorge Enrique Lugo Lopez</v>
      </c>
      <c r="F125" s="6" t="str">
        <f>VLOOKUP(Tabla13[[#This Row],[ID_PARTIDO]],Original!$AT$1:$AY$46,4,FALSE)</f>
        <v>César Camilo Díaz Cufiño</v>
      </c>
      <c r="G125" s="6" t="str">
        <f>VLOOKUP(Tabla13[[#This Row],[ID_PARTIDO]],Original!$AT$1:$AY$46,5,FALSE)</f>
        <v>Valentina Jimenez Gomez</v>
      </c>
      <c r="H125" t="s">
        <v>14</v>
      </c>
      <c r="I125" t="s">
        <v>7</v>
      </c>
      <c r="J125" t="s">
        <v>14</v>
      </c>
      <c r="K125" t="s">
        <v>7</v>
      </c>
      <c r="L125">
        <v>1</v>
      </c>
      <c r="M125">
        <v>0</v>
      </c>
    </row>
    <row r="126" spans="1:13">
      <c r="A126">
        <v>24</v>
      </c>
      <c r="B126">
        <v>2</v>
      </c>
      <c r="C126">
        <v>5</v>
      </c>
      <c r="D126" s="6" t="str">
        <f>VLOOKUP(Tabla13[[#This Row],[ID_PARTIDO]],Original!$AT$1:$AY$46,2,FALSE)</f>
        <v>Santiago Urrego Rodríguez</v>
      </c>
      <c r="E126" s="6" t="str">
        <f>VLOOKUP(Tabla13[[#This Row],[ID_PARTIDO]],Original!$AT$1:$AY$46,3,FALSE)</f>
        <v>Jorge Enrique Lugo Lopez</v>
      </c>
      <c r="F126" s="6" t="str">
        <f>VLOOKUP(Tabla13[[#This Row],[ID_PARTIDO]],Original!$AT$1:$AY$46,4,FALSE)</f>
        <v>César Camilo Díaz Cufiño</v>
      </c>
      <c r="G126" s="6" t="str">
        <f>VLOOKUP(Tabla13[[#This Row],[ID_PARTIDO]],Original!$AT$1:$AY$46,5,FALSE)</f>
        <v>Valentina Jimenez Gomez</v>
      </c>
      <c r="H126" t="s">
        <v>14</v>
      </c>
      <c r="I126" t="s">
        <v>7</v>
      </c>
      <c r="J126" t="s">
        <v>14</v>
      </c>
      <c r="K126" t="s">
        <v>7</v>
      </c>
      <c r="L126">
        <v>0</v>
      </c>
      <c r="M126">
        <v>1</v>
      </c>
    </row>
    <row r="127" spans="1:13">
      <c r="A127">
        <v>24</v>
      </c>
      <c r="B127">
        <v>2</v>
      </c>
      <c r="C127">
        <v>6</v>
      </c>
      <c r="D127" s="6" t="str">
        <f>VLOOKUP(Tabla13[[#This Row],[ID_PARTIDO]],Original!$AT$1:$AY$46,2,FALSE)</f>
        <v>Santiago Urrego Rodríguez</v>
      </c>
      <c r="E127" s="6" t="str">
        <f>VLOOKUP(Tabla13[[#This Row],[ID_PARTIDO]],Original!$AT$1:$AY$46,3,FALSE)</f>
        <v>Jorge Enrique Lugo Lopez</v>
      </c>
      <c r="F127" s="6" t="str">
        <f>VLOOKUP(Tabla13[[#This Row],[ID_PARTIDO]],Original!$AT$1:$AY$46,4,FALSE)</f>
        <v>César Camilo Díaz Cufiño</v>
      </c>
      <c r="G127" s="6" t="str">
        <f>VLOOKUP(Tabla13[[#This Row],[ID_PARTIDO]],Original!$AT$1:$AY$46,5,FALSE)</f>
        <v>Valentina Jimenez Gomez</v>
      </c>
      <c r="H127" t="s">
        <v>14</v>
      </c>
      <c r="I127" t="s">
        <v>7</v>
      </c>
      <c r="J127" t="s">
        <v>14</v>
      </c>
      <c r="K127" t="s">
        <v>7</v>
      </c>
      <c r="L127">
        <v>0</v>
      </c>
      <c r="M127">
        <v>1</v>
      </c>
    </row>
    <row r="128" spans="1:13">
      <c r="A128">
        <v>24</v>
      </c>
      <c r="B128">
        <v>2</v>
      </c>
      <c r="C128">
        <v>7</v>
      </c>
      <c r="D128" s="6" t="str">
        <f>VLOOKUP(Tabla13[[#This Row],[ID_PARTIDO]],Original!$AT$1:$AY$46,2,FALSE)</f>
        <v>Santiago Urrego Rodríguez</v>
      </c>
      <c r="E128" s="6" t="str">
        <f>VLOOKUP(Tabla13[[#This Row],[ID_PARTIDO]],Original!$AT$1:$AY$46,3,FALSE)</f>
        <v>Jorge Enrique Lugo Lopez</v>
      </c>
      <c r="F128" s="6" t="str">
        <f>VLOOKUP(Tabla13[[#This Row],[ID_PARTIDO]],Original!$AT$1:$AY$46,4,FALSE)</f>
        <v>César Camilo Díaz Cufiño</v>
      </c>
      <c r="G128" s="6" t="str">
        <f>VLOOKUP(Tabla13[[#This Row],[ID_PARTIDO]],Original!$AT$1:$AY$46,5,FALSE)</f>
        <v>Valentina Jimenez Gomez</v>
      </c>
      <c r="H128" t="s">
        <v>14</v>
      </c>
      <c r="I128" t="s">
        <v>7</v>
      </c>
      <c r="J128" t="s">
        <v>14</v>
      </c>
      <c r="K128" t="s">
        <v>7</v>
      </c>
      <c r="L128">
        <v>0</v>
      </c>
      <c r="M128">
        <v>1</v>
      </c>
    </row>
    <row r="129" spans="1:13">
      <c r="A129">
        <v>24</v>
      </c>
      <c r="B129">
        <v>2</v>
      </c>
      <c r="C129">
        <v>8</v>
      </c>
      <c r="D129" s="6" t="str">
        <f>VLOOKUP(Tabla13[[#This Row],[ID_PARTIDO]],Original!$AT$1:$AY$46,2,FALSE)</f>
        <v>Santiago Urrego Rodríguez</v>
      </c>
      <c r="E129" s="6" t="str">
        <f>VLOOKUP(Tabla13[[#This Row],[ID_PARTIDO]],Original!$AT$1:$AY$46,3,FALSE)</f>
        <v>Jorge Enrique Lugo Lopez</v>
      </c>
      <c r="F129" s="6" t="str">
        <f>VLOOKUP(Tabla13[[#This Row],[ID_PARTIDO]],Original!$AT$1:$AY$46,4,FALSE)</f>
        <v>César Camilo Díaz Cufiño</v>
      </c>
      <c r="G129" s="6" t="str">
        <f>VLOOKUP(Tabla13[[#This Row],[ID_PARTIDO]],Original!$AT$1:$AY$46,5,FALSE)</f>
        <v>Valentina Jimenez Gomez</v>
      </c>
      <c r="H129" t="s">
        <v>14</v>
      </c>
      <c r="I129" t="s">
        <v>7</v>
      </c>
      <c r="J129" t="s">
        <v>14</v>
      </c>
      <c r="K129" t="s">
        <v>7</v>
      </c>
      <c r="L129">
        <v>0</v>
      </c>
      <c r="M129">
        <v>1</v>
      </c>
    </row>
    <row r="130" spans="1:13">
      <c r="A130">
        <v>24</v>
      </c>
      <c r="B130">
        <v>2</v>
      </c>
      <c r="C130">
        <v>9</v>
      </c>
      <c r="D130" s="6" t="str">
        <f>VLOOKUP(Tabla13[[#This Row],[ID_PARTIDO]],Original!$AT$1:$AY$46,2,FALSE)</f>
        <v>Santiago Urrego Rodríguez</v>
      </c>
      <c r="E130" s="6" t="str">
        <f>VLOOKUP(Tabla13[[#This Row],[ID_PARTIDO]],Original!$AT$1:$AY$46,3,FALSE)</f>
        <v>Jorge Enrique Lugo Lopez</v>
      </c>
      <c r="F130" s="6" t="str">
        <f>VLOOKUP(Tabla13[[#This Row],[ID_PARTIDO]],Original!$AT$1:$AY$46,4,FALSE)</f>
        <v>César Camilo Díaz Cufiño</v>
      </c>
      <c r="G130" s="6" t="str">
        <f>VLOOKUP(Tabla13[[#This Row],[ID_PARTIDO]],Original!$AT$1:$AY$46,5,FALSE)</f>
        <v>Valentina Jimenez Gomez</v>
      </c>
      <c r="H130" t="s">
        <v>14</v>
      </c>
      <c r="I130" t="s">
        <v>7</v>
      </c>
      <c r="J130" t="s">
        <v>14</v>
      </c>
      <c r="K130" t="s">
        <v>7</v>
      </c>
      <c r="L130">
        <v>1</v>
      </c>
      <c r="M130">
        <v>0</v>
      </c>
    </row>
    <row r="131" spans="1:13" ht="27" customHeight="1">
      <c r="A131">
        <v>24</v>
      </c>
      <c r="B131">
        <v>2</v>
      </c>
      <c r="C131">
        <v>10</v>
      </c>
      <c r="D131" s="6" t="str">
        <f>VLOOKUP(Tabla13[[#This Row],[ID_PARTIDO]],Original!$AT$1:$AY$46,2,FALSE)</f>
        <v>Santiago Urrego Rodríguez</v>
      </c>
      <c r="E131" s="6" t="str">
        <f>VLOOKUP(Tabla13[[#This Row],[ID_PARTIDO]],Original!$AT$1:$AY$46,3,FALSE)</f>
        <v>Jorge Enrique Lugo Lopez</v>
      </c>
      <c r="F131" s="6" t="str">
        <f>VLOOKUP(Tabla13[[#This Row],[ID_PARTIDO]],Original!$AT$1:$AY$46,4,FALSE)</f>
        <v>César Camilo Díaz Cufiño</v>
      </c>
      <c r="G131" s="6" t="str">
        <f>VLOOKUP(Tabla13[[#This Row],[ID_PARTIDO]],Original!$AT$1:$AY$46,5,FALSE)</f>
        <v>Valentina Jimenez Gomez</v>
      </c>
      <c r="H131" t="s">
        <v>14</v>
      </c>
      <c r="I131" t="s">
        <v>7</v>
      </c>
      <c r="J131" t="s">
        <v>14</v>
      </c>
      <c r="K131" t="s">
        <v>7</v>
      </c>
      <c r="L131">
        <v>1</v>
      </c>
      <c r="M131">
        <v>0</v>
      </c>
    </row>
    <row r="132" spans="1:13" ht="35.25" customHeight="1">
      <c r="A132">
        <v>24</v>
      </c>
      <c r="B132">
        <v>2</v>
      </c>
      <c r="C132">
        <v>11</v>
      </c>
      <c r="D132" s="6" t="str">
        <f>VLOOKUP(Tabla13[[#This Row],[ID_PARTIDO]],Original!$AT$1:$AY$46,2,FALSE)</f>
        <v>Santiago Urrego Rodríguez</v>
      </c>
      <c r="E132" s="6" t="str">
        <f>VLOOKUP(Tabla13[[#This Row],[ID_PARTIDO]],Original!$AT$1:$AY$46,3,FALSE)</f>
        <v>Jorge Enrique Lugo Lopez</v>
      </c>
      <c r="F132" s="6" t="str">
        <f>VLOOKUP(Tabla13[[#This Row],[ID_PARTIDO]],Original!$AT$1:$AY$46,4,FALSE)</f>
        <v>César Camilo Díaz Cufiño</v>
      </c>
      <c r="G132" s="6" t="str">
        <f>VLOOKUP(Tabla13[[#This Row],[ID_PARTIDO]],Original!$AT$1:$AY$46,5,FALSE)</f>
        <v>Valentina Jimenez Gomez</v>
      </c>
      <c r="H132" t="s">
        <v>14</v>
      </c>
      <c r="I132" t="s">
        <v>7</v>
      </c>
      <c r="J132" t="s">
        <v>14</v>
      </c>
      <c r="K132" t="s">
        <v>7</v>
      </c>
      <c r="L132">
        <v>0</v>
      </c>
      <c r="M132">
        <v>1</v>
      </c>
    </row>
    <row r="133" spans="1:13" ht="29.25" customHeight="1">
      <c r="A133">
        <v>26</v>
      </c>
      <c r="B133">
        <v>2</v>
      </c>
      <c r="C133">
        <v>1</v>
      </c>
      <c r="D133" s="6" t="str">
        <f>VLOOKUP(Tabla13[[#This Row],[ID_PARTIDO]],Original!$AT$1:$AY$46,2,FALSE)</f>
        <v xml:space="preserve">Daniel Gutierrez </v>
      </c>
      <c r="E133" s="6" t="str">
        <f>VLOOKUP(Tabla13[[#This Row],[ID_PARTIDO]],Original!$AT$1:$AY$46,3,FALSE)</f>
        <v>Isabella Buitrago Hurtado</v>
      </c>
      <c r="F133" s="6" t="str">
        <f>VLOOKUP(Tabla13[[#This Row],[ID_PARTIDO]],Original!$AT$1:$AY$46,4,FALSE)</f>
        <v>Tomas Barrios Guevara</v>
      </c>
      <c r="G133" s="6" t="str">
        <f>VLOOKUP(Tabla13[[#This Row],[ID_PARTIDO]],Original!$AT$1:$AY$46,5,FALSE)</f>
        <v xml:space="preserve">Nicolas Navarro </v>
      </c>
      <c r="H133" t="s">
        <v>14</v>
      </c>
      <c r="I133" t="s">
        <v>7</v>
      </c>
      <c r="J133" t="s">
        <v>14</v>
      </c>
      <c r="K133" t="s">
        <v>7</v>
      </c>
      <c r="L133">
        <v>0</v>
      </c>
      <c r="M133">
        <v>1</v>
      </c>
    </row>
    <row r="134" spans="1:13" ht="19.5" customHeight="1">
      <c r="A134">
        <v>26</v>
      </c>
      <c r="B134">
        <v>2</v>
      </c>
      <c r="C134">
        <v>2</v>
      </c>
      <c r="D134" s="6" t="str">
        <f>VLOOKUP(Tabla13[[#This Row],[ID_PARTIDO]],Original!$AT$1:$AY$46,2,FALSE)</f>
        <v xml:space="preserve">Daniel Gutierrez </v>
      </c>
      <c r="E134" s="6" t="str">
        <f>VLOOKUP(Tabla13[[#This Row],[ID_PARTIDO]],Original!$AT$1:$AY$46,3,FALSE)</f>
        <v>Isabella Buitrago Hurtado</v>
      </c>
      <c r="F134" s="6" t="str">
        <f>VLOOKUP(Tabla13[[#This Row],[ID_PARTIDO]],Original!$AT$1:$AY$46,4,FALSE)</f>
        <v>Tomas Barrios Guevara</v>
      </c>
      <c r="G134" s="6" t="str">
        <f>VLOOKUP(Tabla13[[#This Row],[ID_PARTIDO]],Original!$AT$1:$AY$46,5,FALSE)</f>
        <v xml:space="preserve">Nicolas Navarro </v>
      </c>
      <c r="H134" t="s">
        <v>14</v>
      </c>
      <c r="I134" t="s">
        <v>7</v>
      </c>
      <c r="J134" t="s">
        <v>14</v>
      </c>
      <c r="K134" t="s">
        <v>7</v>
      </c>
      <c r="L134">
        <v>0</v>
      </c>
      <c r="M134">
        <v>1</v>
      </c>
    </row>
    <row r="135" spans="1:13" ht="18" customHeight="1">
      <c r="A135">
        <v>26</v>
      </c>
      <c r="B135">
        <v>2</v>
      </c>
      <c r="C135">
        <v>3</v>
      </c>
      <c r="D135" s="6" t="str">
        <f>VLOOKUP(Tabla13[[#This Row],[ID_PARTIDO]],Original!$AT$1:$AY$46,2,FALSE)</f>
        <v xml:space="preserve">Daniel Gutierrez </v>
      </c>
      <c r="E135" s="6" t="str">
        <f>VLOOKUP(Tabla13[[#This Row],[ID_PARTIDO]],Original!$AT$1:$AY$46,3,FALSE)</f>
        <v>Isabella Buitrago Hurtado</v>
      </c>
      <c r="F135" s="6" t="str">
        <f>VLOOKUP(Tabla13[[#This Row],[ID_PARTIDO]],Original!$AT$1:$AY$46,4,FALSE)</f>
        <v>Tomas Barrios Guevara</v>
      </c>
      <c r="G135" s="6" t="str">
        <f>VLOOKUP(Tabla13[[#This Row],[ID_PARTIDO]],Original!$AT$1:$AY$46,5,FALSE)</f>
        <v xml:space="preserve">Nicolas Navarro </v>
      </c>
      <c r="H135" t="s">
        <v>14</v>
      </c>
      <c r="I135" t="s">
        <v>7</v>
      </c>
      <c r="J135" t="s">
        <v>14</v>
      </c>
      <c r="K135" t="s">
        <v>7</v>
      </c>
      <c r="L135">
        <v>0</v>
      </c>
      <c r="M135">
        <v>1</v>
      </c>
    </row>
    <row r="136" spans="1:13" ht="26.25" customHeight="1">
      <c r="A136">
        <v>26</v>
      </c>
      <c r="B136">
        <v>2</v>
      </c>
      <c r="C136">
        <v>4</v>
      </c>
      <c r="D136" s="6" t="str">
        <f>VLOOKUP(Tabla13[[#This Row],[ID_PARTIDO]],Original!$AT$1:$AY$46,2,FALSE)</f>
        <v xml:space="preserve">Daniel Gutierrez </v>
      </c>
      <c r="E136" s="6" t="str">
        <f>VLOOKUP(Tabla13[[#This Row],[ID_PARTIDO]],Original!$AT$1:$AY$46,3,FALSE)</f>
        <v>Isabella Buitrago Hurtado</v>
      </c>
      <c r="F136" s="6" t="str">
        <f>VLOOKUP(Tabla13[[#This Row],[ID_PARTIDO]],Original!$AT$1:$AY$46,4,FALSE)</f>
        <v>Tomas Barrios Guevara</v>
      </c>
      <c r="G136" s="6" t="str">
        <f>VLOOKUP(Tabla13[[#This Row],[ID_PARTIDO]],Original!$AT$1:$AY$46,5,FALSE)</f>
        <v xml:space="preserve">Nicolas Navarro </v>
      </c>
      <c r="H136" t="s">
        <v>14</v>
      </c>
      <c r="I136" t="s">
        <v>7</v>
      </c>
      <c r="J136" t="s">
        <v>14</v>
      </c>
      <c r="K136" t="s">
        <v>7</v>
      </c>
      <c r="L136">
        <v>0</v>
      </c>
      <c r="M136">
        <v>1</v>
      </c>
    </row>
    <row r="137" spans="1:13" ht="15" customHeight="1">
      <c r="A137">
        <v>26</v>
      </c>
      <c r="B137">
        <v>2</v>
      </c>
      <c r="C137">
        <v>5</v>
      </c>
      <c r="D137" s="6" t="str">
        <f>VLOOKUP(Tabla13[[#This Row],[ID_PARTIDO]],Original!$AT$1:$AY$46,2,FALSE)</f>
        <v xml:space="preserve">Daniel Gutierrez </v>
      </c>
      <c r="E137" s="6" t="str">
        <f>VLOOKUP(Tabla13[[#This Row],[ID_PARTIDO]],Original!$AT$1:$AY$46,3,FALSE)</f>
        <v>Isabella Buitrago Hurtado</v>
      </c>
      <c r="F137" s="6" t="str">
        <f>VLOOKUP(Tabla13[[#This Row],[ID_PARTIDO]],Original!$AT$1:$AY$46,4,FALSE)</f>
        <v>Tomas Barrios Guevara</v>
      </c>
      <c r="G137" s="6" t="str">
        <f>VLOOKUP(Tabla13[[#This Row],[ID_PARTIDO]],Original!$AT$1:$AY$46,5,FALSE)</f>
        <v xml:space="preserve">Nicolas Navarro </v>
      </c>
      <c r="H137" t="s">
        <v>14</v>
      </c>
      <c r="I137" t="s">
        <v>7</v>
      </c>
      <c r="J137" t="s">
        <v>14</v>
      </c>
      <c r="K137" t="s">
        <v>7</v>
      </c>
      <c r="L137">
        <v>0</v>
      </c>
      <c r="M137">
        <v>1</v>
      </c>
    </row>
    <row r="138" spans="1:13" ht="19.5" customHeight="1">
      <c r="A138">
        <v>26</v>
      </c>
      <c r="B138">
        <v>2</v>
      </c>
      <c r="C138">
        <v>6</v>
      </c>
      <c r="D138" s="6" t="str">
        <f>VLOOKUP(Tabla13[[#This Row],[ID_PARTIDO]],Original!$AT$1:$AY$46,2,FALSE)</f>
        <v xml:space="preserve">Daniel Gutierrez </v>
      </c>
      <c r="E138" s="6" t="str">
        <f>VLOOKUP(Tabla13[[#This Row],[ID_PARTIDO]],Original!$AT$1:$AY$46,3,FALSE)</f>
        <v>Isabella Buitrago Hurtado</v>
      </c>
      <c r="F138" s="6" t="str">
        <f>VLOOKUP(Tabla13[[#This Row],[ID_PARTIDO]],Original!$AT$1:$AY$46,4,FALSE)</f>
        <v>Tomas Barrios Guevara</v>
      </c>
      <c r="G138" s="6" t="str">
        <f>VLOOKUP(Tabla13[[#This Row],[ID_PARTIDO]],Original!$AT$1:$AY$46,5,FALSE)</f>
        <v xml:space="preserve">Nicolas Navarro </v>
      </c>
      <c r="H138" t="s">
        <v>14</v>
      </c>
      <c r="I138" t="s">
        <v>7</v>
      </c>
      <c r="J138" t="s">
        <v>14</v>
      </c>
      <c r="K138" t="s">
        <v>7</v>
      </c>
      <c r="L138">
        <v>1</v>
      </c>
      <c r="M138">
        <v>0</v>
      </c>
    </row>
    <row r="139" spans="1:13" ht="28.5" customHeight="1">
      <c r="A139">
        <v>26</v>
      </c>
      <c r="B139">
        <v>2</v>
      </c>
      <c r="C139">
        <v>7</v>
      </c>
      <c r="D139" s="6" t="str">
        <f>VLOOKUP(Tabla13[[#This Row],[ID_PARTIDO]],Original!$AT$1:$AY$46,2,FALSE)</f>
        <v xml:space="preserve">Daniel Gutierrez </v>
      </c>
      <c r="E139" s="6" t="str">
        <f>VLOOKUP(Tabla13[[#This Row],[ID_PARTIDO]],Original!$AT$1:$AY$46,3,FALSE)</f>
        <v>Isabella Buitrago Hurtado</v>
      </c>
      <c r="F139" s="6" t="str">
        <f>VLOOKUP(Tabla13[[#This Row],[ID_PARTIDO]],Original!$AT$1:$AY$46,4,FALSE)</f>
        <v>Tomas Barrios Guevara</v>
      </c>
      <c r="G139" s="6" t="str">
        <f>VLOOKUP(Tabla13[[#This Row],[ID_PARTIDO]],Original!$AT$1:$AY$46,5,FALSE)</f>
        <v xml:space="preserve">Nicolas Navarro </v>
      </c>
      <c r="H139" t="s">
        <v>14</v>
      </c>
      <c r="I139" t="s">
        <v>7</v>
      </c>
      <c r="J139" t="s">
        <v>14</v>
      </c>
      <c r="K139" t="s">
        <v>7</v>
      </c>
      <c r="L139">
        <v>1</v>
      </c>
      <c r="M139">
        <v>0</v>
      </c>
    </row>
    <row r="140" spans="1:13" ht="20.25" customHeight="1">
      <c r="A140">
        <v>26</v>
      </c>
      <c r="B140">
        <v>2</v>
      </c>
      <c r="C140">
        <v>8</v>
      </c>
      <c r="D140" s="6" t="str">
        <f>VLOOKUP(Tabla13[[#This Row],[ID_PARTIDO]],Original!$AT$1:$AY$46,2,FALSE)</f>
        <v xml:space="preserve">Daniel Gutierrez </v>
      </c>
      <c r="E140" s="6" t="str">
        <f>VLOOKUP(Tabla13[[#This Row],[ID_PARTIDO]],Original!$AT$1:$AY$46,3,FALSE)</f>
        <v>Isabella Buitrago Hurtado</v>
      </c>
      <c r="F140" s="6" t="str">
        <f>VLOOKUP(Tabla13[[#This Row],[ID_PARTIDO]],Original!$AT$1:$AY$46,4,FALSE)</f>
        <v>Tomas Barrios Guevara</v>
      </c>
      <c r="G140" s="6" t="str">
        <f>VLOOKUP(Tabla13[[#This Row],[ID_PARTIDO]],Original!$AT$1:$AY$46,5,FALSE)</f>
        <v xml:space="preserve">Nicolas Navarro </v>
      </c>
      <c r="H140" t="s">
        <v>14</v>
      </c>
      <c r="I140" t="s">
        <v>7</v>
      </c>
      <c r="J140" t="s">
        <v>14</v>
      </c>
      <c r="K140" t="s">
        <v>7</v>
      </c>
      <c r="L140">
        <v>0</v>
      </c>
      <c r="M140">
        <v>1</v>
      </c>
    </row>
    <row r="141" spans="1:13" ht="15.75" customHeight="1">
      <c r="A141">
        <v>26</v>
      </c>
      <c r="B141">
        <v>2</v>
      </c>
      <c r="C141">
        <v>9</v>
      </c>
      <c r="D141" s="6" t="str">
        <f>VLOOKUP(Tabla13[[#This Row],[ID_PARTIDO]],Original!$AT$1:$AY$46,2,FALSE)</f>
        <v xml:space="preserve">Daniel Gutierrez </v>
      </c>
      <c r="E141" s="6" t="str">
        <f>VLOOKUP(Tabla13[[#This Row],[ID_PARTIDO]],Original!$AT$1:$AY$46,3,FALSE)</f>
        <v>Isabella Buitrago Hurtado</v>
      </c>
      <c r="F141" s="6" t="str">
        <f>VLOOKUP(Tabla13[[#This Row],[ID_PARTIDO]],Original!$AT$1:$AY$46,4,FALSE)</f>
        <v>Tomas Barrios Guevara</v>
      </c>
      <c r="G141" s="6" t="str">
        <f>VLOOKUP(Tabla13[[#This Row],[ID_PARTIDO]],Original!$AT$1:$AY$46,5,FALSE)</f>
        <v xml:space="preserve">Nicolas Navarro </v>
      </c>
      <c r="H141" t="s">
        <v>14</v>
      </c>
      <c r="I141" t="s">
        <v>7</v>
      </c>
      <c r="J141" t="s">
        <v>14</v>
      </c>
      <c r="K141" t="s">
        <v>7</v>
      </c>
      <c r="L141">
        <v>0</v>
      </c>
      <c r="M141">
        <v>1</v>
      </c>
    </row>
    <row r="142" spans="1:13">
      <c r="A142">
        <v>28</v>
      </c>
      <c r="B142">
        <v>2</v>
      </c>
      <c r="C142">
        <v>1</v>
      </c>
      <c r="D142" s="6" t="str">
        <f>VLOOKUP(Tabla13[[#This Row],[ID_PARTIDO]],Original!$AT$1:$AY$46,2,FALSE)</f>
        <v>Rafael Andres Salcedo Valdivieso</v>
      </c>
      <c r="E142" s="6" t="str">
        <f>VLOOKUP(Tabla13[[#This Row],[ID_PARTIDO]],Original!$AT$1:$AY$46,3,FALSE)</f>
        <v xml:space="preserve">Jonatan Nicolas Marmolejo Lopez </v>
      </c>
      <c r="F142" s="6" t="str">
        <f>VLOOKUP(Tabla13[[#This Row],[ID_PARTIDO]],Original!$AT$1:$AY$46,4,FALSE)</f>
        <v>David Santiago Medina Buitrago</v>
      </c>
      <c r="G142" s="6" t="str">
        <f>VLOOKUP(Tabla13[[#This Row],[ID_PARTIDO]],Original!$AT$1:$AY$46,5,FALSE)</f>
        <v>Valentina Alejandra Lopez Romero</v>
      </c>
      <c r="H142" t="s">
        <v>7</v>
      </c>
      <c r="I142" t="s">
        <v>14</v>
      </c>
      <c r="J142" t="s">
        <v>7</v>
      </c>
      <c r="K142" t="s">
        <v>14</v>
      </c>
      <c r="L142">
        <v>1</v>
      </c>
      <c r="M142">
        <v>0</v>
      </c>
    </row>
    <row r="143" spans="1:13">
      <c r="A143">
        <v>28</v>
      </c>
      <c r="B143">
        <v>2</v>
      </c>
      <c r="C143">
        <v>2</v>
      </c>
      <c r="D143" s="6" t="str">
        <f>VLOOKUP(Tabla13[[#This Row],[ID_PARTIDO]],Original!$AT$1:$AY$46,2,FALSE)</f>
        <v>Rafael Andres Salcedo Valdivieso</v>
      </c>
      <c r="E143" s="6" t="str">
        <f>VLOOKUP(Tabla13[[#This Row],[ID_PARTIDO]],Original!$AT$1:$AY$46,3,FALSE)</f>
        <v xml:space="preserve">Jonatan Nicolas Marmolejo Lopez </v>
      </c>
      <c r="F143" s="6" t="str">
        <f>VLOOKUP(Tabla13[[#This Row],[ID_PARTIDO]],Original!$AT$1:$AY$46,4,FALSE)</f>
        <v>David Santiago Medina Buitrago</v>
      </c>
      <c r="G143" s="6" t="str">
        <f>VLOOKUP(Tabla13[[#This Row],[ID_PARTIDO]],Original!$AT$1:$AY$46,5,FALSE)</f>
        <v>Valentina Alejandra Lopez Romero</v>
      </c>
      <c r="H143" t="s">
        <v>7</v>
      </c>
      <c r="I143" t="s">
        <v>14</v>
      </c>
      <c r="J143" t="s">
        <v>7</v>
      </c>
      <c r="K143" t="s">
        <v>14</v>
      </c>
      <c r="L143">
        <v>1</v>
      </c>
      <c r="M143">
        <v>0</v>
      </c>
    </row>
    <row r="144" spans="1:13">
      <c r="A144">
        <v>28</v>
      </c>
      <c r="B144">
        <v>2</v>
      </c>
      <c r="C144">
        <v>3</v>
      </c>
      <c r="D144" s="6" t="str">
        <f>VLOOKUP(Tabla13[[#This Row],[ID_PARTIDO]],Original!$AT$1:$AY$46,2,FALSE)</f>
        <v>Rafael Andres Salcedo Valdivieso</v>
      </c>
      <c r="E144" s="6" t="str">
        <f>VLOOKUP(Tabla13[[#This Row],[ID_PARTIDO]],Original!$AT$1:$AY$46,3,FALSE)</f>
        <v xml:space="preserve">Jonatan Nicolas Marmolejo Lopez </v>
      </c>
      <c r="F144" s="6" t="str">
        <f>VLOOKUP(Tabla13[[#This Row],[ID_PARTIDO]],Original!$AT$1:$AY$46,4,FALSE)</f>
        <v>David Santiago Medina Buitrago</v>
      </c>
      <c r="G144" s="6" t="str">
        <f>VLOOKUP(Tabla13[[#This Row],[ID_PARTIDO]],Original!$AT$1:$AY$46,5,FALSE)</f>
        <v>Valentina Alejandra Lopez Romero</v>
      </c>
      <c r="H144" t="s">
        <v>7</v>
      </c>
      <c r="I144" t="s">
        <v>14</v>
      </c>
      <c r="J144" t="s">
        <v>7</v>
      </c>
      <c r="K144" t="s">
        <v>14</v>
      </c>
      <c r="L144">
        <v>0</v>
      </c>
      <c r="M144">
        <v>1</v>
      </c>
    </row>
    <row r="145" spans="1:13">
      <c r="A145">
        <v>28</v>
      </c>
      <c r="B145">
        <v>2</v>
      </c>
      <c r="C145">
        <v>4</v>
      </c>
      <c r="D145" s="6" t="str">
        <f>VLOOKUP(Tabla13[[#This Row],[ID_PARTIDO]],Original!$AT$1:$AY$46,2,FALSE)</f>
        <v>Rafael Andres Salcedo Valdivieso</v>
      </c>
      <c r="E145" s="6" t="str">
        <f>VLOOKUP(Tabla13[[#This Row],[ID_PARTIDO]],Original!$AT$1:$AY$46,3,FALSE)</f>
        <v xml:space="preserve">Jonatan Nicolas Marmolejo Lopez </v>
      </c>
      <c r="F145" s="6" t="str">
        <f>VLOOKUP(Tabla13[[#This Row],[ID_PARTIDO]],Original!$AT$1:$AY$46,4,FALSE)</f>
        <v>David Santiago Medina Buitrago</v>
      </c>
      <c r="G145" s="6" t="str">
        <f>VLOOKUP(Tabla13[[#This Row],[ID_PARTIDO]],Original!$AT$1:$AY$46,5,FALSE)</f>
        <v>Valentina Alejandra Lopez Romero</v>
      </c>
      <c r="H145" t="s">
        <v>7</v>
      </c>
      <c r="I145" t="s">
        <v>14</v>
      </c>
      <c r="J145" t="s">
        <v>7</v>
      </c>
      <c r="K145" t="s">
        <v>14</v>
      </c>
      <c r="L145">
        <v>1</v>
      </c>
      <c r="M145">
        <v>0</v>
      </c>
    </row>
    <row r="146" spans="1:13">
      <c r="A146">
        <v>28</v>
      </c>
      <c r="B146">
        <v>2</v>
      </c>
      <c r="C146">
        <v>5</v>
      </c>
      <c r="D146" s="6" t="str">
        <f>VLOOKUP(Tabla13[[#This Row],[ID_PARTIDO]],Original!$AT$1:$AY$46,2,FALSE)</f>
        <v>Rafael Andres Salcedo Valdivieso</v>
      </c>
      <c r="E146" s="6" t="str">
        <f>VLOOKUP(Tabla13[[#This Row],[ID_PARTIDO]],Original!$AT$1:$AY$46,3,FALSE)</f>
        <v xml:space="preserve">Jonatan Nicolas Marmolejo Lopez </v>
      </c>
      <c r="F146" s="6" t="str">
        <f>VLOOKUP(Tabla13[[#This Row],[ID_PARTIDO]],Original!$AT$1:$AY$46,4,FALSE)</f>
        <v>David Santiago Medina Buitrago</v>
      </c>
      <c r="G146" s="6" t="str">
        <f>VLOOKUP(Tabla13[[#This Row],[ID_PARTIDO]],Original!$AT$1:$AY$46,5,FALSE)</f>
        <v>Valentina Alejandra Lopez Romero</v>
      </c>
      <c r="H146" t="s">
        <v>7</v>
      </c>
      <c r="I146" t="s">
        <v>14</v>
      </c>
      <c r="J146" t="s">
        <v>7</v>
      </c>
      <c r="K146" t="s">
        <v>14</v>
      </c>
      <c r="L146">
        <v>0</v>
      </c>
      <c r="M146">
        <v>1</v>
      </c>
    </row>
    <row r="147" spans="1:13">
      <c r="A147">
        <v>28</v>
      </c>
      <c r="B147">
        <v>2</v>
      </c>
      <c r="C147">
        <v>6</v>
      </c>
      <c r="D147" s="6" t="str">
        <f>VLOOKUP(Tabla13[[#This Row],[ID_PARTIDO]],Original!$AT$1:$AY$46,2,FALSE)</f>
        <v>Rafael Andres Salcedo Valdivieso</v>
      </c>
      <c r="E147" s="6" t="str">
        <f>VLOOKUP(Tabla13[[#This Row],[ID_PARTIDO]],Original!$AT$1:$AY$46,3,FALSE)</f>
        <v xml:space="preserve">Jonatan Nicolas Marmolejo Lopez </v>
      </c>
      <c r="F147" s="6" t="str">
        <f>VLOOKUP(Tabla13[[#This Row],[ID_PARTIDO]],Original!$AT$1:$AY$46,4,FALSE)</f>
        <v>David Santiago Medina Buitrago</v>
      </c>
      <c r="G147" s="6" t="str">
        <f>VLOOKUP(Tabla13[[#This Row],[ID_PARTIDO]],Original!$AT$1:$AY$46,5,FALSE)</f>
        <v>Valentina Alejandra Lopez Romero</v>
      </c>
      <c r="H147" t="s">
        <v>7</v>
      </c>
      <c r="I147" t="s">
        <v>14</v>
      </c>
      <c r="J147" t="s">
        <v>7</v>
      </c>
      <c r="K147" t="s">
        <v>14</v>
      </c>
      <c r="L147">
        <v>1</v>
      </c>
      <c r="M147">
        <v>0</v>
      </c>
    </row>
    <row r="148" spans="1:13">
      <c r="A148">
        <v>28</v>
      </c>
      <c r="B148">
        <v>2</v>
      </c>
      <c r="C148">
        <v>7</v>
      </c>
      <c r="D148" s="6" t="str">
        <f>VLOOKUP(Tabla13[[#This Row],[ID_PARTIDO]],Original!$AT$1:$AY$46,2,FALSE)</f>
        <v>Rafael Andres Salcedo Valdivieso</v>
      </c>
      <c r="E148" s="6" t="str">
        <f>VLOOKUP(Tabla13[[#This Row],[ID_PARTIDO]],Original!$AT$1:$AY$46,3,FALSE)</f>
        <v xml:space="preserve">Jonatan Nicolas Marmolejo Lopez </v>
      </c>
      <c r="F148" s="6" t="str">
        <f>VLOOKUP(Tabla13[[#This Row],[ID_PARTIDO]],Original!$AT$1:$AY$46,4,FALSE)</f>
        <v>David Santiago Medina Buitrago</v>
      </c>
      <c r="G148" s="6" t="str">
        <f>VLOOKUP(Tabla13[[#This Row],[ID_PARTIDO]],Original!$AT$1:$AY$46,5,FALSE)</f>
        <v>Valentina Alejandra Lopez Romero</v>
      </c>
      <c r="H148" t="s">
        <v>7</v>
      </c>
      <c r="I148" t="s">
        <v>14</v>
      </c>
      <c r="J148" t="s">
        <v>7</v>
      </c>
      <c r="K148" t="s">
        <v>14</v>
      </c>
      <c r="L148">
        <v>1</v>
      </c>
      <c r="M148">
        <v>0</v>
      </c>
    </row>
    <row r="149" spans="1:13">
      <c r="A149">
        <v>28</v>
      </c>
      <c r="B149">
        <v>2</v>
      </c>
      <c r="C149">
        <v>8</v>
      </c>
      <c r="D149" s="6" t="str">
        <f>VLOOKUP(Tabla13[[#This Row],[ID_PARTIDO]],Original!$AT$1:$AY$46,2,FALSE)</f>
        <v>Rafael Andres Salcedo Valdivieso</v>
      </c>
      <c r="E149" s="6" t="str">
        <f>VLOOKUP(Tabla13[[#This Row],[ID_PARTIDO]],Original!$AT$1:$AY$46,3,FALSE)</f>
        <v xml:space="preserve">Jonatan Nicolas Marmolejo Lopez </v>
      </c>
      <c r="F149" s="6" t="str">
        <f>VLOOKUP(Tabla13[[#This Row],[ID_PARTIDO]],Original!$AT$1:$AY$46,4,FALSE)</f>
        <v>David Santiago Medina Buitrago</v>
      </c>
      <c r="G149" s="6" t="str">
        <f>VLOOKUP(Tabla13[[#This Row],[ID_PARTIDO]],Original!$AT$1:$AY$46,5,FALSE)</f>
        <v>Valentina Alejandra Lopez Romero</v>
      </c>
      <c r="H149" t="s">
        <v>7</v>
      </c>
      <c r="I149" t="s">
        <v>14</v>
      </c>
      <c r="J149" t="s">
        <v>7</v>
      </c>
      <c r="K149" t="s">
        <v>14</v>
      </c>
      <c r="L149">
        <v>1</v>
      </c>
      <c r="M149">
        <v>0</v>
      </c>
    </row>
    <row r="150" spans="1:13">
      <c r="A150">
        <v>28</v>
      </c>
      <c r="B150">
        <v>2</v>
      </c>
      <c r="C150">
        <v>9</v>
      </c>
      <c r="D150" s="6" t="str">
        <f>VLOOKUP(Tabla13[[#This Row],[ID_PARTIDO]],Original!$AT$1:$AY$46,2,FALSE)</f>
        <v>Rafael Andres Salcedo Valdivieso</v>
      </c>
      <c r="E150" s="6" t="str">
        <f>VLOOKUP(Tabla13[[#This Row],[ID_PARTIDO]],Original!$AT$1:$AY$46,3,FALSE)</f>
        <v xml:space="preserve">Jonatan Nicolas Marmolejo Lopez </v>
      </c>
      <c r="F150" s="6" t="str">
        <f>VLOOKUP(Tabla13[[#This Row],[ID_PARTIDO]],Original!$AT$1:$AY$46,4,FALSE)</f>
        <v>David Santiago Medina Buitrago</v>
      </c>
      <c r="G150" s="6" t="str">
        <f>VLOOKUP(Tabla13[[#This Row],[ID_PARTIDO]],Original!$AT$1:$AY$46,5,FALSE)</f>
        <v>Valentina Alejandra Lopez Romero</v>
      </c>
      <c r="H150" t="s">
        <v>7</v>
      </c>
      <c r="I150" t="s">
        <v>14</v>
      </c>
      <c r="J150" t="s">
        <v>7</v>
      </c>
      <c r="K150" t="s">
        <v>14</v>
      </c>
      <c r="L150">
        <v>1</v>
      </c>
      <c r="M150">
        <v>0</v>
      </c>
    </row>
    <row r="151" spans="1:13">
      <c r="A151">
        <v>32</v>
      </c>
      <c r="B151">
        <v>2</v>
      </c>
      <c r="C151">
        <v>1</v>
      </c>
      <c r="D151" s="6" t="str">
        <f>VLOOKUP(Tabla13[[#This Row],[ID_PARTIDO]],Original!$AT$1:$AY$46,2,FALSE)</f>
        <v>Cristian Stevan Soto Zapata</v>
      </c>
      <c r="E151" s="6" t="str">
        <f>VLOOKUP(Tabla13[[#This Row],[ID_PARTIDO]],Original!$AT$1:$AY$46,3,FALSE)</f>
        <v>Luis Jorge Garcia Camargo</v>
      </c>
      <c r="F151" s="6" t="str">
        <f>VLOOKUP(Tabla13[[#This Row],[ID_PARTIDO]],Original!$AT$1:$AY$46,4,FALSE)</f>
        <v xml:space="preserve">juan miguel venegas garzón </v>
      </c>
      <c r="G151" s="6" t="str">
        <f>VLOOKUP(Tabla13[[#This Row],[ID_PARTIDO]],Original!$AT$1:$AY$46,5,FALSE)</f>
        <v xml:space="preserve">Sergio Andrés López Rodríguez </v>
      </c>
      <c r="H151" t="s">
        <v>14</v>
      </c>
      <c r="I151" t="s">
        <v>7</v>
      </c>
      <c r="J151" t="s">
        <v>7</v>
      </c>
      <c r="K151" t="s">
        <v>14</v>
      </c>
      <c r="L151">
        <v>0</v>
      </c>
      <c r="M151">
        <v>1</v>
      </c>
    </row>
    <row r="152" spans="1:13">
      <c r="A152">
        <v>32</v>
      </c>
      <c r="B152">
        <v>2</v>
      </c>
      <c r="C152">
        <v>2</v>
      </c>
      <c r="D152" s="6" t="str">
        <f>VLOOKUP(Tabla13[[#This Row],[ID_PARTIDO]],Original!$AT$1:$AY$46,2,FALSE)</f>
        <v>Cristian Stevan Soto Zapata</v>
      </c>
      <c r="E152" s="6" t="str">
        <f>VLOOKUP(Tabla13[[#This Row],[ID_PARTIDO]],Original!$AT$1:$AY$46,3,FALSE)</f>
        <v>Luis Jorge Garcia Camargo</v>
      </c>
      <c r="F152" s="6" t="str">
        <f>VLOOKUP(Tabla13[[#This Row],[ID_PARTIDO]],Original!$AT$1:$AY$46,4,FALSE)</f>
        <v xml:space="preserve">juan miguel venegas garzón </v>
      </c>
      <c r="G152" s="6" t="str">
        <f>VLOOKUP(Tabla13[[#This Row],[ID_PARTIDO]],Original!$AT$1:$AY$46,5,FALSE)</f>
        <v xml:space="preserve">Sergio Andrés López Rodríguez </v>
      </c>
      <c r="H152" t="s">
        <v>14</v>
      </c>
      <c r="I152" t="s">
        <v>7</v>
      </c>
      <c r="J152" t="s">
        <v>7</v>
      </c>
      <c r="K152" t="s">
        <v>14</v>
      </c>
      <c r="L152">
        <v>1</v>
      </c>
      <c r="M152">
        <v>0</v>
      </c>
    </row>
    <row r="153" spans="1:13">
      <c r="A153">
        <v>32</v>
      </c>
      <c r="B153">
        <v>2</v>
      </c>
      <c r="C153">
        <v>3</v>
      </c>
      <c r="D153" s="6" t="str">
        <f>VLOOKUP(Tabla13[[#This Row],[ID_PARTIDO]],Original!$AT$1:$AY$46,2,FALSE)</f>
        <v>Cristian Stevan Soto Zapata</v>
      </c>
      <c r="E153" s="6" t="str">
        <f>VLOOKUP(Tabla13[[#This Row],[ID_PARTIDO]],Original!$AT$1:$AY$46,3,FALSE)</f>
        <v>Luis Jorge Garcia Camargo</v>
      </c>
      <c r="F153" s="6" t="str">
        <f>VLOOKUP(Tabla13[[#This Row],[ID_PARTIDO]],Original!$AT$1:$AY$46,4,FALSE)</f>
        <v xml:space="preserve">juan miguel venegas garzón </v>
      </c>
      <c r="G153" s="6" t="str">
        <f>VLOOKUP(Tabla13[[#This Row],[ID_PARTIDO]],Original!$AT$1:$AY$46,5,FALSE)</f>
        <v xml:space="preserve">Sergio Andrés López Rodríguez </v>
      </c>
      <c r="H153" t="s">
        <v>14</v>
      </c>
      <c r="I153" t="s">
        <v>7</v>
      </c>
      <c r="J153" t="s">
        <v>7</v>
      </c>
      <c r="K153" t="s">
        <v>14</v>
      </c>
      <c r="L153">
        <v>0</v>
      </c>
      <c r="M153">
        <v>1</v>
      </c>
    </row>
    <row r="154" spans="1:13">
      <c r="A154">
        <v>32</v>
      </c>
      <c r="B154">
        <v>2</v>
      </c>
      <c r="C154">
        <v>4</v>
      </c>
      <c r="D154" s="6" t="str">
        <f>VLOOKUP(Tabla13[[#This Row],[ID_PARTIDO]],Original!$AT$1:$AY$46,2,FALSE)</f>
        <v>Cristian Stevan Soto Zapata</v>
      </c>
      <c r="E154" s="6" t="str">
        <f>VLOOKUP(Tabla13[[#This Row],[ID_PARTIDO]],Original!$AT$1:$AY$46,3,FALSE)</f>
        <v>Luis Jorge Garcia Camargo</v>
      </c>
      <c r="F154" s="6" t="str">
        <f>VLOOKUP(Tabla13[[#This Row],[ID_PARTIDO]],Original!$AT$1:$AY$46,4,FALSE)</f>
        <v xml:space="preserve">juan miguel venegas garzón </v>
      </c>
      <c r="G154" s="6" t="str">
        <f>VLOOKUP(Tabla13[[#This Row],[ID_PARTIDO]],Original!$AT$1:$AY$46,5,FALSE)</f>
        <v xml:space="preserve">Sergio Andrés López Rodríguez </v>
      </c>
      <c r="H154" t="s">
        <v>14</v>
      </c>
      <c r="I154" t="s">
        <v>7</v>
      </c>
      <c r="J154" t="s">
        <v>7</v>
      </c>
      <c r="K154" t="s">
        <v>14</v>
      </c>
      <c r="L154">
        <v>1</v>
      </c>
      <c r="M154">
        <v>0</v>
      </c>
    </row>
    <row r="155" spans="1:13">
      <c r="A155">
        <v>32</v>
      </c>
      <c r="B155">
        <v>2</v>
      </c>
      <c r="C155">
        <v>5</v>
      </c>
      <c r="D155" s="6" t="str">
        <f>VLOOKUP(Tabla13[[#This Row],[ID_PARTIDO]],Original!$AT$1:$AY$46,2,FALSE)</f>
        <v>Cristian Stevan Soto Zapata</v>
      </c>
      <c r="E155" s="6" t="str">
        <f>VLOOKUP(Tabla13[[#This Row],[ID_PARTIDO]],Original!$AT$1:$AY$46,3,FALSE)</f>
        <v>Luis Jorge Garcia Camargo</v>
      </c>
      <c r="F155" s="6" t="str">
        <f>VLOOKUP(Tabla13[[#This Row],[ID_PARTIDO]],Original!$AT$1:$AY$46,4,FALSE)</f>
        <v xml:space="preserve">juan miguel venegas garzón </v>
      </c>
      <c r="G155" s="6" t="str">
        <f>VLOOKUP(Tabla13[[#This Row],[ID_PARTIDO]],Original!$AT$1:$AY$46,5,FALSE)</f>
        <v xml:space="preserve">Sergio Andrés López Rodríguez </v>
      </c>
      <c r="H155" t="s">
        <v>14</v>
      </c>
      <c r="I155" t="s">
        <v>7</v>
      </c>
      <c r="J155" t="s">
        <v>7</v>
      </c>
      <c r="K155" t="s">
        <v>14</v>
      </c>
      <c r="L155">
        <v>0</v>
      </c>
      <c r="M155">
        <v>1</v>
      </c>
    </row>
    <row r="156" spans="1:13">
      <c r="A156">
        <v>32</v>
      </c>
      <c r="B156">
        <v>2</v>
      </c>
      <c r="C156">
        <v>6</v>
      </c>
      <c r="D156" s="6" t="str">
        <f>VLOOKUP(Tabla13[[#This Row],[ID_PARTIDO]],Original!$AT$1:$AY$46,2,FALSE)</f>
        <v>Cristian Stevan Soto Zapata</v>
      </c>
      <c r="E156" s="6" t="str">
        <f>VLOOKUP(Tabla13[[#This Row],[ID_PARTIDO]],Original!$AT$1:$AY$46,3,FALSE)</f>
        <v>Luis Jorge Garcia Camargo</v>
      </c>
      <c r="F156" s="6" t="str">
        <f>VLOOKUP(Tabla13[[#This Row],[ID_PARTIDO]],Original!$AT$1:$AY$46,4,FALSE)</f>
        <v xml:space="preserve">juan miguel venegas garzón </v>
      </c>
      <c r="G156" s="6" t="str">
        <f>VLOOKUP(Tabla13[[#This Row],[ID_PARTIDO]],Original!$AT$1:$AY$46,5,FALSE)</f>
        <v xml:space="preserve">Sergio Andrés López Rodríguez </v>
      </c>
      <c r="H156" t="s">
        <v>14</v>
      </c>
      <c r="I156" t="s">
        <v>7</v>
      </c>
      <c r="J156" t="s">
        <v>7</v>
      </c>
      <c r="K156" t="s">
        <v>14</v>
      </c>
      <c r="L156">
        <v>1</v>
      </c>
      <c r="M156">
        <v>0</v>
      </c>
    </row>
    <row r="157" spans="1:13">
      <c r="A157">
        <v>32</v>
      </c>
      <c r="B157">
        <v>2</v>
      </c>
      <c r="C157">
        <v>7</v>
      </c>
      <c r="D157" s="6" t="str">
        <f>VLOOKUP(Tabla13[[#This Row],[ID_PARTIDO]],Original!$AT$1:$AY$46,2,FALSE)</f>
        <v>Cristian Stevan Soto Zapata</v>
      </c>
      <c r="E157" s="6" t="str">
        <f>VLOOKUP(Tabla13[[#This Row],[ID_PARTIDO]],Original!$AT$1:$AY$46,3,FALSE)</f>
        <v>Luis Jorge Garcia Camargo</v>
      </c>
      <c r="F157" s="6" t="str">
        <f>VLOOKUP(Tabla13[[#This Row],[ID_PARTIDO]],Original!$AT$1:$AY$46,4,FALSE)</f>
        <v xml:space="preserve">juan miguel venegas garzón </v>
      </c>
      <c r="G157" s="6" t="str">
        <f>VLOOKUP(Tabla13[[#This Row],[ID_PARTIDO]],Original!$AT$1:$AY$46,5,FALSE)</f>
        <v xml:space="preserve">Sergio Andrés López Rodríguez </v>
      </c>
      <c r="H157" t="s">
        <v>14</v>
      </c>
      <c r="I157" t="s">
        <v>7</v>
      </c>
      <c r="J157" t="s">
        <v>7</v>
      </c>
      <c r="K157" t="s">
        <v>14</v>
      </c>
      <c r="L157">
        <v>0</v>
      </c>
      <c r="M157">
        <v>1</v>
      </c>
    </row>
    <row r="158" spans="1:13">
      <c r="A158">
        <v>32</v>
      </c>
      <c r="B158">
        <v>2</v>
      </c>
      <c r="C158">
        <v>8</v>
      </c>
      <c r="D158" s="6" t="str">
        <f>VLOOKUP(Tabla13[[#This Row],[ID_PARTIDO]],Original!$AT$1:$AY$46,2,FALSE)</f>
        <v>Cristian Stevan Soto Zapata</v>
      </c>
      <c r="E158" s="6" t="str">
        <f>VLOOKUP(Tabla13[[#This Row],[ID_PARTIDO]],Original!$AT$1:$AY$46,3,FALSE)</f>
        <v>Luis Jorge Garcia Camargo</v>
      </c>
      <c r="F158" s="6" t="str">
        <f>VLOOKUP(Tabla13[[#This Row],[ID_PARTIDO]],Original!$AT$1:$AY$46,4,FALSE)</f>
        <v xml:space="preserve">juan miguel venegas garzón </v>
      </c>
      <c r="G158" s="6" t="str">
        <f>VLOOKUP(Tabla13[[#This Row],[ID_PARTIDO]],Original!$AT$1:$AY$46,5,FALSE)</f>
        <v xml:space="preserve">Sergio Andrés López Rodríguez </v>
      </c>
      <c r="H158" t="s">
        <v>14</v>
      </c>
      <c r="I158" t="s">
        <v>7</v>
      </c>
      <c r="J158" t="s">
        <v>7</v>
      </c>
      <c r="K158" t="s">
        <v>14</v>
      </c>
      <c r="L158">
        <v>0</v>
      </c>
      <c r="M158">
        <v>1</v>
      </c>
    </row>
    <row r="159" spans="1:13">
      <c r="A159">
        <v>32</v>
      </c>
      <c r="B159">
        <v>2</v>
      </c>
      <c r="C159">
        <v>9</v>
      </c>
      <c r="D159" s="6" t="str">
        <f>VLOOKUP(Tabla13[[#This Row],[ID_PARTIDO]],Original!$AT$1:$AY$46,2,FALSE)</f>
        <v>Cristian Stevan Soto Zapata</v>
      </c>
      <c r="E159" s="6" t="str">
        <f>VLOOKUP(Tabla13[[#This Row],[ID_PARTIDO]],Original!$AT$1:$AY$46,3,FALSE)</f>
        <v>Luis Jorge Garcia Camargo</v>
      </c>
      <c r="F159" s="6" t="str">
        <f>VLOOKUP(Tabla13[[#This Row],[ID_PARTIDO]],Original!$AT$1:$AY$46,4,FALSE)</f>
        <v xml:space="preserve">juan miguel venegas garzón </v>
      </c>
      <c r="G159" s="6" t="str">
        <f>VLOOKUP(Tabla13[[#This Row],[ID_PARTIDO]],Original!$AT$1:$AY$46,5,FALSE)</f>
        <v xml:space="preserve">Sergio Andrés López Rodríguez </v>
      </c>
      <c r="H159" t="s">
        <v>14</v>
      </c>
      <c r="I159" t="s">
        <v>7</v>
      </c>
      <c r="J159" t="s">
        <v>7</v>
      </c>
      <c r="K159" t="s">
        <v>14</v>
      </c>
      <c r="L159">
        <v>1</v>
      </c>
      <c r="M159">
        <v>0</v>
      </c>
    </row>
    <row r="160" spans="1:13">
      <c r="A160">
        <v>32</v>
      </c>
      <c r="B160">
        <v>2</v>
      </c>
      <c r="C160">
        <v>10</v>
      </c>
      <c r="D160" s="6" t="str">
        <f>VLOOKUP(Tabla13[[#This Row],[ID_PARTIDO]],Original!$AT$1:$AY$46,2,FALSE)</f>
        <v>Cristian Stevan Soto Zapata</v>
      </c>
      <c r="E160" s="6" t="str">
        <f>VLOOKUP(Tabla13[[#This Row],[ID_PARTIDO]],Original!$AT$1:$AY$46,3,FALSE)</f>
        <v>Luis Jorge Garcia Camargo</v>
      </c>
      <c r="F160" s="6" t="str">
        <f>VLOOKUP(Tabla13[[#This Row],[ID_PARTIDO]],Original!$AT$1:$AY$46,4,FALSE)</f>
        <v xml:space="preserve">juan miguel venegas garzón </v>
      </c>
      <c r="G160" s="6" t="str">
        <f>VLOOKUP(Tabla13[[#This Row],[ID_PARTIDO]],Original!$AT$1:$AY$46,5,FALSE)</f>
        <v xml:space="preserve">Sergio Andrés López Rodríguez </v>
      </c>
      <c r="H160" t="s">
        <v>14</v>
      </c>
      <c r="I160" t="s">
        <v>7</v>
      </c>
      <c r="J160" t="s">
        <v>7</v>
      </c>
      <c r="K160" t="s">
        <v>14</v>
      </c>
      <c r="L160">
        <v>1</v>
      </c>
      <c r="M160">
        <v>0</v>
      </c>
    </row>
    <row r="161" spans="1:13">
      <c r="A161">
        <v>32</v>
      </c>
      <c r="B161">
        <v>2</v>
      </c>
      <c r="C161">
        <v>11</v>
      </c>
      <c r="D161" s="6" t="str">
        <f>VLOOKUP(Tabla13[[#This Row],[ID_PARTIDO]],Original!$AT$1:$AY$46,2,FALSE)</f>
        <v>Cristian Stevan Soto Zapata</v>
      </c>
      <c r="E161" s="6" t="str">
        <f>VLOOKUP(Tabla13[[#This Row],[ID_PARTIDO]],Original!$AT$1:$AY$46,3,FALSE)</f>
        <v>Luis Jorge Garcia Camargo</v>
      </c>
      <c r="F161" s="6" t="str">
        <f>VLOOKUP(Tabla13[[#This Row],[ID_PARTIDO]],Original!$AT$1:$AY$46,4,FALSE)</f>
        <v xml:space="preserve">juan miguel venegas garzón </v>
      </c>
      <c r="G161" s="6" t="str">
        <f>VLOOKUP(Tabla13[[#This Row],[ID_PARTIDO]],Original!$AT$1:$AY$46,5,FALSE)</f>
        <v xml:space="preserve">Sergio Andrés López Rodríguez </v>
      </c>
      <c r="H161" t="s">
        <v>14</v>
      </c>
      <c r="I161" t="s">
        <v>7</v>
      </c>
      <c r="J161" t="s">
        <v>7</v>
      </c>
      <c r="K161" t="s">
        <v>14</v>
      </c>
      <c r="L161">
        <v>1</v>
      </c>
      <c r="M161">
        <v>0</v>
      </c>
    </row>
    <row r="162" spans="1:13">
      <c r="A162">
        <v>32</v>
      </c>
      <c r="B162">
        <v>2</v>
      </c>
      <c r="C162">
        <v>12</v>
      </c>
      <c r="D162" s="6" t="str">
        <f>VLOOKUP(Tabla13[[#This Row],[ID_PARTIDO]],Original!$AT$1:$AY$46,2,FALSE)</f>
        <v>Cristian Stevan Soto Zapata</v>
      </c>
      <c r="E162" s="6" t="str">
        <f>VLOOKUP(Tabla13[[#This Row],[ID_PARTIDO]],Original!$AT$1:$AY$46,3,FALSE)</f>
        <v>Luis Jorge Garcia Camargo</v>
      </c>
      <c r="F162" s="6" t="str">
        <f>VLOOKUP(Tabla13[[#This Row],[ID_PARTIDO]],Original!$AT$1:$AY$46,4,FALSE)</f>
        <v xml:space="preserve">juan miguel venegas garzón </v>
      </c>
      <c r="G162" s="6" t="str">
        <f>VLOOKUP(Tabla13[[#This Row],[ID_PARTIDO]],Original!$AT$1:$AY$46,5,FALSE)</f>
        <v xml:space="preserve">Sergio Andrés López Rodríguez </v>
      </c>
      <c r="H162" t="s">
        <v>14</v>
      </c>
      <c r="I162" t="s">
        <v>7</v>
      </c>
      <c r="J162" t="s">
        <v>7</v>
      </c>
      <c r="K162" t="s">
        <v>14</v>
      </c>
      <c r="L162">
        <v>1</v>
      </c>
      <c r="M162">
        <v>0</v>
      </c>
    </row>
    <row r="163" spans="1:13">
      <c r="A163">
        <v>34</v>
      </c>
      <c r="B163">
        <v>2</v>
      </c>
      <c r="C163">
        <v>1</v>
      </c>
      <c r="D163" s="6" t="str">
        <f>VLOOKUP(Tabla13[[#This Row],[ID_PARTIDO]],Original!$AT$1:$AY$46,2,FALSE)</f>
        <v>Santiago Navarro Cuy</v>
      </c>
      <c r="E163" s="6" t="str">
        <f>VLOOKUP(Tabla13[[#This Row],[ID_PARTIDO]],Original!$AT$1:$AY$46,3,FALSE)</f>
        <v>sara juliana solano boada</v>
      </c>
      <c r="F163" s="6" t="str">
        <f>VLOOKUP(Tabla13[[#This Row],[ID_PARTIDO]],Original!$AT$1:$AY$46,4,FALSE)</f>
        <v>Nikol sofia avendaño</v>
      </c>
      <c r="G163" s="6" t="str">
        <f>VLOOKUP(Tabla13[[#This Row],[ID_PARTIDO]],Original!$AT$1:$AY$46,5,FALSE)</f>
        <v>Samuel Andrés Rodríguez Ulloa</v>
      </c>
      <c r="H163" t="s">
        <v>14</v>
      </c>
      <c r="I163" t="s">
        <v>7</v>
      </c>
      <c r="J163" t="s">
        <v>14</v>
      </c>
      <c r="K163" t="s">
        <v>7</v>
      </c>
      <c r="L163">
        <v>0</v>
      </c>
      <c r="M163">
        <v>1</v>
      </c>
    </row>
    <row r="164" spans="1:13">
      <c r="A164">
        <v>34</v>
      </c>
      <c r="B164">
        <v>2</v>
      </c>
      <c r="C164">
        <v>2</v>
      </c>
      <c r="D164" s="6" t="str">
        <f>VLOOKUP(Tabla13[[#This Row],[ID_PARTIDO]],Original!$AT$1:$AY$46,2,FALSE)</f>
        <v>Santiago Navarro Cuy</v>
      </c>
      <c r="E164" s="6" t="str">
        <f>VLOOKUP(Tabla13[[#This Row],[ID_PARTIDO]],Original!$AT$1:$AY$46,3,FALSE)</f>
        <v>sara juliana solano boada</v>
      </c>
      <c r="F164" s="6" t="str">
        <f>VLOOKUP(Tabla13[[#This Row],[ID_PARTIDO]],Original!$AT$1:$AY$46,4,FALSE)</f>
        <v>Nikol sofia avendaño</v>
      </c>
      <c r="G164" s="6" t="str">
        <f>VLOOKUP(Tabla13[[#This Row],[ID_PARTIDO]],Original!$AT$1:$AY$46,5,FALSE)</f>
        <v>Samuel Andrés Rodríguez Ulloa</v>
      </c>
      <c r="H164" t="s">
        <v>14</v>
      </c>
      <c r="I164" t="s">
        <v>7</v>
      </c>
      <c r="J164" t="s">
        <v>14</v>
      </c>
      <c r="K164" t="s">
        <v>7</v>
      </c>
      <c r="L164">
        <v>0</v>
      </c>
      <c r="M164">
        <v>1</v>
      </c>
    </row>
    <row r="165" spans="1:13">
      <c r="A165">
        <v>34</v>
      </c>
      <c r="B165">
        <v>2</v>
      </c>
      <c r="C165">
        <v>3</v>
      </c>
      <c r="D165" s="6" t="str">
        <f>VLOOKUP(Tabla13[[#This Row],[ID_PARTIDO]],Original!$AT$1:$AY$46,2,FALSE)</f>
        <v>Santiago Navarro Cuy</v>
      </c>
      <c r="E165" s="6" t="str">
        <f>VLOOKUP(Tabla13[[#This Row],[ID_PARTIDO]],Original!$AT$1:$AY$46,3,FALSE)</f>
        <v>sara juliana solano boada</v>
      </c>
      <c r="F165" s="6" t="str">
        <f>VLOOKUP(Tabla13[[#This Row],[ID_PARTIDO]],Original!$AT$1:$AY$46,4,FALSE)</f>
        <v>Nikol sofia avendaño</v>
      </c>
      <c r="G165" s="6" t="str">
        <f>VLOOKUP(Tabla13[[#This Row],[ID_PARTIDO]],Original!$AT$1:$AY$46,5,FALSE)</f>
        <v>Samuel Andrés Rodríguez Ulloa</v>
      </c>
      <c r="H165" t="s">
        <v>14</v>
      </c>
      <c r="I165" t="s">
        <v>7</v>
      </c>
      <c r="J165" t="s">
        <v>14</v>
      </c>
      <c r="K165" t="s">
        <v>7</v>
      </c>
      <c r="L165">
        <v>1</v>
      </c>
      <c r="M165">
        <v>0</v>
      </c>
    </row>
    <row r="166" spans="1:13">
      <c r="A166">
        <v>34</v>
      </c>
      <c r="B166">
        <v>2</v>
      </c>
      <c r="C166">
        <v>4</v>
      </c>
      <c r="D166" s="6" t="str">
        <f>VLOOKUP(Tabla13[[#This Row],[ID_PARTIDO]],Original!$AT$1:$AY$46,2,FALSE)</f>
        <v>Santiago Navarro Cuy</v>
      </c>
      <c r="E166" s="6" t="str">
        <f>VLOOKUP(Tabla13[[#This Row],[ID_PARTIDO]],Original!$AT$1:$AY$46,3,FALSE)</f>
        <v>sara juliana solano boada</v>
      </c>
      <c r="F166" s="6" t="str">
        <f>VLOOKUP(Tabla13[[#This Row],[ID_PARTIDO]],Original!$AT$1:$AY$46,4,FALSE)</f>
        <v>Nikol sofia avendaño</v>
      </c>
      <c r="G166" s="6" t="str">
        <f>VLOOKUP(Tabla13[[#This Row],[ID_PARTIDO]],Original!$AT$1:$AY$46,5,FALSE)</f>
        <v>Samuel Andrés Rodríguez Ulloa</v>
      </c>
      <c r="H166" t="s">
        <v>14</v>
      </c>
      <c r="I166" t="s">
        <v>7</v>
      </c>
      <c r="J166" t="s">
        <v>14</v>
      </c>
      <c r="K166" t="s">
        <v>7</v>
      </c>
      <c r="L166">
        <v>1</v>
      </c>
      <c r="M166">
        <v>0</v>
      </c>
    </row>
    <row r="167" spans="1:13">
      <c r="A167">
        <v>34</v>
      </c>
      <c r="B167">
        <v>2</v>
      </c>
      <c r="C167">
        <v>5</v>
      </c>
      <c r="D167" s="6" t="str">
        <f>VLOOKUP(Tabla13[[#This Row],[ID_PARTIDO]],Original!$AT$1:$AY$46,2,FALSE)</f>
        <v>Santiago Navarro Cuy</v>
      </c>
      <c r="E167" s="6" t="str">
        <f>VLOOKUP(Tabla13[[#This Row],[ID_PARTIDO]],Original!$AT$1:$AY$46,3,FALSE)</f>
        <v>sara juliana solano boada</v>
      </c>
      <c r="F167" s="6" t="str">
        <f>VLOOKUP(Tabla13[[#This Row],[ID_PARTIDO]],Original!$AT$1:$AY$46,4,FALSE)</f>
        <v>Nikol sofia avendaño</v>
      </c>
      <c r="G167" s="6" t="str">
        <f>VLOOKUP(Tabla13[[#This Row],[ID_PARTIDO]],Original!$AT$1:$AY$46,5,FALSE)</f>
        <v>Samuel Andrés Rodríguez Ulloa</v>
      </c>
      <c r="H167" t="s">
        <v>14</v>
      </c>
      <c r="I167" t="s">
        <v>7</v>
      </c>
      <c r="J167" t="s">
        <v>14</v>
      </c>
      <c r="K167" t="s">
        <v>7</v>
      </c>
      <c r="L167">
        <v>0</v>
      </c>
      <c r="M167">
        <v>1</v>
      </c>
    </row>
    <row r="168" spans="1:13">
      <c r="A168">
        <v>34</v>
      </c>
      <c r="B168">
        <v>2</v>
      </c>
      <c r="C168">
        <v>6</v>
      </c>
      <c r="D168" s="6" t="str">
        <f>VLOOKUP(Tabla13[[#This Row],[ID_PARTIDO]],Original!$AT$1:$AY$46,2,FALSE)</f>
        <v>Santiago Navarro Cuy</v>
      </c>
      <c r="E168" s="6" t="str">
        <f>VLOOKUP(Tabla13[[#This Row],[ID_PARTIDO]],Original!$AT$1:$AY$46,3,FALSE)</f>
        <v>sara juliana solano boada</v>
      </c>
      <c r="F168" s="6" t="str">
        <f>VLOOKUP(Tabla13[[#This Row],[ID_PARTIDO]],Original!$AT$1:$AY$46,4,FALSE)</f>
        <v>Nikol sofia avendaño</v>
      </c>
      <c r="G168" s="6" t="str">
        <f>VLOOKUP(Tabla13[[#This Row],[ID_PARTIDO]],Original!$AT$1:$AY$46,5,FALSE)</f>
        <v>Samuel Andrés Rodríguez Ulloa</v>
      </c>
      <c r="H168" t="s">
        <v>14</v>
      </c>
      <c r="I168" t="s">
        <v>7</v>
      </c>
      <c r="J168" t="s">
        <v>14</v>
      </c>
      <c r="K168" t="s">
        <v>7</v>
      </c>
      <c r="L168">
        <v>1</v>
      </c>
      <c r="M168">
        <v>0</v>
      </c>
    </row>
    <row r="169" spans="1:13">
      <c r="A169">
        <v>34</v>
      </c>
      <c r="B169">
        <v>2</v>
      </c>
      <c r="C169">
        <v>7</v>
      </c>
      <c r="D169" s="6" t="str">
        <f>VLOOKUP(Tabla13[[#This Row],[ID_PARTIDO]],Original!$AT$1:$AY$46,2,FALSE)</f>
        <v>Santiago Navarro Cuy</v>
      </c>
      <c r="E169" s="6" t="str">
        <f>VLOOKUP(Tabla13[[#This Row],[ID_PARTIDO]],Original!$AT$1:$AY$46,3,FALSE)</f>
        <v>sara juliana solano boada</v>
      </c>
      <c r="F169" s="6" t="str">
        <f>VLOOKUP(Tabla13[[#This Row],[ID_PARTIDO]],Original!$AT$1:$AY$46,4,FALSE)</f>
        <v>Nikol sofia avendaño</v>
      </c>
      <c r="G169" s="6" t="str">
        <f>VLOOKUP(Tabla13[[#This Row],[ID_PARTIDO]],Original!$AT$1:$AY$46,5,FALSE)</f>
        <v>Samuel Andrés Rodríguez Ulloa</v>
      </c>
      <c r="H169" t="s">
        <v>14</v>
      </c>
      <c r="I169" t="s">
        <v>7</v>
      </c>
      <c r="J169" t="s">
        <v>14</v>
      </c>
      <c r="K169" t="s">
        <v>7</v>
      </c>
      <c r="L169">
        <v>0</v>
      </c>
      <c r="M169">
        <v>1</v>
      </c>
    </row>
    <row r="170" spans="1:13">
      <c r="A170">
        <v>34</v>
      </c>
      <c r="B170">
        <v>2</v>
      </c>
      <c r="C170">
        <v>8</v>
      </c>
      <c r="D170" s="6" t="str">
        <f>VLOOKUP(Tabla13[[#This Row],[ID_PARTIDO]],Original!$AT$1:$AY$46,2,FALSE)</f>
        <v>Santiago Navarro Cuy</v>
      </c>
      <c r="E170" s="6" t="str">
        <f>VLOOKUP(Tabla13[[#This Row],[ID_PARTIDO]],Original!$AT$1:$AY$46,3,FALSE)</f>
        <v>sara juliana solano boada</v>
      </c>
      <c r="F170" s="6" t="str">
        <f>VLOOKUP(Tabla13[[#This Row],[ID_PARTIDO]],Original!$AT$1:$AY$46,4,FALSE)</f>
        <v>Nikol sofia avendaño</v>
      </c>
      <c r="G170" s="6" t="str">
        <f>VLOOKUP(Tabla13[[#This Row],[ID_PARTIDO]],Original!$AT$1:$AY$46,5,FALSE)</f>
        <v>Samuel Andrés Rodríguez Ulloa</v>
      </c>
      <c r="H170" t="s">
        <v>14</v>
      </c>
      <c r="I170" t="s">
        <v>7</v>
      </c>
      <c r="J170" t="s">
        <v>14</v>
      </c>
      <c r="K170" t="s">
        <v>7</v>
      </c>
      <c r="L170">
        <v>0</v>
      </c>
      <c r="M170">
        <v>1</v>
      </c>
    </row>
    <row r="171" spans="1:13">
      <c r="A171">
        <v>34</v>
      </c>
      <c r="B171">
        <v>2</v>
      </c>
      <c r="C171">
        <v>9</v>
      </c>
      <c r="D171" s="6" t="str">
        <f>VLOOKUP(Tabla13[[#This Row],[ID_PARTIDO]],Original!$AT$1:$AY$46,2,FALSE)</f>
        <v>Santiago Navarro Cuy</v>
      </c>
      <c r="E171" s="6" t="str">
        <f>VLOOKUP(Tabla13[[#This Row],[ID_PARTIDO]],Original!$AT$1:$AY$46,3,FALSE)</f>
        <v>sara juliana solano boada</v>
      </c>
      <c r="F171" s="6" t="str">
        <f>VLOOKUP(Tabla13[[#This Row],[ID_PARTIDO]],Original!$AT$1:$AY$46,4,FALSE)</f>
        <v>Nikol sofia avendaño</v>
      </c>
      <c r="G171" s="6" t="str">
        <f>VLOOKUP(Tabla13[[#This Row],[ID_PARTIDO]],Original!$AT$1:$AY$46,5,FALSE)</f>
        <v>Samuel Andrés Rodríguez Ulloa</v>
      </c>
      <c r="H171" t="s">
        <v>14</v>
      </c>
      <c r="I171" t="s">
        <v>7</v>
      </c>
      <c r="J171" t="s">
        <v>14</v>
      </c>
      <c r="K171" t="s">
        <v>7</v>
      </c>
      <c r="L171">
        <v>0</v>
      </c>
      <c r="M171">
        <v>1</v>
      </c>
    </row>
    <row r="172" spans="1:13">
      <c r="A172">
        <v>34</v>
      </c>
      <c r="B172">
        <v>2</v>
      </c>
      <c r="C172">
        <v>10</v>
      </c>
      <c r="D172" s="6" t="str">
        <f>VLOOKUP(Tabla13[[#This Row],[ID_PARTIDO]],Original!$AT$1:$AY$46,2,FALSE)</f>
        <v>Santiago Navarro Cuy</v>
      </c>
      <c r="E172" s="6" t="str">
        <f>VLOOKUP(Tabla13[[#This Row],[ID_PARTIDO]],Original!$AT$1:$AY$46,3,FALSE)</f>
        <v>sara juliana solano boada</v>
      </c>
      <c r="F172" s="6" t="str">
        <f>VLOOKUP(Tabla13[[#This Row],[ID_PARTIDO]],Original!$AT$1:$AY$46,4,FALSE)</f>
        <v>Nikol sofia avendaño</v>
      </c>
      <c r="G172" s="6" t="str">
        <f>VLOOKUP(Tabla13[[#This Row],[ID_PARTIDO]],Original!$AT$1:$AY$46,5,FALSE)</f>
        <v>Samuel Andrés Rodríguez Ulloa</v>
      </c>
      <c r="H172" t="s">
        <v>14</v>
      </c>
      <c r="I172" t="s">
        <v>7</v>
      </c>
      <c r="J172" t="s">
        <v>14</v>
      </c>
      <c r="K172" t="s">
        <v>7</v>
      </c>
      <c r="L172">
        <v>0</v>
      </c>
      <c r="M172">
        <v>1</v>
      </c>
    </row>
    <row r="173" spans="1:13">
      <c r="A173">
        <v>30</v>
      </c>
      <c r="B173">
        <v>2</v>
      </c>
      <c r="C173">
        <v>1</v>
      </c>
      <c r="D173" s="6" t="str">
        <f>VLOOKUP(Tabla13[[#This Row],[ID_PARTIDO]],Original!$AT$1:$AY$46,2,FALSE)</f>
        <v>Andrea Julieth Sosa Rodriguez</v>
      </c>
      <c r="E173" s="6" t="str">
        <f>VLOOKUP(Tabla13[[#This Row],[ID_PARTIDO]],Original!$AT$1:$AY$46,3,FALSE)</f>
        <v xml:space="preserve">juan miguel venegas garzón </v>
      </c>
      <c r="F173" s="6" t="str">
        <f>VLOOKUP(Tabla13[[#This Row],[ID_PARTIDO]],Original!$AT$1:$AY$46,4,FALSE)</f>
        <v>Juan Pablo Benitez Bernal</v>
      </c>
      <c r="G173" s="6" t="str">
        <f>VLOOKUP(Tabla13[[#This Row],[ID_PARTIDO]],Original!$AT$1:$AY$46,5,FALSE)</f>
        <v>César Camilo Díaz Cufiño</v>
      </c>
      <c r="H173" t="s">
        <v>14</v>
      </c>
      <c r="I173" t="s">
        <v>7</v>
      </c>
      <c r="J173" t="s">
        <v>14</v>
      </c>
      <c r="K173" t="s">
        <v>7</v>
      </c>
      <c r="L173">
        <v>0</v>
      </c>
      <c r="M173">
        <v>1</v>
      </c>
    </row>
    <row r="174" spans="1:13">
      <c r="A174">
        <v>30</v>
      </c>
      <c r="B174">
        <v>2</v>
      </c>
      <c r="C174">
        <v>2</v>
      </c>
      <c r="D174" s="6" t="str">
        <f>VLOOKUP(Tabla13[[#This Row],[ID_PARTIDO]],Original!$AT$1:$AY$46,2,FALSE)</f>
        <v>Andrea Julieth Sosa Rodriguez</v>
      </c>
      <c r="E174" s="6" t="str">
        <f>VLOOKUP(Tabla13[[#This Row],[ID_PARTIDO]],Original!$AT$1:$AY$46,3,FALSE)</f>
        <v xml:space="preserve">juan miguel venegas garzón </v>
      </c>
      <c r="F174" s="6" t="str">
        <f>VLOOKUP(Tabla13[[#This Row],[ID_PARTIDO]],Original!$AT$1:$AY$46,4,FALSE)</f>
        <v>Juan Pablo Benitez Bernal</v>
      </c>
      <c r="G174" s="6" t="str">
        <f>VLOOKUP(Tabla13[[#This Row],[ID_PARTIDO]],Original!$AT$1:$AY$46,5,FALSE)</f>
        <v>César Camilo Díaz Cufiño</v>
      </c>
      <c r="H174" t="s">
        <v>14</v>
      </c>
      <c r="I174" t="s">
        <v>7</v>
      </c>
      <c r="J174" t="s">
        <v>14</v>
      </c>
      <c r="K174" t="s">
        <v>7</v>
      </c>
      <c r="L174">
        <v>1</v>
      </c>
      <c r="M174">
        <v>0</v>
      </c>
    </row>
    <row r="175" spans="1:13">
      <c r="A175">
        <v>30</v>
      </c>
      <c r="B175">
        <v>2</v>
      </c>
      <c r="C175">
        <v>3</v>
      </c>
      <c r="D175" s="6" t="str">
        <f>VLOOKUP(Tabla13[[#This Row],[ID_PARTIDO]],Original!$AT$1:$AY$46,2,FALSE)</f>
        <v>Andrea Julieth Sosa Rodriguez</v>
      </c>
      <c r="E175" s="6" t="str">
        <f>VLOOKUP(Tabla13[[#This Row],[ID_PARTIDO]],Original!$AT$1:$AY$46,3,FALSE)</f>
        <v xml:space="preserve">juan miguel venegas garzón </v>
      </c>
      <c r="F175" s="6" t="str">
        <f>VLOOKUP(Tabla13[[#This Row],[ID_PARTIDO]],Original!$AT$1:$AY$46,4,FALSE)</f>
        <v>Juan Pablo Benitez Bernal</v>
      </c>
      <c r="G175" s="6" t="str">
        <f>VLOOKUP(Tabla13[[#This Row],[ID_PARTIDO]],Original!$AT$1:$AY$46,5,FALSE)</f>
        <v>César Camilo Díaz Cufiño</v>
      </c>
      <c r="H175" t="s">
        <v>14</v>
      </c>
      <c r="I175" t="s">
        <v>7</v>
      </c>
      <c r="J175" t="s">
        <v>14</v>
      </c>
      <c r="K175" t="s">
        <v>7</v>
      </c>
      <c r="L175">
        <v>1</v>
      </c>
      <c r="M175">
        <v>0</v>
      </c>
    </row>
    <row r="176" spans="1:13">
      <c r="A176">
        <v>30</v>
      </c>
      <c r="B176">
        <v>2</v>
      </c>
      <c r="C176">
        <v>4</v>
      </c>
      <c r="D176" s="6" t="str">
        <f>VLOOKUP(Tabla13[[#This Row],[ID_PARTIDO]],Original!$AT$1:$AY$46,2,FALSE)</f>
        <v>Andrea Julieth Sosa Rodriguez</v>
      </c>
      <c r="E176" s="6" t="str">
        <f>VLOOKUP(Tabla13[[#This Row],[ID_PARTIDO]],Original!$AT$1:$AY$46,3,FALSE)</f>
        <v xml:space="preserve">juan miguel venegas garzón </v>
      </c>
      <c r="F176" s="6" t="str">
        <f>VLOOKUP(Tabla13[[#This Row],[ID_PARTIDO]],Original!$AT$1:$AY$46,4,FALSE)</f>
        <v>Juan Pablo Benitez Bernal</v>
      </c>
      <c r="G176" s="6" t="str">
        <f>VLOOKUP(Tabla13[[#This Row],[ID_PARTIDO]],Original!$AT$1:$AY$46,5,FALSE)</f>
        <v>César Camilo Díaz Cufiño</v>
      </c>
      <c r="H176" t="s">
        <v>14</v>
      </c>
      <c r="I176" t="s">
        <v>7</v>
      </c>
      <c r="J176" t="s">
        <v>14</v>
      </c>
      <c r="K176" t="s">
        <v>7</v>
      </c>
      <c r="L176">
        <v>1</v>
      </c>
      <c r="M176">
        <v>0</v>
      </c>
    </row>
    <row r="177" spans="1:13">
      <c r="A177">
        <v>30</v>
      </c>
      <c r="B177">
        <v>2</v>
      </c>
      <c r="C177">
        <v>5</v>
      </c>
      <c r="D177" s="6" t="str">
        <f>VLOOKUP(Tabla13[[#This Row],[ID_PARTIDO]],Original!$AT$1:$AY$46,2,FALSE)</f>
        <v>Andrea Julieth Sosa Rodriguez</v>
      </c>
      <c r="E177" s="6" t="str">
        <f>VLOOKUP(Tabla13[[#This Row],[ID_PARTIDO]],Original!$AT$1:$AY$46,3,FALSE)</f>
        <v xml:space="preserve">juan miguel venegas garzón </v>
      </c>
      <c r="F177" s="6" t="str">
        <f>VLOOKUP(Tabla13[[#This Row],[ID_PARTIDO]],Original!$AT$1:$AY$46,4,FALSE)</f>
        <v>Juan Pablo Benitez Bernal</v>
      </c>
      <c r="G177" s="6" t="str">
        <f>VLOOKUP(Tabla13[[#This Row],[ID_PARTIDO]],Original!$AT$1:$AY$46,5,FALSE)</f>
        <v>César Camilo Díaz Cufiño</v>
      </c>
      <c r="H177" t="s">
        <v>14</v>
      </c>
      <c r="I177" t="s">
        <v>7</v>
      </c>
      <c r="J177" t="s">
        <v>14</v>
      </c>
      <c r="K177" t="s">
        <v>7</v>
      </c>
      <c r="L177">
        <v>0</v>
      </c>
      <c r="M177">
        <v>1</v>
      </c>
    </row>
    <row r="178" spans="1:13">
      <c r="A178">
        <v>30</v>
      </c>
      <c r="B178">
        <v>2</v>
      </c>
      <c r="C178">
        <v>6</v>
      </c>
      <c r="D178" s="6" t="str">
        <f>VLOOKUP(Tabla13[[#This Row],[ID_PARTIDO]],Original!$AT$1:$AY$46,2,FALSE)</f>
        <v>Andrea Julieth Sosa Rodriguez</v>
      </c>
      <c r="E178" s="6" t="str">
        <f>VLOOKUP(Tabla13[[#This Row],[ID_PARTIDO]],Original!$AT$1:$AY$46,3,FALSE)</f>
        <v xml:space="preserve">juan miguel venegas garzón </v>
      </c>
      <c r="F178" s="6" t="str">
        <f>VLOOKUP(Tabla13[[#This Row],[ID_PARTIDO]],Original!$AT$1:$AY$46,4,FALSE)</f>
        <v>Juan Pablo Benitez Bernal</v>
      </c>
      <c r="G178" s="6" t="str">
        <f>VLOOKUP(Tabla13[[#This Row],[ID_PARTIDO]],Original!$AT$1:$AY$46,5,FALSE)</f>
        <v>César Camilo Díaz Cufiño</v>
      </c>
      <c r="H178" t="s">
        <v>14</v>
      </c>
      <c r="I178" t="s">
        <v>7</v>
      </c>
      <c r="J178" t="s">
        <v>14</v>
      </c>
      <c r="K178" t="s">
        <v>7</v>
      </c>
      <c r="L178">
        <v>0</v>
      </c>
      <c r="M178">
        <v>1</v>
      </c>
    </row>
    <row r="179" spans="1:13">
      <c r="A179">
        <v>30</v>
      </c>
      <c r="B179">
        <v>2</v>
      </c>
      <c r="C179">
        <v>7</v>
      </c>
      <c r="D179" s="6" t="str">
        <f>VLOOKUP(Tabla13[[#This Row],[ID_PARTIDO]],Original!$AT$1:$AY$46,2,FALSE)</f>
        <v>Andrea Julieth Sosa Rodriguez</v>
      </c>
      <c r="E179" s="6" t="str">
        <f>VLOOKUP(Tabla13[[#This Row],[ID_PARTIDO]],Original!$AT$1:$AY$46,3,FALSE)</f>
        <v xml:space="preserve">juan miguel venegas garzón </v>
      </c>
      <c r="F179" s="6" t="str">
        <f>VLOOKUP(Tabla13[[#This Row],[ID_PARTIDO]],Original!$AT$1:$AY$46,4,FALSE)</f>
        <v>Juan Pablo Benitez Bernal</v>
      </c>
      <c r="G179" s="6" t="str">
        <f>VLOOKUP(Tabla13[[#This Row],[ID_PARTIDO]],Original!$AT$1:$AY$46,5,FALSE)</f>
        <v>César Camilo Díaz Cufiño</v>
      </c>
      <c r="H179" t="s">
        <v>14</v>
      </c>
      <c r="I179" t="s">
        <v>7</v>
      </c>
      <c r="J179" t="s">
        <v>14</v>
      </c>
      <c r="K179" t="s">
        <v>7</v>
      </c>
      <c r="L179">
        <v>1</v>
      </c>
      <c r="M179">
        <v>0</v>
      </c>
    </row>
    <row r="180" spans="1:13">
      <c r="A180">
        <v>30</v>
      </c>
      <c r="B180">
        <v>2</v>
      </c>
      <c r="C180">
        <v>8</v>
      </c>
      <c r="D180" s="6" t="str">
        <f>VLOOKUP(Tabla13[[#This Row],[ID_PARTIDO]],Original!$AT$1:$AY$46,2,FALSE)</f>
        <v>Andrea Julieth Sosa Rodriguez</v>
      </c>
      <c r="E180" s="6" t="str">
        <f>VLOOKUP(Tabla13[[#This Row],[ID_PARTIDO]],Original!$AT$1:$AY$46,3,FALSE)</f>
        <v xml:space="preserve">juan miguel venegas garzón </v>
      </c>
      <c r="F180" s="6" t="str">
        <f>VLOOKUP(Tabla13[[#This Row],[ID_PARTIDO]],Original!$AT$1:$AY$46,4,FALSE)</f>
        <v>Juan Pablo Benitez Bernal</v>
      </c>
      <c r="G180" s="6" t="str">
        <f>VLOOKUP(Tabla13[[#This Row],[ID_PARTIDO]],Original!$AT$1:$AY$46,5,FALSE)</f>
        <v>César Camilo Díaz Cufiño</v>
      </c>
      <c r="H180" t="s">
        <v>14</v>
      </c>
      <c r="I180" t="s">
        <v>7</v>
      </c>
      <c r="J180" t="s">
        <v>14</v>
      </c>
      <c r="K180" t="s">
        <v>7</v>
      </c>
      <c r="L180">
        <v>0</v>
      </c>
      <c r="M180">
        <v>1</v>
      </c>
    </row>
    <row r="181" spans="1:13">
      <c r="A181">
        <v>30</v>
      </c>
      <c r="B181">
        <v>2</v>
      </c>
      <c r="C181">
        <v>9</v>
      </c>
      <c r="D181" s="6" t="str">
        <f>VLOOKUP(Tabla13[[#This Row],[ID_PARTIDO]],Original!$AT$1:$AY$46,2,FALSE)</f>
        <v>Andrea Julieth Sosa Rodriguez</v>
      </c>
      <c r="E181" s="6" t="str">
        <f>VLOOKUP(Tabla13[[#This Row],[ID_PARTIDO]],Original!$AT$1:$AY$46,3,FALSE)</f>
        <v xml:space="preserve">juan miguel venegas garzón </v>
      </c>
      <c r="F181" s="6" t="str">
        <f>VLOOKUP(Tabla13[[#This Row],[ID_PARTIDO]],Original!$AT$1:$AY$46,4,FALSE)</f>
        <v>Juan Pablo Benitez Bernal</v>
      </c>
      <c r="G181" s="6" t="str">
        <f>VLOOKUP(Tabla13[[#This Row],[ID_PARTIDO]],Original!$AT$1:$AY$46,5,FALSE)</f>
        <v>César Camilo Díaz Cufiño</v>
      </c>
      <c r="H181" t="s">
        <v>14</v>
      </c>
      <c r="I181" t="s">
        <v>7</v>
      </c>
      <c r="J181" t="s">
        <v>14</v>
      </c>
      <c r="K181" t="s">
        <v>7</v>
      </c>
      <c r="L181">
        <v>1</v>
      </c>
      <c r="M181">
        <v>0</v>
      </c>
    </row>
    <row r="182" spans="1:13">
      <c r="A182">
        <v>30</v>
      </c>
      <c r="B182">
        <v>2</v>
      </c>
      <c r="C182">
        <v>10</v>
      </c>
      <c r="D182" s="6" t="str">
        <f>VLOOKUP(Tabla13[[#This Row],[ID_PARTIDO]],Original!$AT$1:$AY$46,2,FALSE)</f>
        <v>Andrea Julieth Sosa Rodriguez</v>
      </c>
      <c r="E182" s="6" t="str">
        <f>VLOOKUP(Tabla13[[#This Row],[ID_PARTIDO]],Original!$AT$1:$AY$46,3,FALSE)</f>
        <v xml:space="preserve">juan miguel venegas garzón </v>
      </c>
      <c r="F182" s="6" t="str">
        <f>VLOOKUP(Tabla13[[#This Row],[ID_PARTIDO]],Original!$AT$1:$AY$46,4,FALSE)</f>
        <v>Juan Pablo Benitez Bernal</v>
      </c>
      <c r="G182" s="6" t="str">
        <f>VLOOKUP(Tabla13[[#This Row],[ID_PARTIDO]],Original!$AT$1:$AY$46,5,FALSE)</f>
        <v>César Camilo Díaz Cufiño</v>
      </c>
      <c r="H182" t="s">
        <v>14</v>
      </c>
      <c r="I182" t="s">
        <v>7</v>
      </c>
      <c r="J182" t="s">
        <v>14</v>
      </c>
      <c r="K182" t="s">
        <v>7</v>
      </c>
      <c r="L182">
        <v>1</v>
      </c>
      <c r="M182">
        <v>0</v>
      </c>
    </row>
    <row r="183" spans="1:13">
      <c r="A183">
        <v>30</v>
      </c>
      <c r="B183">
        <v>2</v>
      </c>
      <c r="C183">
        <v>11</v>
      </c>
      <c r="D183" s="6" t="str">
        <f>VLOOKUP(Tabla13[[#This Row],[ID_PARTIDO]],Original!$AT$1:$AY$46,2,FALSE)</f>
        <v>Andrea Julieth Sosa Rodriguez</v>
      </c>
      <c r="E183" s="6" t="str">
        <f>VLOOKUP(Tabla13[[#This Row],[ID_PARTIDO]],Original!$AT$1:$AY$46,3,FALSE)</f>
        <v xml:space="preserve">juan miguel venegas garzón </v>
      </c>
      <c r="F183" s="6" t="str">
        <f>VLOOKUP(Tabla13[[#This Row],[ID_PARTIDO]],Original!$AT$1:$AY$46,4,FALSE)</f>
        <v>Juan Pablo Benitez Bernal</v>
      </c>
      <c r="G183" s="6" t="str">
        <f>VLOOKUP(Tabla13[[#This Row],[ID_PARTIDO]],Original!$AT$1:$AY$46,5,FALSE)</f>
        <v>César Camilo Díaz Cufiño</v>
      </c>
      <c r="H183" t="s">
        <v>14</v>
      </c>
      <c r="I183" t="s">
        <v>7</v>
      </c>
      <c r="J183" t="s">
        <v>14</v>
      </c>
      <c r="K183" t="s">
        <v>7</v>
      </c>
      <c r="L183">
        <v>0</v>
      </c>
      <c r="M183">
        <v>1</v>
      </c>
    </row>
    <row r="184" spans="1:13">
      <c r="A184">
        <v>30</v>
      </c>
      <c r="B184">
        <v>2</v>
      </c>
      <c r="C184">
        <v>12</v>
      </c>
      <c r="D184" s="6" t="str">
        <f>VLOOKUP(Tabla13[[#This Row],[ID_PARTIDO]],Original!$AT$1:$AY$46,2,FALSE)</f>
        <v>Andrea Julieth Sosa Rodriguez</v>
      </c>
      <c r="E184" s="6" t="str">
        <f>VLOOKUP(Tabla13[[#This Row],[ID_PARTIDO]],Original!$AT$1:$AY$46,3,FALSE)</f>
        <v xml:space="preserve">juan miguel venegas garzón </v>
      </c>
      <c r="F184" s="6" t="str">
        <f>VLOOKUP(Tabla13[[#This Row],[ID_PARTIDO]],Original!$AT$1:$AY$46,4,FALSE)</f>
        <v>Juan Pablo Benitez Bernal</v>
      </c>
      <c r="G184" s="6" t="str">
        <f>VLOOKUP(Tabla13[[#This Row],[ID_PARTIDO]],Original!$AT$1:$AY$46,5,FALSE)</f>
        <v>César Camilo Díaz Cufiño</v>
      </c>
      <c r="H184" t="s">
        <v>14</v>
      </c>
      <c r="I184" t="s">
        <v>7</v>
      </c>
      <c r="J184" t="s">
        <v>14</v>
      </c>
      <c r="K184" t="s">
        <v>7</v>
      </c>
      <c r="L184">
        <v>0</v>
      </c>
      <c r="M184">
        <v>1</v>
      </c>
    </row>
    <row r="185" spans="1:13">
      <c r="A185">
        <v>30</v>
      </c>
      <c r="B185">
        <v>2</v>
      </c>
      <c r="C185">
        <v>13</v>
      </c>
      <c r="D185" s="6" t="str">
        <f>VLOOKUP(Tabla13[[#This Row],[ID_PARTIDO]],Original!$AT$1:$AY$46,2,FALSE)</f>
        <v>Andrea Julieth Sosa Rodriguez</v>
      </c>
      <c r="E185" s="6" t="str">
        <f>VLOOKUP(Tabla13[[#This Row],[ID_PARTIDO]],Original!$AT$1:$AY$46,3,FALSE)</f>
        <v xml:space="preserve">juan miguel venegas garzón </v>
      </c>
      <c r="F185" s="6" t="str">
        <f>VLOOKUP(Tabla13[[#This Row],[ID_PARTIDO]],Original!$AT$1:$AY$46,4,FALSE)</f>
        <v>Juan Pablo Benitez Bernal</v>
      </c>
      <c r="G185" s="6" t="str">
        <f>VLOOKUP(Tabla13[[#This Row],[ID_PARTIDO]],Original!$AT$1:$AY$46,5,FALSE)</f>
        <v>César Camilo Díaz Cufiño</v>
      </c>
      <c r="H185" t="s">
        <v>14</v>
      </c>
      <c r="I185" t="s">
        <v>7</v>
      </c>
      <c r="J185" t="s">
        <v>14</v>
      </c>
      <c r="K185" t="s">
        <v>7</v>
      </c>
      <c r="L185">
        <v>1</v>
      </c>
      <c r="M185">
        <v>0</v>
      </c>
    </row>
    <row r="186" spans="1:13">
      <c r="A186">
        <v>36</v>
      </c>
      <c r="B186">
        <v>2</v>
      </c>
      <c r="C186">
        <v>1</v>
      </c>
      <c r="D186" s="6" t="str">
        <f>VLOOKUP(Tabla13[[#This Row],[ID_PARTIDO]],Original!$AT$1:$AY$46,2,FALSE)</f>
        <v xml:space="preserve">David Santiago Murcia Barrera </v>
      </c>
      <c r="E186" s="6" t="str">
        <f>VLOOKUP(Tabla13[[#This Row],[ID_PARTIDO]],Original!$AT$1:$AY$46,3,FALSE)</f>
        <v xml:space="preserve">Juliana Beltrán Díaz </v>
      </c>
      <c r="F186" s="6" t="str">
        <f>VLOOKUP(Tabla13[[#This Row],[ID_PARTIDO]],Original!$AT$1:$AY$46,4,FALSE)</f>
        <v>Tomas Barrios Guevara</v>
      </c>
      <c r="G186" s="6" t="str">
        <f>VLOOKUP(Tabla13[[#This Row],[ID_PARTIDO]],Original!$AT$1:$AY$46,5,FALSE)</f>
        <v>Rafael Andres Salcedo Valdivieso</v>
      </c>
      <c r="H186" t="s">
        <v>14</v>
      </c>
      <c r="I186" t="s">
        <v>7</v>
      </c>
      <c r="J186" t="s">
        <v>14</v>
      </c>
      <c r="K186" t="s">
        <v>7</v>
      </c>
      <c r="L186">
        <v>1</v>
      </c>
      <c r="M186">
        <v>0</v>
      </c>
    </row>
    <row r="187" spans="1:13">
      <c r="A187">
        <v>36</v>
      </c>
      <c r="B187">
        <v>2</v>
      </c>
      <c r="C187">
        <v>2</v>
      </c>
      <c r="D187" s="6" t="str">
        <f>VLOOKUP(Tabla13[[#This Row],[ID_PARTIDO]],Original!$AT$1:$AY$46,2,FALSE)</f>
        <v xml:space="preserve">David Santiago Murcia Barrera </v>
      </c>
      <c r="E187" s="6" t="str">
        <f>VLOOKUP(Tabla13[[#This Row],[ID_PARTIDO]],Original!$AT$1:$AY$46,3,FALSE)</f>
        <v xml:space="preserve">Juliana Beltrán Díaz </v>
      </c>
      <c r="F187" s="6" t="str">
        <f>VLOOKUP(Tabla13[[#This Row],[ID_PARTIDO]],Original!$AT$1:$AY$46,4,FALSE)</f>
        <v>Tomas Barrios Guevara</v>
      </c>
      <c r="G187" s="6" t="str">
        <f>VLOOKUP(Tabla13[[#This Row],[ID_PARTIDO]],Original!$AT$1:$AY$46,5,FALSE)</f>
        <v>Rafael Andres Salcedo Valdivieso</v>
      </c>
      <c r="H187" t="s">
        <v>14</v>
      </c>
      <c r="I187" t="s">
        <v>7</v>
      </c>
      <c r="J187" t="s">
        <v>14</v>
      </c>
      <c r="K187" t="s">
        <v>7</v>
      </c>
      <c r="L187">
        <v>0</v>
      </c>
      <c r="M187">
        <v>1</v>
      </c>
    </row>
    <row r="188" spans="1:13">
      <c r="A188">
        <v>36</v>
      </c>
      <c r="B188">
        <v>2</v>
      </c>
      <c r="C188">
        <v>3</v>
      </c>
      <c r="D188" s="6" t="str">
        <f>VLOOKUP(Tabla13[[#This Row],[ID_PARTIDO]],Original!$AT$1:$AY$46,2,FALSE)</f>
        <v xml:space="preserve">David Santiago Murcia Barrera </v>
      </c>
      <c r="E188" s="6" t="str">
        <f>VLOOKUP(Tabla13[[#This Row],[ID_PARTIDO]],Original!$AT$1:$AY$46,3,FALSE)</f>
        <v xml:space="preserve">Juliana Beltrán Díaz </v>
      </c>
      <c r="F188" s="6" t="str">
        <f>VLOOKUP(Tabla13[[#This Row],[ID_PARTIDO]],Original!$AT$1:$AY$46,4,FALSE)</f>
        <v>Tomas Barrios Guevara</v>
      </c>
      <c r="G188" s="6" t="str">
        <f>VLOOKUP(Tabla13[[#This Row],[ID_PARTIDO]],Original!$AT$1:$AY$46,5,FALSE)</f>
        <v>Rafael Andres Salcedo Valdivieso</v>
      </c>
      <c r="H188" t="s">
        <v>14</v>
      </c>
      <c r="I188" t="s">
        <v>7</v>
      </c>
      <c r="J188" t="s">
        <v>14</v>
      </c>
      <c r="K188" t="s">
        <v>7</v>
      </c>
      <c r="L188">
        <v>1</v>
      </c>
      <c r="M188">
        <v>0</v>
      </c>
    </row>
    <row r="189" spans="1:13">
      <c r="A189">
        <v>36</v>
      </c>
      <c r="B189">
        <v>2</v>
      </c>
      <c r="C189">
        <v>4</v>
      </c>
      <c r="D189" s="6" t="str">
        <f>VLOOKUP(Tabla13[[#This Row],[ID_PARTIDO]],Original!$AT$1:$AY$46,2,FALSE)</f>
        <v xml:space="preserve">David Santiago Murcia Barrera </v>
      </c>
      <c r="E189" s="6" t="str">
        <f>VLOOKUP(Tabla13[[#This Row],[ID_PARTIDO]],Original!$AT$1:$AY$46,3,FALSE)</f>
        <v xml:space="preserve">Juliana Beltrán Díaz </v>
      </c>
      <c r="F189" s="6" t="str">
        <f>VLOOKUP(Tabla13[[#This Row],[ID_PARTIDO]],Original!$AT$1:$AY$46,4,FALSE)</f>
        <v>Tomas Barrios Guevara</v>
      </c>
      <c r="G189" s="6" t="str">
        <f>VLOOKUP(Tabla13[[#This Row],[ID_PARTIDO]],Original!$AT$1:$AY$46,5,FALSE)</f>
        <v>Rafael Andres Salcedo Valdivieso</v>
      </c>
      <c r="H189" t="s">
        <v>14</v>
      </c>
      <c r="I189" t="s">
        <v>7</v>
      </c>
      <c r="J189" t="s">
        <v>14</v>
      </c>
      <c r="K189" t="s">
        <v>7</v>
      </c>
      <c r="L189">
        <v>0</v>
      </c>
      <c r="M189">
        <v>1</v>
      </c>
    </row>
    <row r="190" spans="1:13">
      <c r="A190">
        <v>36</v>
      </c>
      <c r="B190">
        <v>2</v>
      </c>
      <c r="C190">
        <v>5</v>
      </c>
      <c r="D190" s="6" t="str">
        <f>VLOOKUP(Tabla13[[#This Row],[ID_PARTIDO]],Original!$AT$1:$AY$46,2,FALSE)</f>
        <v xml:space="preserve">David Santiago Murcia Barrera </v>
      </c>
      <c r="E190" s="6" t="str">
        <f>VLOOKUP(Tabla13[[#This Row],[ID_PARTIDO]],Original!$AT$1:$AY$46,3,FALSE)</f>
        <v xml:space="preserve">Juliana Beltrán Díaz </v>
      </c>
      <c r="F190" s="6" t="str">
        <f>VLOOKUP(Tabla13[[#This Row],[ID_PARTIDO]],Original!$AT$1:$AY$46,4,FALSE)</f>
        <v>Tomas Barrios Guevara</v>
      </c>
      <c r="G190" s="6" t="str">
        <f>VLOOKUP(Tabla13[[#This Row],[ID_PARTIDO]],Original!$AT$1:$AY$46,5,FALSE)</f>
        <v>Rafael Andres Salcedo Valdivieso</v>
      </c>
      <c r="H190" t="s">
        <v>14</v>
      </c>
      <c r="I190" t="s">
        <v>7</v>
      </c>
      <c r="J190" t="s">
        <v>14</v>
      </c>
      <c r="K190" t="s">
        <v>7</v>
      </c>
      <c r="L190">
        <v>0</v>
      </c>
      <c r="M190">
        <v>1</v>
      </c>
    </row>
    <row r="191" spans="1:13">
      <c r="A191">
        <v>36</v>
      </c>
      <c r="B191">
        <v>2</v>
      </c>
      <c r="C191">
        <v>6</v>
      </c>
      <c r="D191" s="6" t="str">
        <f>VLOOKUP(Tabla13[[#This Row],[ID_PARTIDO]],Original!$AT$1:$AY$46,2,FALSE)</f>
        <v xml:space="preserve">David Santiago Murcia Barrera </v>
      </c>
      <c r="E191" s="6" t="str">
        <f>VLOOKUP(Tabla13[[#This Row],[ID_PARTIDO]],Original!$AT$1:$AY$46,3,FALSE)</f>
        <v xml:space="preserve">Juliana Beltrán Díaz </v>
      </c>
      <c r="F191" s="6" t="str">
        <f>VLOOKUP(Tabla13[[#This Row],[ID_PARTIDO]],Original!$AT$1:$AY$46,4,FALSE)</f>
        <v>Tomas Barrios Guevara</v>
      </c>
      <c r="G191" s="6" t="str">
        <f>VLOOKUP(Tabla13[[#This Row],[ID_PARTIDO]],Original!$AT$1:$AY$46,5,FALSE)</f>
        <v>Rafael Andres Salcedo Valdivieso</v>
      </c>
      <c r="H191" t="s">
        <v>14</v>
      </c>
      <c r="I191" t="s">
        <v>7</v>
      </c>
      <c r="J191" t="s">
        <v>14</v>
      </c>
      <c r="K191" t="s">
        <v>7</v>
      </c>
      <c r="L191">
        <v>0</v>
      </c>
      <c r="M191">
        <v>1</v>
      </c>
    </row>
    <row r="192" spans="1:13">
      <c r="A192">
        <v>36</v>
      </c>
      <c r="B192">
        <v>2</v>
      </c>
      <c r="C192">
        <v>7</v>
      </c>
      <c r="D192" s="6" t="str">
        <f>VLOOKUP(Tabla13[[#This Row],[ID_PARTIDO]],Original!$AT$1:$AY$46,2,FALSE)</f>
        <v xml:space="preserve">David Santiago Murcia Barrera </v>
      </c>
      <c r="E192" s="6" t="str">
        <f>VLOOKUP(Tabla13[[#This Row],[ID_PARTIDO]],Original!$AT$1:$AY$46,3,FALSE)</f>
        <v xml:space="preserve">Juliana Beltrán Díaz </v>
      </c>
      <c r="F192" s="6" t="str">
        <f>VLOOKUP(Tabla13[[#This Row],[ID_PARTIDO]],Original!$AT$1:$AY$46,4,FALSE)</f>
        <v>Tomas Barrios Guevara</v>
      </c>
      <c r="G192" s="6" t="str">
        <f>VLOOKUP(Tabla13[[#This Row],[ID_PARTIDO]],Original!$AT$1:$AY$46,5,FALSE)</f>
        <v>Rafael Andres Salcedo Valdivieso</v>
      </c>
      <c r="H192" t="s">
        <v>14</v>
      </c>
      <c r="I192" t="s">
        <v>7</v>
      </c>
      <c r="J192" t="s">
        <v>14</v>
      </c>
      <c r="K192" t="s">
        <v>7</v>
      </c>
      <c r="L192">
        <v>0</v>
      </c>
      <c r="M192">
        <v>1</v>
      </c>
    </row>
    <row r="193" spans="1:13">
      <c r="A193">
        <v>36</v>
      </c>
      <c r="B193">
        <v>2</v>
      </c>
      <c r="C193">
        <v>8</v>
      </c>
      <c r="D193" s="6" t="str">
        <f>VLOOKUP(Tabla13[[#This Row],[ID_PARTIDO]],Original!$AT$1:$AY$46,2,FALSE)</f>
        <v xml:space="preserve">David Santiago Murcia Barrera </v>
      </c>
      <c r="E193" s="6" t="str">
        <f>VLOOKUP(Tabla13[[#This Row],[ID_PARTIDO]],Original!$AT$1:$AY$46,3,FALSE)</f>
        <v xml:space="preserve">Juliana Beltrán Díaz </v>
      </c>
      <c r="F193" s="6" t="str">
        <f>VLOOKUP(Tabla13[[#This Row],[ID_PARTIDO]],Original!$AT$1:$AY$46,4,FALSE)</f>
        <v>Tomas Barrios Guevara</v>
      </c>
      <c r="G193" s="6" t="str">
        <f>VLOOKUP(Tabla13[[#This Row],[ID_PARTIDO]],Original!$AT$1:$AY$46,5,FALSE)</f>
        <v>Rafael Andres Salcedo Valdivieso</v>
      </c>
      <c r="H193" t="s">
        <v>14</v>
      </c>
      <c r="I193" t="s">
        <v>7</v>
      </c>
      <c r="J193" t="s">
        <v>14</v>
      </c>
      <c r="K193" t="s">
        <v>7</v>
      </c>
      <c r="L193">
        <v>0</v>
      </c>
      <c r="M193">
        <v>1</v>
      </c>
    </row>
    <row r="194" spans="1:13">
      <c r="A194">
        <v>36</v>
      </c>
      <c r="B194">
        <v>2</v>
      </c>
      <c r="C194">
        <v>9</v>
      </c>
      <c r="D194" s="6" t="str">
        <f>VLOOKUP(Tabla13[[#This Row],[ID_PARTIDO]],Original!$AT$1:$AY$46,2,FALSE)</f>
        <v xml:space="preserve">David Santiago Murcia Barrera </v>
      </c>
      <c r="E194" s="6" t="str">
        <f>VLOOKUP(Tabla13[[#This Row],[ID_PARTIDO]],Original!$AT$1:$AY$46,3,FALSE)</f>
        <v xml:space="preserve">Juliana Beltrán Díaz </v>
      </c>
      <c r="F194" s="6" t="str">
        <f>VLOOKUP(Tabla13[[#This Row],[ID_PARTIDO]],Original!$AT$1:$AY$46,4,FALSE)</f>
        <v>Tomas Barrios Guevara</v>
      </c>
      <c r="G194" s="6" t="str">
        <f>VLOOKUP(Tabla13[[#This Row],[ID_PARTIDO]],Original!$AT$1:$AY$46,5,FALSE)</f>
        <v>Rafael Andres Salcedo Valdivieso</v>
      </c>
      <c r="H194" t="s">
        <v>14</v>
      </c>
      <c r="I194" t="s">
        <v>7</v>
      </c>
      <c r="J194" t="s">
        <v>14</v>
      </c>
      <c r="K194" t="s">
        <v>7</v>
      </c>
      <c r="L194">
        <v>0</v>
      </c>
      <c r="M194">
        <v>1</v>
      </c>
    </row>
    <row r="195" spans="1:13">
      <c r="A195">
        <v>40</v>
      </c>
      <c r="B195">
        <v>2</v>
      </c>
      <c r="C195">
        <v>1</v>
      </c>
      <c r="D195" s="6" t="str">
        <f>VLOOKUP(Tabla13[[#This Row],[ID_PARTIDO]],Original!$AT$1:$AY$46,2,FALSE)</f>
        <v>sara juliana solano boada</v>
      </c>
      <c r="E195" s="6" t="str">
        <f>VLOOKUP(Tabla13[[#This Row],[ID_PARTIDO]],Original!$AT$1:$AY$46,3,FALSE)</f>
        <v xml:space="preserve">Juan Pablo Vargas Jiménez </v>
      </c>
      <c r="F195" s="6" t="str">
        <f>VLOOKUP(Tabla13[[#This Row],[ID_PARTIDO]],Original!$AT$1:$AY$46,4,FALSE)</f>
        <v xml:space="preserve">Jonatan Nicolas Marmolejo Lopez </v>
      </c>
      <c r="G195" s="6" t="str">
        <f>VLOOKUP(Tabla13[[#This Row],[ID_PARTIDO]],Original!$AT$1:$AY$46,5,FALSE)</f>
        <v>David Santiago Medina Buitrago</v>
      </c>
      <c r="H195" t="s">
        <v>7</v>
      </c>
      <c r="I195" t="s">
        <v>14</v>
      </c>
      <c r="J195" t="s">
        <v>7</v>
      </c>
      <c r="K195" t="s">
        <v>14</v>
      </c>
      <c r="L195">
        <v>0</v>
      </c>
      <c r="M195">
        <v>1</v>
      </c>
    </row>
    <row r="196" spans="1:13">
      <c r="A196">
        <v>40</v>
      </c>
      <c r="B196">
        <v>2</v>
      </c>
      <c r="C196">
        <v>2</v>
      </c>
      <c r="D196" s="6" t="str">
        <f>VLOOKUP(Tabla13[[#This Row],[ID_PARTIDO]],Original!$AT$1:$AY$46,2,FALSE)</f>
        <v>sara juliana solano boada</v>
      </c>
      <c r="E196" s="6" t="str">
        <f>VLOOKUP(Tabla13[[#This Row],[ID_PARTIDO]],Original!$AT$1:$AY$46,3,FALSE)</f>
        <v xml:space="preserve">Juan Pablo Vargas Jiménez </v>
      </c>
      <c r="F196" s="6" t="str">
        <f>VLOOKUP(Tabla13[[#This Row],[ID_PARTIDO]],Original!$AT$1:$AY$46,4,FALSE)</f>
        <v xml:space="preserve">Jonatan Nicolas Marmolejo Lopez </v>
      </c>
      <c r="G196" s="6" t="str">
        <f>VLOOKUP(Tabla13[[#This Row],[ID_PARTIDO]],Original!$AT$1:$AY$46,5,FALSE)</f>
        <v>David Santiago Medina Buitrago</v>
      </c>
      <c r="H196" t="s">
        <v>7</v>
      </c>
      <c r="I196" t="s">
        <v>14</v>
      </c>
      <c r="J196" t="s">
        <v>7</v>
      </c>
      <c r="K196" t="s">
        <v>14</v>
      </c>
      <c r="L196">
        <v>1</v>
      </c>
      <c r="M196">
        <v>0</v>
      </c>
    </row>
    <row r="197" spans="1:13">
      <c r="A197">
        <v>40</v>
      </c>
      <c r="B197">
        <v>2</v>
      </c>
      <c r="C197">
        <v>3</v>
      </c>
      <c r="D197" s="6" t="str">
        <f>VLOOKUP(Tabla13[[#This Row],[ID_PARTIDO]],Original!$AT$1:$AY$46,2,FALSE)</f>
        <v>sara juliana solano boada</v>
      </c>
      <c r="E197" s="6" t="str">
        <f>VLOOKUP(Tabla13[[#This Row],[ID_PARTIDO]],Original!$AT$1:$AY$46,3,FALSE)</f>
        <v xml:space="preserve">Juan Pablo Vargas Jiménez </v>
      </c>
      <c r="F197" s="6" t="str">
        <f>VLOOKUP(Tabla13[[#This Row],[ID_PARTIDO]],Original!$AT$1:$AY$46,4,FALSE)</f>
        <v xml:space="preserve">Jonatan Nicolas Marmolejo Lopez </v>
      </c>
      <c r="G197" s="6" t="str">
        <f>VLOOKUP(Tabla13[[#This Row],[ID_PARTIDO]],Original!$AT$1:$AY$46,5,FALSE)</f>
        <v>David Santiago Medina Buitrago</v>
      </c>
      <c r="H197" t="s">
        <v>7</v>
      </c>
      <c r="I197" t="s">
        <v>14</v>
      </c>
      <c r="J197" t="s">
        <v>7</v>
      </c>
      <c r="K197" t="s">
        <v>14</v>
      </c>
      <c r="L197">
        <v>1</v>
      </c>
      <c r="M197">
        <v>0</v>
      </c>
    </row>
    <row r="198" spans="1:13">
      <c r="A198">
        <v>40</v>
      </c>
      <c r="B198">
        <v>2</v>
      </c>
      <c r="C198">
        <v>4</v>
      </c>
      <c r="D198" s="6" t="str">
        <f>VLOOKUP(Tabla13[[#This Row],[ID_PARTIDO]],Original!$AT$1:$AY$46,2,FALSE)</f>
        <v>sara juliana solano boada</v>
      </c>
      <c r="E198" s="6" t="str">
        <f>VLOOKUP(Tabla13[[#This Row],[ID_PARTIDO]],Original!$AT$1:$AY$46,3,FALSE)</f>
        <v xml:space="preserve">Juan Pablo Vargas Jiménez </v>
      </c>
      <c r="F198" s="6" t="str">
        <f>VLOOKUP(Tabla13[[#This Row],[ID_PARTIDO]],Original!$AT$1:$AY$46,4,FALSE)</f>
        <v xml:space="preserve">Jonatan Nicolas Marmolejo Lopez </v>
      </c>
      <c r="G198" s="6" t="str">
        <f>VLOOKUP(Tabla13[[#This Row],[ID_PARTIDO]],Original!$AT$1:$AY$46,5,FALSE)</f>
        <v>David Santiago Medina Buitrago</v>
      </c>
      <c r="H198" t="s">
        <v>7</v>
      </c>
      <c r="I198" t="s">
        <v>14</v>
      </c>
      <c r="J198" t="s">
        <v>7</v>
      </c>
      <c r="K198" t="s">
        <v>14</v>
      </c>
      <c r="L198">
        <v>0</v>
      </c>
      <c r="M198">
        <v>1</v>
      </c>
    </row>
    <row r="199" spans="1:13">
      <c r="A199">
        <v>40</v>
      </c>
      <c r="B199">
        <v>2</v>
      </c>
      <c r="C199">
        <v>5</v>
      </c>
      <c r="D199" s="6" t="str">
        <f>VLOOKUP(Tabla13[[#This Row],[ID_PARTIDO]],Original!$AT$1:$AY$46,2,FALSE)</f>
        <v>sara juliana solano boada</v>
      </c>
      <c r="E199" s="6" t="str">
        <f>VLOOKUP(Tabla13[[#This Row],[ID_PARTIDO]],Original!$AT$1:$AY$46,3,FALSE)</f>
        <v xml:space="preserve">Juan Pablo Vargas Jiménez </v>
      </c>
      <c r="F199" s="6" t="str">
        <f>VLOOKUP(Tabla13[[#This Row],[ID_PARTIDO]],Original!$AT$1:$AY$46,4,FALSE)</f>
        <v xml:space="preserve">Jonatan Nicolas Marmolejo Lopez </v>
      </c>
      <c r="G199" s="6" t="str">
        <f>VLOOKUP(Tabla13[[#This Row],[ID_PARTIDO]],Original!$AT$1:$AY$46,5,FALSE)</f>
        <v>David Santiago Medina Buitrago</v>
      </c>
      <c r="H199" t="s">
        <v>7</v>
      </c>
      <c r="I199" t="s">
        <v>14</v>
      </c>
      <c r="J199" t="s">
        <v>7</v>
      </c>
      <c r="K199" t="s">
        <v>14</v>
      </c>
      <c r="L199">
        <v>0</v>
      </c>
      <c r="M199">
        <v>1</v>
      </c>
    </row>
    <row r="200" spans="1:13">
      <c r="A200">
        <v>40</v>
      </c>
      <c r="B200">
        <v>2</v>
      </c>
      <c r="C200">
        <v>6</v>
      </c>
      <c r="D200" s="6" t="str">
        <f>VLOOKUP(Tabla13[[#This Row],[ID_PARTIDO]],Original!$AT$1:$AY$46,2,FALSE)</f>
        <v>sara juliana solano boada</v>
      </c>
      <c r="E200" s="6" t="str">
        <f>VLOOKUP(Tabla13[[#This Row],[ID_PARTIDO]],Original!$AT$1:$AY$46,3,FALSE)</f>
        <v xml:space="preserve">Juan Pablo Vargas Jiménez </v>
      </c>
      <c r="F200" s="6" t="str">
        <f>VLOOKUP(Tabla13[[#This Row],[ID_PARTIDO]],Original!$AT$1:$AY$46,4,FALSE)</f>
        <v xml:space="preserve">Jonatan Nicolas Marmolejo Lopez </v>
      </c>
      <c r="G200" s="6" t="str">
        <f>VLOOKUP(Tabla13[[#This Row],[ID_PARTIDO]],Original!$AT$1:$AY$46,5,FALSE)</f>
        <v>David Santiago Medina Buitrago</v>
      </c>
      <c r="H200" t="s">
        <v>7</v>
      </c>
      <c r="I200" t="s">
        <v>14</v>
      </c>
      <c r="J200" t="s">
        <v>7</v>
      </c>
      <c r="K200" t="s">
        <v>14</v>
      </c>
      <c r="L200">
        <v>1</v>
      </c>
      <c r="M200">
        <v>0</v>
      </c>
    </row>
    <row r="201" spans="1:13">
      <c r="A201">
        <v>40</v>
      </c>
      <c r="B201">
        <v>2</v>
      </c>
      <c r="C201">
        <v>7</v>
      </c>
      <c r="D201" s="6" t="str">
        <f>VLOOKUP(Tabla13[[#This Row],[ID_PARTIDO]],Original!$AT$1:$AY$46,2,FALSE)</f>
        <v>sara juliana solano boada</v>
      </c>
      <c r="E201" s="6" t="str">
        <f>VLOOKUP(Tabla13[[#This Row],[ID_PARTIDO]],Original!$AT$1:$AY$46,3,FALSE)</f>
        <v xml:space="preserve">Juan Pablo Vargas Jiménez </v>
      </c>
      <c r="F201" s="6" t="str">
        <f>VLOOKUP(Tabla13[[#This Row],[ID_PARTIDO]],Original!$AT$1:$AY$46,4,FALSE)</f>
        <v xml:space="preserve">Jonatan Nicolas Marmolejo Lopez </v>
      </c>
      <c r="G201" s="6" t="str">
        <f>VLOOKUP(Tabla13[[#This Row],[ID_PARTIDO]],Original!$AT$1:$AY$46,5,FALSE)</f>
        <v>David Santiago Medina Buitrago</v>
      </c>
      <c r="H201" t="s">
        <v>7</v>
      </c>
      <c r="I201" t="s">
        <v>14</v>
      </c>
      <c r="J201" t="s">
        <v>7</v>
      </c>
      <c r="K201" t="s">
        <v>14</v>
      </c>
      <c r="L201">
        <v>1</v>
      </c>
      <c r="M201">
        <v>0</v>
      </c>
    </row>
    <row r="202" spans="1:13">
      <c r="A202">
        <v>40</v>
      </c>
      <c r="B202">
        <v>2</v>
      </c>
      <c r="C202">
        <v>8</v>
      </c>
      <c r="D202" s="6" t="str">
        <f>VLOOKUP(Tabla13[[#This Row],[ID_PARTIDO]],Original!$AT$1:$AY$46,2,FALSE)</f>
        <v>sara juliana solano boada</v>
      </c>
      <c r="E202" s="6" t="str">
        <f>VLOOKUP(Tabla13[[#This Row],[ID_PARTIDO]],Original!$AT$1:$AY$46,3,FALSE)</f>
        <v xml:space="preserve">Juan Pablo Vargas Jiménez </v>
      </c>
      <c r="F202" s="6" t="str">
        <f>VLOOKUP(Tabla13[[#This Row],[ID_PARTIDO]],Original!$AT$1:$AY$46,4,FALSE)</f>
        <v xml:space="preserve">Jonatan Nicolas Marmolejo Lopez </v>
      </c>
      <c r="G202" s="6" t="str">
        <f>VLOOKUP(Tabla13[[#This Row],[ID_PARTIDO]],Original!$AT$1:$AY$46,5,FALSE)</f>
        <v>David Santiago Medina Buitrago</v>
      </c>
      <c r="H202" t="s">
        <v>7</v>
      </c>
      <c r="I202" t="s">
        <v>14</v>
      </c>
      <c r="J202" t="s">
        <v>7</v>
      </c>
      <c r="K202" t="s">
        <v>14</v>
      </c>
      <c r="L202">
        <v>0</v>
      </c>
      <c r="M202">
        <v>1</v>
      </c>
    </row>
    <row r="203" spans="1:13">
      <c r="A203">
        <v>40</v>
      </c>
      <c r="B203">
        <v>2</v>
      </c>
      <c r="C203">
        <v>9</v>
      </c>
      <c r="D203" s="6" t="str">
        <f>VLOOKUP(Tabla13[[#This Row],[ID_PARTIDO]],Original!$AT$1:$AY$46,2,FALSE)</f>
        <v>sara juliana solano boada</v>
      </c>
      <c r="E203" s="6" t="str">
        <f>VLOOKUP(Tabla13[[#This Row],[ID_PARTIDO]],Original!$AT$1:$AY$46,3,FALSE)</f>
        <v xml:space="preserve">Juan Pablo Vargas Jiménez </v>
      </c>
      <c r="F203" s="6" t="str">
        <f>VLOOKUP(Tabla13[[#This Row],[ID_PARTIDO]],Original!$AT$1:$AY$46,4,FALSE)</f>
        <v xml:space="preserve">Jonatan Nicolas Marmolejo Lopez </v>
      </c>
      <c r="G203" s="6" t="str">
        <f>VLOOKUP(Tabla13[[#This Row],[ID_PARTIDO]],Original!$AT$1:$AY$46,5,FALSE)</f>
        <v>David Santiago Medina Buitrago</v>
      </c>
      <c r="H203" t="s">
        <v>7</v>
      </c>
      <c r="I203" t="s">
        <v>14</v>
      </c>
      <c r="J203" t="s">
        <v>7</v>
      </c>
      <c r="K203" t="s">
        <v>14</v>
      </c>
      <c r="L203">
        <v>0</v>
      </c>
      <c r="M203">
        <v>1</v>
      </c>
    </row>
    <row r="204" spans="1:13">
      <c r="A204">
        <v>40</v>
      </c>
      <c r="B204">
        <v>2</v>
      </c>
      <c r="C204">
        <v>10</v>
      </c>
      <c r="D204" s="6" t="str">
        <f>VLOOKUP(Tabla13[[#This Row],[ID_PARTIDO]],Original!$AT$1:$AY$46,2,FALSE)</f>
        <v>sara juliana solano boada</v>
      </c>
      <c r="E204" s="6" t="str">
        <f>VLOOKUP(Tabla13[[#This Row],[ID_PARTIDO]],Original!$AT$1:$AY$46,3,FALSE)</f>
        <v xml:space="preserve">Juan Pablo Vargas Jiménez </v>
      </c>
      <c r="F204" s="6" t="str">
        <f>VLOOKUP(Tabla13[[#This Row],[ID_PARTIDO]],Original!$AT$1:$AY$46,4,FALSE)</f>
        <v xml:space="preserve">Jonatan Nicolas Marmolejo Lopez </v>
      </c>
      <c r="G204" s="6" t="str">
        <f>VLOOKUP(Tabla13[[#This Row],[ID_PARTIDO]],Original!$AT$1:$AY$46,5,FALSE)</f>
        <v>David Santiago Medina Buitrago</v>
      </c>
      <c r="H204" t="s">
        <v>7</v>
      </c>
      <c r="I204" t="s">
        <v>14</v>
      </c>
      <c r="J204" t="s">
        <v>7</v>
      </c>
      <c r="K204" t="s">
        <v>14</v>
      </c>
      <c r="L204">
        <v>0</v>
      </c>
      <c r="M204">
        <v>1</v>
      </c>
    </row>
    <row r="205" spans="1:13">
      <c r="A205">
        <v>40</v>
      </c>
      <c r="B205">
        <v>2</v>
      </c>
      <c r="C205">
        <v>11</v>
      </c>
      <c r="D205" s="6" t="str">
        <f>VLOOKUP(Tabla13[[#This Row],[ID_PARTIDO]],Original!$AT$1:$AY$46,2,FALSE)</f>
        <v>sara juliana solano boada</v>
      </c>
      <c r="E205" s="6" t="str">
        <f>VLOOKUP(Tabla13[[#This Row],[ID_PARTIDO]],Original!$AT$1:$AY$46,3,FALSE)</f>
        <v xml:space="preserve">Juan Pablo Vargas Jiménez </v>
      </c>
      <c r="F205" s="6" t="str">
        <f>VLOOKUP(Tabla13[[#This Row],[ID_PARTIDO]],Original!$AT$1:$AY$46,4,FALSE)</f>
        <v xml:space="preserve">Jonatan Nicolas Marmolejo Lopez </v>
      </c>
      <c r="G205" s="6" t="str">
        <f>VLOOKUP(Tabla13[[#This Row],[ID_PARTIDO]],Original!$AT$1:$AY$46,5,FALSE)</f>
        <v>David Santiago Medina Buitrago</v>
      </c>
      <c r="H205" t="s">
        <v>7</v>
      </c>
      <c r="I205" t="s">
        <v>14</v>
      </c>
      <c r="J205" t="s">
        <v>7</v>
      </c>
      <c r="K205" t="s">
        <v>14</v>
      </c>
      <c r="L205">
        <v>0</v>
      </c>
      <c r="M205">
        <v>1</v>
      </c>
    </row>
    <row r="206" spans="1:13">
      <c r="A206">
        <v>38</v>
      </c>
      <c r="B206">
        <v>2</v>
      </c>
      <c r="C206">
        <v>1</v>
      </c>
      <c r="D206" s="6" t="str">
        <f>VLOOKUP(Tabla13[[#This Row],[ID_PARTIDO]],Original!$AT$1:$AY$46,2,FALSE)</f>
        <v xml:space="preserve">Nicolas Navarro </v>
      </c>
      <c r="E206" s="6" t="str">
        <f>VLOOKUP(Tabla13[[#This Row],[ID_PARTIDO]],Original!$AT$1:$AY$46,3,FALSE)</f>
        <v>sara juliana solano boada</v>
      </c>
      <c r="F206" s="6" t="str">
        <f>VLOOKUP(Tabla13[[#This Row],[ID_PARTIDO]],Original!$AT$1:$AY$46,4,FALSE)</f>
        <v xml:space="preserve">Santiago Gutiérrez de Piñeres Barbosa  </v>
      </c>
      <c r="G206" s="6" t="str">
        <f>VLOOKUP(Tabla13[[#This Row],[ID_PARTIDO]],Original!$AT$1:$AY$46,5,FALSE)</f>
        <v>Jorge Enrique Lugo Lopez</v>
      </c>
      <c r="H206" t="s">
        <v>14</v>
      </c>
      <c r="I206" t="s">
        <v>7</v>
      </c>
      <c r="J206" t="s">
        <v>7</v>
      </c>
      <c r="K206" t="s">
        <v>14</v>
      </c>
      <c r="L206">
        <v>1</v>
      </c>
      <c r="M206">
        <v>0</v>
      </c>
    </row>
    <row r="207" spans="1:13">
      <c r="A207">
        <v>38</v>
      </c>
      <c r="B207">
        <v>2</v>
      </c>
      <c r="C207">
        <v>2</v>
      </c>
      <c r="D207" s="6" t="str">
        <f>VLOOKUP(Tabla13[[#This Row],[ID_PARTIDO]],Original!$AT$1:$AY$46,2,FALSE)</f>
        <v xml:space="preserve">Nicolas Navarro </v>
      </c>
      <c r="E207" s="6" t="str">
        <f>VLOOKUP(Tabla13[[#This Row],[ID_PARTIDO]],Original!$AT$1:$AY$46,3,FALSE)</f>
        <v>sara juliana solano boada</v>
      </c>
      <c r="F207" s="6" t="str">
        <f>VLOOKUP(Tabla13[[#This Row],[ID_PARTIDO]],Original!$AT$1:$AY$46,4,FALSE)</f>
        <v xml:space="preserve">Santiago Gutiérrez de Piñeres Barbosa  </v>
      </c>
      <c r="G207" s="6" t="str">
        <f>VLOOKUP(Tabla13[[#This Row],[ID_PARTIDO]],Original!$AT$1:$AY$46,5,FALSE)</f>
        <v>Jorge Enrique Lugo Lopez</v>
      </c>
      <c r="H207" t="s">
        <v>14</v>
      </c>
      <c r="I207" t="s">
        <v>7</v>
      </c>
      <c r="J207" t="s">
        <v>7</v>
      </c>
      <c r="K207" t="s">
        <v>14</v>
      </c>
      <c r="L207">
        <v>0</v>
      </c>
      <c r="M207">
        <v>1</v>
      </c>
    </row>
    <row r="208" spans="1:13">
      <c r="A208">
        <v>38</v>
      </c>
      <c r="B208">
        <v>2</v>
      </c>
      <c r="C208">
        <v>3</v>
      </c>
      <c r="D208" s="6" t="str">
        <f>VLOOKUP(Tabla13[[#This Row],[ID_PARTIDO]],Original!$AT$1:$AY$46,2,FALSE)</f>
        <v xml:space="preserve">Nicolas Navarro </v>
      </c>
      <c r="E208" s="6" t="str">
        <f>VLOOKUP(Tabla13[[#This Row],[ID_PARTIDO]],Original!$AT$1:$AY$46,3,FALSE)</f>
        <v>sara juliana solano boada</v>
      </c>
      <c r="F208" s="6" t="str">
        <f>VLOOKUP(Tabla13[[#This Row],[ID_PARTIDO]],Original!$AT$1:$AY$46,4,FALSE)</f>
        <v xml:space="preserve">Santiago Gutiérrez de Piñeres Barbosa  </v>
      </c>
      <c r="G208" s="6" t="str">
        <f>VLOOKUP(Tabla13[[#This Row],[ID_PARTIDO]],Original!$AT$1:$AY$46,5,FALSE)</f>
        <v>Jorge Enrique Lugo Lopez</v>
      </c>
      <c r="H208" t="s">
        <v>14</v>
      </c>
      <c r="I208" t="s">
        <v>7</v>
      </c>
      <c r="J208" t="s">
        <v>7</v>
      </c>
      <c r="K208" t="s">
        <v>14</v>
      </c>
      <c r="L208">
        <v>0</v>
      </c>
      <c r="M208">
        <v>1</v>
      </c>
    </row>
    <row r="209" spans="1:13">
      <c r="A209">
        <v>38</v>
      </c>
      <c r="B209">
        <v>2</v>
      </c>
      <c r="C209">
        <v>4</v>
      </c>
      <c r="D209" s="6" t="str">
        <f>VLOOKUP(Tabla13[[#This Row],[ID_PARTIDO]],Original!$AT$1:$AY$46,2,FALSE)</f>
        <v xml:space="preserve">Nicolas Navarro </v>
      </c>
      <c r="E209" s="6" t="str">
        <f>VLOOKUP(Tabla13[[#This Row],[ID_PARTIDO]],Original!$AT$1:$AY$46,3,FALSE)</f>
        <v>sara juliana solano boada</v>
      </c>
      <c r="F209" s="6" t="str">
        <f>VLOOKUP(Tabla13[[#This Row],[ID_PARTIDO]],Original!$AT$1:$AY$46,4,FALSE)</f>
        <v xml:space="preserve">Santiago Gutiérrez de Piñeres Barbosa  </v>
      </c>
      <c r="G209" s="6" t="str">
        <f>VLOOKUP(Tabla13[[#This Row],[ID_PARTIDO]],Original!$AT$1:$AY$46,5,FALSE)</f>
        <v>Jorge Enrique Lugo Lopez</v>
      </c>
      <c r="H209" t="s">
        <v>14</v>
      </c>
      <c r="I209" t="s">
        <v>7</v>
      </c>
      <c r="J209" t="s">
        <v>7</v>
      </c>
      <c r="K209" t="s">
        <v>14</v>
      </c>
      <c r="L209">
        <v>1</v>
      </c>
      <c r="M209">
        <v>0</v>
      </c>
    </row>
    <row r="210" spans="1:13">
      <c r="A210">
        <v>38</v>
      </c>
      <c r="B210">
        <v>2</v>
      </c>
      <c r="C210">
        <v>5</v>
      </c>
      <c r="D210" s="6" t="str">
        <f>VLOOKUP(Tabla13[[#This Row],[ID_PARTIDO]],Original!$AT$1:$AY$46,2,FALSE)</f>
        <v xml:space="preserve">Nicolas Navarro </v>
      </c>
      <c r="E210" s="6" t="str">
        <f>VLOOKUP(Tabla13[[#This Row],[ID_PARTIDO]],Original!$AT$1:$AY$46,3,FALSE)</f>
        <v>sara juliana solano boada</v>
      </c>
      <c r="F210" s="6" t="str">
        <f>VLOOKUP(Tabla13[[#This Row],[ID_PARTIDO]],Original!$AT$1:$AY$46,4,FALSE)</f>
        <v xml:space="preserve">Santiago Gutiérrez de Piñeres Barbosa  </v>
      </c>
      <c r="G210" s="6" t="str">
        <f>VLOOKUP(Tabla13[[#This Row],[ID_PARTIDO]],Original!$AT$1:$AY$46,5,FALSE)</f>
        <v>Jorge Enrique Lugo Lopez</v>
      </c>
      <c r="H210" t="s">
        <v>14</v>
      </c>
      <c r="I210" t="s">
        <v>7</v>
      </c>
      <c r="J210" t="s">
        <v>7</v>
      </c>
      <c r="K210" t="s">
        <v>14</v>
      </c>
      <c r="L210">
        <v>0</v>
      </c>
      <c r="M210">
        <v>1</v>
      </c>
    </row>
    <row r="211" spans="1:13">
      <c r="A211">
        <v>38</v>
      </c>
      <c r="B211">
        <v>2</v>
      </c>
      <c r="C211">
        <v>6</v>
      </c>
      <c r="D211" s="6" t="str">
        <f>VLOOKUP(Tabla13[[#This Row],[ID_PARTIDO]],Original!$AT$1:$AY$46,2,FALSE)</f>
        <v xml:space="preserve">Nicolas Navarro </v>
      </c>
      <c r="E211" s="6" t="str">
        <f>VLOOKUP(Tabla13[[#This Row],[ID_PARTIDO]],Original!$AT$1:$AY$46,3,FALSE)</f>
        <v>sara juliana solano boada</v>
      </c>
      <c r="F211" s="6" t="str">
        <f>VLOOKUP(Tabla13[[#This Row],[ID_PARTIDO]],Original!$AT$1:$AY$46,4,FALSE)</f>
        <v xml:space="preserve">Santiago Gutiérrez de Piñeres Barbosa  </v>
      </c>
      <c r="G211" s="6" t="str">
        <f>VLOOKUP(Tabla13[[#This Row],[ID_PARTIDO]],Original!$AT$1:$AY$46,5,FALSE)</f>
        <v>Jorge Enrique Lugo Lopez</v>
      </c>
      <c r="H211" t="s">
        <v>14</v>
      </c>
      <c r="I211" t="s">
        <v>7</v>
      </c>
      <c r="J211" t="s">
        <v>7</v>
      </c>
      <c r="K211" t="s">
        <v>14</v>
      </c>
      <c r="L211">
        <v>1</v>
      </c>
      <c r="M211">
        <v>0</v>
      </c>
    </row>
    <row r="212" spans="1:13">
      <c r="A212">
        <v>38</v>
      </c>
      <c r="B212">
        <v>2</v>
      </c>
      <c r="C212">
        <v>7</v>
      </c>
      <c r="D212" s="6" t="str">
        <f>VLOOKUP(Tabla13[[#This Row],[ID_PARTIDO]],Original!$AT$1:$AY$46,2,FALSE)</f>
        <v xml:space="preserve">Nicolas Navarro </v>
      </c>
      <c r="E212" s="6" t="str">
        <f>VLOOKUP(Tabla13[[#This Row],[ID_PARTIDO]],Original!$AT$1:$AY$46,3,FALSE)</f>
        <v>sara juliana solano boada</v>
      </c>
      <c r="F212" s="6" t="str">
        <f>VLOOKUP(Tabla13[[#This Row],[ID_PARTIDO]],Original!$AT$1:$AY$46,4,FALSE)</f>
        <v xml:space="preserve">Santiago Gutiérrez de Piñeres Barbosa  </v>
      </c>
      <c r="G212" s="6" t="str">
        <f>VLOOKUP(Tabla13[[#This Row],[ID_PARTIDO]],Original!$AT$1:$AY$46,5,FALSE)</f>
        <v>Jorge Enrique Lugo Lopez</v>
      </c>
      <c r="H212" t="s">
        <v>14</v>
      </c>
      <c r="I212" t="s">
        <v>7</v>
      </c>
      <c r="J212" t="s">
        <v>7</v>
      </c>
      <c r="K212" t="s">
        <v>14</v>
      </c>
      <c r="L212">
        <v>0</v>
      </c>
      <c r="M212">
        <v>1</v>
      </c>
    </row>
    <row r="213" spans="1:13">
      <c r="A213">
        <v>38</v>
      </c>
      <c r="B213">
        <v>2</v>
      </c>
      <c r="C213">
        <v>8</v>
      </c>
      <c r="D213" s="6" t="str">
        <f>VLOOKUP(Tabla13[[#This Row],[ID_PARTIDO]],Original!$AT$1:$AY$46,2,FALSE)</f>
        <v xml:space="preserve">Nicolas Navarro </v>
      </c>
      <c r="E213" s="6" t="str">
        <f>VLOOKUP(Tabla13[[#This Row],[ID_PARTIDO]],Original!$AT$1:$AY$46,3,FALSE)</f>
        <v>sara juliana solano boada</v>
      </c>
      <c r="F213" s="6" t="str">
        <f>VLOOKUP(Tabla13[[#This Row],[ID_PARTIDO]],Original!$AT$1:$AY$46,4,FALSE)</f>
        <v xml:space="preserve">Santiago Gutiérrez de Piñeres Barbosa  </v>
      </c>
      <c r="G213" s="6" t="str">
        <f>VLOOKUP(Tabla13[[#This Row],[ID_PARTIDO]],Original!$AT$1:$AY$46,5,FALSE)</f>
        <v>Jorge Enrique Lugo Lopez</v>
      </c>
      <c r="H213" t="s">
        <v>14</v>
      </c>
      <c r="I213" t="s">
        <v>7</v>
      </c>
      <c r="J213" t="s">
        <v>7</v>
      </c>
      <c r="K213" t="s">
        <v>14</v>
      </c>
      <c r="L213">
        <v>1</v>
      </c>
      <c r="M213">
        <v>0</v>
      </c>
    </row>
    <row r="214" spans="1:13">
      <c r="A214">
        <v>38</v>
      </c>
      <c r="B214">
        <v>2</v>
      </c>
      <c r="C214">
        <v>9</v>
      </c>
      <c r="D214" s="6" t="str">
        <f>VLOOKUP(Tabla13[[#This Row],[ID_PARTIDO]],Original!$AT$1:$AY$46,2,FALSE)</f>
        <v xml:space="preserve">Nicolas Navarro </v>
      </c>
      <c r="E214" s="6" t="str">
        <f>VLOOKUP(Tabla13[[#This Row],[ID_PARTIDO]],Original!$AT$1:$AY$46,3,FALSE)</f>
        <v>sara juliana solano boada</v>
      </c>
      <c r="F214" s="6" t="str">
        <f>VLOOKUP(Tabla13[[#This Row],[ID_PARTIDO]],Original!$AT$1:$AY$46,4,FALSE)</f>
        <v xml:space="preserve">Santiago Gutiérrez de Piñeres Barbosa  </v>
      </c>
      <c r="G214" s="6" t="str">
        <f>VLOOKUP(Tabla13[[#This Row],[ID_PARTIDO]],Original!$AT$1:$AY$46,5,FALSE)</f>
        <v>Jorge Enrique Lugo Lopez</v>
      </c>
      <c r="H214" t="s">
        <v>14</v>
      </c>
      <c r="I214" t="s">
        <v>7</v>
      </c>
      <c r="J214" t="s">
        <v>7</v>
      </c>
      <c r="K214" t="s">
        <v>14</v>
      </c>
      <c r="L214">
        <v>0</v>
      </c>
      <c r="M214">
        <v>1</v>
      </c>
    </row>
    <row r="215" spans="1:13">
      <c r="A215">
        <v>38</v>
      </c>
      <c r="B215">
        <v>2</v>
      </c>
      <c r="C215">
        <v>10</v>
      </c>
      <c r="D215" s="6" t="str">
        <f>VLOOKUP(Tabla13[[#This Row],[ID_PARTIDO]],Original!$AT$1:$AY$46,2,FALSE)</f>
        <v xml:space="preserve">Nicolas Navarro </v>
      </c>
      <c r="E215" s="6" t="str">
        <f>VLOOKUP(Tabla13[[#This Row],[ID_PARTIDO]],Original!$AT$1:$AY$46,3,FALSE)</f>
        <v>sara juliana solano boada</v>
      </c>
      <c r="F215" s="6" t="str">
        <f>VLOOKUP(Tabla13[[#This Row],[ID_PARTIDO]],Original!$AT$1:$AY$46,4,FALSE)</f>
        <v xml:space="preserve">Santiago Gutiérrez de Piñeres Barbosa  </v>
      </c>
      <c r="G215" s="6" t="str">
        <f>VLOOKUP(Tabla13[[#This Row],[ID_PARTIDO]],Original!$AT$1:$AY$46,5,FALSE)</f>
        <v>Jorge Enrique Lugo Lopez</v>
      </c>
      <c r="H215" t="s">
        <v>14</v>
      </c>
      <c r="I215" t="s">
        <v>7</v>
      </c>
      <c r="J215" t="s">
        <v>7</v>
      </c>
      <c r="K215" t="s">
        <v>14</v>
      </c>
      <c r="L215">
        <v>0</v>
      </c>
      <c r="M215">
        <v>1</v>
      </c>
    </row>
    <row r="216" spans="1:13">
      <c r="A216">
        <v>38</v>
      </c>
      <c r="B216">
        <v>2</v>
      </c>
      <c r="C216">
        <v>11</v>
      </c>
      <c r="D216" s="6" t="str">
        <f>VLOOKUP(Tabla13[[#This Row],[ID_PARTIDO]],Original!$AT$1:$AY$46,2,FALSE)</f>
        <v xml:space="preserve">Nicolas Navarro </v>
      </c>
      <c r="E216" s="6" t="str">
        <f>VLOOKUP(Tabla13[[#This Row],[ID_PARTIDO]],Original!$AT$1:$AY$46,3,FALSE)</f>
        <v>sara juliana solano boada</v>
      </c>
      <c r="F216" s="6" t="str">
        <f>VLOOKUP(Tabla13[[#This Row],[ID_PARTIDO]],Original!$AT$1:$AY$46,4,FALSE)</f>
        <v xml:space="preserve">Santiago Gutiérrez de Piñeres Barbosa  </v>
      </c>
      <c r="G216" s="6" t="str">
        <f>VLOOKUP(Tabla13[[#This Row],[ID_PARTIDO]],Original!$AT$1:$AY$46,5,FALSE)</f>
        <v>Jorge Enrique Lugo Lopez</v>
      </c>
      <c r="H216" t="s">
        <v>14</v>
      </c>
      <c r="I216" t="s">
        <v>7</v>
      </c>
      <c r="J216" t="s">
        <v>7</v>
      </c>
      <c r="K216" t="s">
        <v>14</v>
      </c>
      <c r="L216">
        <v>0</v>
      </c>
      <c r="M216">
        <v>1</v>
      </c>
    </row>
    <row r="217" spans="1:13">
      <c r="A217">
        <v>42</v>
      </c>
      <c r="B217">
        <v>2</v>
      </c>
      <c r="C217">
        <v>1</v>
      </c>
      <c r="D217" s="6" t="str">
        <f>VLOOKUP(Tabla13[[#This Row],[ID_PARTIDO]],Original!$AT$1:$AY$46,2,FALSE)</f>
        <v xml:space="preserve">Sergio Andrés López Rodríguez </v>
      </c>
      <c r="E217" s="6" t="str">
        <f>VLOOKUP(Tabla13[[#This Row],[ID_PARTIDO]],Original!$AT$1:$AY$46,3,FALSE)</f>
        <v xml:space="preserve">juan miguel venegas garzón </v>
      </c>
      <c r="F217" s="6" t="str">
        <f>VLOOKUP(Tabla13[[#This Row],[ID_PARTIDO]],Original!$AT$1:$AY$46,4,FALSE)</f>
        <v>Cristian Stevan Soto Zapata</v>
      </c>
      <c r="G217" s="6" t="str">
        <f>VLOOKUP(Tabla13[[#This Row],[ID_PARTIDO]],Original!$AT$1:$AY$46,5,FALSE)</f>
        <v>sara juliana solano boada</v>
      </c>
      <c r="H217" t="s">
        <v>14</v>
      </c>
      <c r="I217" t="s">
        <v>7</v>
      </c>
      <c r="J217" t="s">
        <v>14</v>
      </c>
      <c r="K217" t="s">
        <v>7</v>
      </c>
      <c r="L217">
        <v>1</v>
      </c>
      <c r="M217">
        <v>0</v>
      </c>
    </row>
    <row r="218" spans="1:13">
      <c r="A218">
        <v>42</v>
      </c>
      <c r="B218">
        <v>2</v>
      </c>
      <c r="C218">
        <v>2</v>
      </c>
      <c r="D218" s="6" t="str">
        <f>VLOOKUP(Tabla13[[#This Row],[ID_PARTIDO]],Original!$AT$1:$AY$46,2,FALSE)</f>
        <v xml:space="preserve">Sergio Andrés López Rodríguez </v>
      </c>
      <c r="E218" s="6" t="str">
        <f>VLOOKUP(Tabla13[[#This Row],[ID_PARTIDO]],Original!$AT$1:$AY$46,3,FALSE)</f>
        <v xml:space="preserve">juan miguel venegas garzón </v>
      </c>
      <c r="F218" s="6" t="str">
        <f>VLOOKUP(Tabla13[[#This Row],[ID_PARTIDO]],Original!$AT$1:$AY$46,4,FALSE)</f>
        <v>Cristian Stevan Soto Zapata</v>
      </c>
      <c r="G218" s="6" t="str">
        <f>VLOOKUP(Tabla13[[#This Row],[ID_PARTIDO]],Original!$AT$1:$AY$46,5,FALSE)</f>
        <v>sara juliana solano boada</v>
      </c>
      <c r="H218" t="s">
        <v>14</v>
      </c>
      <c r="I218" t="s">
        <v>7</v>
      </c>
      <c r="J218" t="s">
        <v>14</v>
      </c>
      <c r="K218" t="s">
        <v>7</v>
      </c>
      <c r="L218">
        <v>1</v>
      </c>
      <c r="M218">
        <v>0</v>
      </c>
    </row>
    <row r="219" spans="1:13">
      <c r="A219">
        <v>42</v>
      </c>
      <c r="B219">
        <v>2</v>
      </c>
      <c r="C219">
        <v>3</v>
      </c>
      <c r="D219" s="6" t="str">
        <f>VLOOKUP(Tabla13[[#This Row],[ID_PARTIDO]],Original!$AT$1:$AY$46,2,FALSE)</f>
        <v xml:space="preserve">Sergio Andrés López Rodríguez </v>
      </c>
      <c r="E219" s="6" t="str">
        <f>VLOOKUP(Tabla13[[#This Row],[ID_PARTIDO]],Original!$AT$1:$AY$46,3,FALSE)</f>
        <v xml:space="preserve">juan miguel venegas garzón </v>
      </c>
      <c r="F219" s="6" t="str">
        <f>VLOOKUP(Tabla13[[#This Row],[ID_PARTIDO]],Original!$AT$1:$AY$46,4,FALSE)</f>
        <v>Cristian Stevan Soto Zapata</v>
      </c>
      <c r="G219" s="6" t="str">
        <f>VLOOKUP(Tabla13[[#This Row],[ID_PARTIDO]],Original!$AT$1:$AY$46,5,FALSE)</f>
        <v>sara juliana solano boada</v>
      </c>
      <c r="H219" t="s">
        <v>14</v>
      </c>
      <c r="I219" t="s">
        <v>7</v>
      </c>
      <c r="J219" t="s">
        <v>14</v>
      </c>
      <c r="K219" t="s">
        <v>7</v>
      </c>
      <c r="L219">
        <v>1</v>
      </c>
      <c r="M219">
        <v>0</v>
      </c>
    </row>
    <row r="220" spans="1:13">
      <c r="A220">
        <v>42</v>
      </c>
      <c r="B220">
        <v>2</v>
      </c>
      <c r="C220">
        <v>4</v>
      </c>
      <c r="D220" s="6" t="str">
        <f>VLOOKUP(Tabla13[[#This Row],[ID_PARTIDO]],Original!$AT$1:$AY$46,2,FALSE)</f>
        <v xml:space="preserve">Sergio Andrés López Rodríguez </v>
      </c>
      <c r="E220" s="6" t="str">
        <f>VLOOKUP(Tabla13[[#This Row],[ID_PARTIDO]],Original!$AT$1:$AY$46,3,FALSE)</f>
        <v xml:space="preserve">juan miguel venegas garzón </v>
      </c>
      <c r="F220" s="6" t="str">
        <f>VLOOKUP(Tabla13[[#This Row],[ID_PARTIDO]],Original!$AT$1:$AY$46,4,FALSE)</f>
        <v>Cristian Stevan Soto Zapata</v>
      </c>
      <c r="G220" s="6" t="str">
        <f>VLOOKUP(Tabla13[[#This Row],[ID_PARTIDO]],Original!$AT$1:$AY$46,5,FALSE)</f>
        <v>sara juliana solano boada</v>
      </c>
      <c r="H220" t="s">
        <v>14</v>
      </c>
      <c r="I220" t="s">
        <v>7</v>
      </c>
      <c r="J220" t="s">
        <v>14</v>
      </c>
      <c r="K220" t="s">
        <v>7</v>
      </c>
      <c r="L220">
        <v>1</v>
      </c>
      <c r="M220">
        <v>0</v>
      </c>
    </row>
    <row r="221" spans="1:13">
      <c r="A221">
        <v>42</v>
      </c>
      <c r="B221">
        <v>2</v>
      </c>
      <c r="C221">
        <v>5</v>
      </c>
      <c r="D221" s="6" t="str">
        <f>VLOOKUP(Tabla13[[#This Row],[ID_PARTIDO]],Original!$AT$1:$AY$46,2,FALSE)</f>
        <v xml:space="preserve">Sergio Andrés López Rodríguez </v>
      </c>
      <c r="E221" s="6" t="str">
        <f>VLOOKUP(Tabla13[[#This Row],[ID_PARTIDO]],Original!$AT$1:$AY$46,3,FALSE)</f>
        <v xml:space="preserve">juan miguel venegas garzón </v>
      </c>
      <c r="F221" s="6" t="str">
        <f>VLOOKUP(Tabla13[[#This Row],[ID_PARTIDO]],Original!$AT$1:$AY$46,4,FALSE)</f>
        <v>Cristian Stevan Soto Zapata</v>
      </c>
      <c r="G221" s="6" t="str">
        <f>VLOOKUP(Tabla13[[#This Row],[ID_PARTIDO]],Original!$AT$1:$AY$46,5,FALSE)</f>
        <v>sara juliana solano boada</v>
      </c>
      <c r="H221" t="s">
        <v>14</v>
      </c>
      <c r="I221" t="s">
        <v>7</v>
      </c>
      <c r="J221" t="s">
        <v>14</v>
      </c>
      <c r="K221" t="s">
        <v>7</v>
      </c>
      <c r="L221">
        <v>1</v>
      </c>
      <c r="M221">
        <v>0</v>
      </c>
    </row>
    <row r="222" spans="1:13">
      <c r="A222">
        <v>42</v>
      </c>
      <c r="B222">
        <v>2</v>
      </c>
      <c r="C222">
        <v>6</v>
      </c>
      <c r="D222" s="6" t="str">
        <f>VLOOKUP(Tabla13[[#This Row],[ID_PARTIDO]],Original!$AT$1:$AY$46,2,FALSE)</f>
        <v xml:space="preserve">Sergio Andrés López Rodríguez </v>
      </c>
      <c r="E222" s="6" t="str">
        <f>VLOOKUP(Tabla13[[#This Row],[ID_PARTIDO]],Original!$AT$1:$AY$46,3,FALSE)</f>
        <v xml:space="preserve">juan miguel venegas garzón </v>
      </c>
      <c r="F222" s="6" t="str">
        <f>VLOOKUP(Tabla13[[#This Row],[ID_PARTIDO]],Original!$AT$1:$AY$46,4,FALSE)</f>
        <v>Cristian Stevan Soto Zapata</v>
      </c>
      <c r="G222" s="6" t="str">
        <f>VLOOKUP(Tabla13[[#This Row],[ID_PARTIDO]],Original!$AT$1:$AY$46,5,FALSE)</f>
        <v>sara juliana solano boada</v>
      </c>
      <c r="H222" t="s">
        <v>14</v>
      </c>
      <c r="I222" t="s">
        <v>7</v>
      </c>
      <c r="J222" t="s">
        <v>14</v>
      </c>
      <c r="K222" t="s">
        <v>7</v>
      </c>
      <c r="L222">
        <v>1</v>
      </c>
      <c r="M222">
        <v>0</v>
      </c>
    </row>
    <row r="223" spans="1:13">
      <c r="A223">
        <v>42</v>
      </c>
      <c r="B223">
        <v>2</v>
      </c>
      <c r="C223">
        <v>7</v>
      </c>
      <c r="D223" s="6" t="str">
        <f>VLOOKUP(Tabla13[[#This Row],[ID_PARTIDO]],Original!$AT$1:$AY$46,2,FALSE)</f>
        <v xml:space="preserve">Sergio Andrés López Rodríguez </v>
      </c>
      <c r="E223" s="6" t="str">
        <f>VLOOKUP(Tabla13[[#This Row],[ID_PARTIDO]],Original!$AT$1:$AY$46,3,FALSE)</f>
        <v xml:space="preserve">juan miguel venegas garzón </v>
      </c>
      <c r="F223" s="6" t="str">
        <f>VLOOKUP(Tabla13[[#This Row],[ID_PARTIDO]],Original!$AT$1:$AY$46,4,FALSE)</f>
        <v>Cristian Stevan Soto Zapata</v>
      </c>
      <c r="G223" s="6" t="str">
        <f>VLOOKUP(Tabla13[[#This Row],[ID_PARTIDO]],Original!$AT$1:$AY$46,5,FALSE)</f>
        <v>sara juliana solano boada</v>
      </c>
      <c r="H223" t="s">
        <v>14</v>
      </c>
      <c r="I223" t="s">
        <v>7</v>
      </c>
      <c r="J223" t="s">
        <v>14</v>
      </c>
      <c r="K223" t="s">
        <v>7</v>
      </c>
      <c r="L223">
        <v>0</v>
      </c>
      <c r="M223">
        <v>1</v>
      </c>
    </row>
    <row r="224" spans="1:13">
      <c r="A224">
        <v>42</v>
      </c>
      <c r="B224">
        <v>2</v>
      </c>
      <c r="C224">
        <v>8</v>
      </c>
      <c r="D224" s="6" t="str">
        <f>VLOOKUP(Tabla13[[#This Row],[ID_PARTIDO]],Original!$AT$1:$AY$46,2,FALSE)</f>
        <v xml:space="preserve">Sergio Andrés López Rodríguez </v>
      </c>
      <c r="E224" s="6" t="str">
        <f>VLOOKUP(Tabla13[[#This Row],[ID_PARTIDO]],Original!$AT$1:$AY$46,3,FALSE)</f>
        <v xml:space="preserve">juan miguel venegas garzón </v>
      </c>
      <c r="F224" s="6" t="str">
        <f>VLOOKUP(Tabla13[[#This Row],[ID_PARTIDO]],Original!$AT$1:$AY$46,4,FALSE)</f>
        <v>Cristian Stevan Soto Zapata</v>
      </c>
      <c r="G224" s="6" t="str">
        <f>VLOOKUP(Tabla13[[#This Row],[ID_PARTIDO]],Original!$AT$1:$AY$46,5,FALSE)</f>
        <v>sara juliana solano boada</v>
      </c>
      <c r="H224" t="s">
        <v>14</v>
      </c>
      <c r="I224" t="s">
        <v>7</v>
      </c>
      <c r="J224" t="s">
        <v>14</v>
      </c>
      <c r="K224" t="s">
        <v>7</v>
      </c>
      <c r="L224">
        <v>0</v>
      </c>
      <c r="M224">
        <v>1</v>
      </c>
    </row>
    <row r="225" spans="1:13">
      <c r="A225">
        <v>42</v>
      </c>
      <c r="B225">
        <v>2</v>
      </c>
      <c r="C225">
        <v>9</v>
      </c>
      <c r="D225" s="6" t="str">
        <f>VLOOKUP(Tabla13[[#This Row],[ID_PARTIDO]],Original!$AT$1:$AY$46,2,FALSE)</f>
        <v xml:space="preserve">Sergio Andrés López Rodríguez </v>
      </c>
      <c r="E225" s="6" t="str">
        <f>VLOOKUP(Tabla13[[#This Row],[ID_PARTIDO]],Original!$AT$1:$AY$46,3,FALSE)</f>
        <v xml:space="preserve">juan miguel venegas garzón </v>
      </c>
      <c r="F225" s="6" t="str">
        <f>VLOOKUP(Tabla13[[#This Row],[ID_PARTIDO]],Original!$AT$1:$AY$46,4,FALSE)</f>
        <v>Cristian Stevan Soto Zapata</v>
      </c>
      <c r="G225" s="6" t="str">
        <f>VLOOKUP(Tabla13[[#This Row],[ID_PARTIDO]],Original!$AT$1:$AY$46,5,FALSE)</f>
        <v>sara juliana solano boada</v>
      </c>
      <c r="H225" t="s">
        <v>14</v>
      </c>
      <c r="I225" t="s">
        <v>7</v>
      </c>
      <c r="J225" t="s">
        <v>14</v>
      </c>
      <c r="K225" t="s">
        <v>7</v>
      </c>
      <c r="L225">
        <v>1</v>
      </c>
      <c r="M225">
        <v>0</v>
      </c>
    </row>
    <row r="226" spans="1:13">
      <c r="A226">
        <v>44</v>
      </c>
      <c r="B226">
        <v>2</v>
      </c>
      <c r="C226">
        <v>1</v>
      </c>
      <c r="D226" s="6" t="str">
        <f>VLOOKUP(Tabla13[[#This Row],[ID_PARTIDO]],Original!$AT$1:$AY$46,2,FALSE)</f>
        <v>Maria Fernanda Tamayo Lopez</v>
      </c>
      <c r="E226" s="6" t="str">
        <f>VLOOKUP(Tabla13[[#This Row],[ID_PARTIDO]],Original!$AT$1:$AY$46,3,FALSE)</f>
        <v xml:space="preserve">Juan Pablo Aponte Veloza </v>
      </c>
      <c r="F226" s="6" t="str">
        <f>VLOOKUP(Tabla13[[#This Row],[ID_PARTIDO]],Original!$AT$1:$AY$46,4,FALSE)</f>
        <v xml:space="preserve">Juliana Beltrán Díaz </v>
      </c>
      <c r="G226" s="6" t="s">
        <v>60</v>
      </c>
      <c r="H226" t="s">
        <v>7</v>
      </c>
      <c r="I226" t="s">
        <v>14</v>
      </c>
      <c r="J226" t="s">
        <v>7</v>
      </c>
      <c r="K226" t="s">
        <v>14</v>
      </c>
      <c r="L226">
        <v>0</v>
      </c>
      <c r="M226">
        <v>1</v>
      </c>
    </row>
    <row r="227" spans="1:13">
      <c r="A227">
        <v>44</v>
      </c>
      <c r="B227">
        <v>2</v>
      </c>
      <c r="C227">
        <v>2</v>
      </c>
      <c r="D227" s="6" t="str">
        <f>VLOOKUP(Tabla13[[#This Row],[ID_PARTIDO]],Original!$AT$1:$AY$46,2,FALSE)</f>
        <v>Maria Fernanda Tamayo Lopez</v>
      </c>
      <c r="E227" s="6" t="str">
        <f>VLOOKUP(Tabla13[[#This Row],[ID_PARTIDO]],Original!$AT$1:$AY$46,3,FALSE)</f>
        <v xml:space="preserve">Juan Pablo Aponte Veloza </v>
      </c>
      <c r="F227" s="6" t="str">
        <f>VLOOKUP(Tabla13[[#This Row],[ID_PARTIDO]],Original!$AT$1:$AY$46,4,FALSE)</f>
        <v xml:space="preserve">Juliana Beltrán Díaz </v>
      </c>
      <c r="G227" s="6" t="s">
        <v>60</v>
      </c>
      <c r="H227" t="s">
        <v>7</v>
      </c>
      <c r="I227" t="s">
        <v>14</v>
      </c>
      <c r="J227" t="s">
        <v>7</v>
      </c>
      <c r="K227" t="s">
        <v>14</v>
      </c>
      <c r="L227">
        <v>0</v>
      </c>
      <c r="M227">
        <v>1</v>
      </c>
    </row>
    <row r="228" spans="1:13">
      <c r="A228">
        <v>44</v>
      </c>
      <c r="B228">
        <v>2</v>
      </c>
      <c r="C228">
        <v>3</v>
      </c>
      <c r="D228" s="6" t="str">
        <f>VLOOKUP(Tabla13[[#This Row],[ID_PARTIDO]],Original!$AT$1:$AY$46,2,FALSE)</f>
        <v>Maria Fernanda Tamayo Lopez</v>
      </c>
      <c r="E228" s="6" t="str">
        <f>VLOOKUP(Tabla13[[#This Row],[ID_PARTIDO]],Original!$AT$1:$AY$46,3,FALSE)</f>
        <v xml:space="preserve">Juan Pablo Aponte Veloza </v>
      </c>
      <c r="F228" s="6" t="str">
        <f>VLOOKUP(Tabla13[[#This Row],[ID_PARTIDO]],Original!$AT$1:$AY$46,4,FALSE)</f>
        <v xml:space="preserve">Juliana Beltrán Díaz </v>
      </c>
      <c r="G228" s="6" t="s">
        <v>60</v>
      </c>
      <c r="H228" t="s">
        <v>7</v>
      </c>
      <c r="I228" t="s">
        <v>14</v>
      </c>
      <c r="J228" t="s">
        <v>7</v>
      </c>
      <c r="K228" t="s">
        <v>14</v>
      </c>
      <c r="L228">
        <v>0</v>
      </c>
      <c r="M228">
        <v>1</v>
      </c>
    </row>
    <row r="229" spans="1:13">
      <c r="A229">
        <v>44</v>
      </c>
      <c r="B229">
        <v>2</v>
      </c>
      <c r="C229">
        <v>4</v>
      </c>
      <c r="D229" s="6" t="str">
        <f>VLOOKUP(Tabla13[[#This Row],[ID_PARTIDO]],Original!$AT$1:$AY$46,2,FALSE)</f>
        <v>Maria Fernanda Tamayo Lopez</v>
      </c>
      <c r="E229" s="6" t="str">
        <f>VLOOKUP(Tabla13[[#This Row],[ID_PARTIDO]],Original!$AT$1:$AY$46,3,FALSE)</f>
        <v xml:space="preserve">Juan Pablo Aponte Veloza </v>
      </c>
      <c r="F229" s="6" t="str">
        <f>VLOOKUP(Tabla13[[#This Row],[ID_PARTIDO]],Original!$AT$1:$AY$46,4,FALSE)</f>
        <v xml:space="preserve">Juliana Beltrán Díaz </v>
      </c>
      <c r="G229" s="6" t="s">
        <v>60</v>
      </c>
      <c r="H229" t="s">
        <v>7</v>
      </c>
      <c r="I229" t="s">
        <v>14</v>
      </c>
      <c r="J229" t="s">
        <v>7</v>
      </c>
      <c r="K229" t="s">
        <v>14</v>
      </c>
      <c r="L229">
        <v>0</v>
      </c>
      <c r="M229">
        <v>1</v>
      </c>
    </row>
    <row r="230" spans="1:13">
      <c r="A230">
        <v>44</v>
      </c>
      <c r="B230">
        <v>2</v>
      </c>
      <c r="C230">
        <v>5</v>
      </c>
      <c r="D230" s="6" t="str">
        <f>VLOOKUP(Tabla13[[#This Row],[ID_PARTIDO]],Original!$AT$1:$AY$46,2,FALSE)</f>
        <v>Maria Fernanda Tamayo Lopez</v>
      </c>
      <c r="E230" s="6" t="str">
        <f>VLOOKUP(Tabla13[[#This Row],[ID_PARTIDO]],Original!$AT$1:$AY$46,3,FALSE)</f>
        <v xml:space="preserve">Juan Pablo Aponte Veloza </v>
      </c>
      <c r="F230" s="6" t="str">
        <f>VLOOKUP(Tabla13[[#This Row],[ID_PARTIDO]],Original!$AT$1:$AY$46,4,FALSE)</f>
        <v xml:space="preserve">Juliana Beltrán Díaz </v>
      </c>
      <c r="G230" s="6" t="s">
        <v>60</v>
      </c>
      <c r="H230" t="s">
        <v>7</v>
      </c>
      <c r="I230" t="s">
        <v>14</v>
      </c>
      <c r="J230" t="s">
        <v>7</v>
      </c>
      <c r="K230" t="s">
        <v>14</v>
      </c>
      <c r="L230">
        <v>0</v>
      </c>
      <c r="M230">
        <v>1</v>
      </c>
    </row>
    <row r="231" spans="1:13">
      <c r="A231">
        <v>44</v>
      </c>
      <c r="B231">
        <v>2</v>
      </c>
      <c r="C231">
        <v>6</v>
      </c>
      <c r="D231" s="6" t="str">
        <f>VLOOKUP(Tabla13[[#This Row],[ID_PARTIDO]],Original!$AT$1:$AY$46,2,FALSE)</f>
        <v>Maria Fernanda Tamayo Lopez</v>
      </c>
      <c r="E231" s="6" t="str">
        <f>VLOOKUP(Tabla13[[#This Row],[ID_PARTIDO]],Original!$AT$1:$AY$46,3,FALSE)</f>
        <v xml:space="preserve">Juan Pablo Aponte Veloza </v>
      </c>
      <c r="F231" s="6" t="str">
        <f>VLOOKUP(Tabla13[[#This Row],[ID_PARTIDO]],Original!$AT$1:$AY$46,4,FALSE)</f>
        <v xml:space="preserve">Juliana Beltrán Díaz </v>
      </c>
      <c r="G231" s="6" t="s">
        <v>60</v>
      </c>
      <c r="H231" t="s">
        <v>7</v>
      </c>
      <c r="I231" t="s">
        <v>14</v>
      </c>
      <c r="J231" t="s">
        <v>7</v>
      </c>
      <c r="K231" t="s">
        <v>14</v>
      </c>
      <c r="L231">
        <v>1</v>
      </c>
      <c r="M231">
        <v>0</v>
      </c>
    </row>
    <row r="232" spans="1:13">
      <c r="A232">
        <v>44</v>
      </c>
      <c r="B232">
        <v>2</v>
      </c>
      <c r="C232">
        <v>7</v>
      </c>
      <c r="D232" s="6" t="str">
        <f>VLOOKUP(Tabla13[[#This Row],[ID_PARTIDO]],Original!$AT$1:$AY$46,2,FALSE)</f>
        <v>Maria Fernanda Tamayo Lopez</v>
      </c>
      <c r="E232" s="6" t="str">
        <f>VLOOKUP(Tabla13[[#This Row],[ID_PARTIDO]],Original!$AT$1:$AY$46,3,FALSE)</f>
        <v xml:space="preserve">Juan Pablo Aponte Veloza </v>
      </c>
      <c r="F232" s="6" t="str">
        <f>VLOOKUP(Tabla13[[#This Row],[ID_PARTIDO]],Original!$AT$1:$AY$46,4,FALSE)</f>
        <v xml:space="preserve">Juliana Beltrán Díaz </v>
      </c>
      <c r="G232" s="6" t="s">
        <v>60</v>
      </c>
      <c r="H232" t="s">
        <v>7</v>
      </c>
      <c r="I232" t="s">
        <v>14</v>
      </c>
      <c r="J232" t="s">
        <v>7</v>
      </c>
      <c r="K232" t="s">
        <v>14</v>
      </c>
      <c r="L232">
        <v>1</v>
      </c>
      <c r="M232">
        <v>0</v>
      </c>
    </row>
    <row r="233" spans="1:13">
      <c r="A233">
        <v>44</v>
      </c>
      <c r="B233">
        <v>2</v>
      </c>
      <c r="C233">
        <v>8</v>
      </c>
      <c r="D233" s="6" t="str">
        <f>VLOOKUP(Tabla13[[#This Row],[ID_PARTIDO]],Original!$AT$1:$AY$46,2,FALSE)</f>
        <v>Maria Fernanda Tamayo Lopez</v>
      </c>
      <c r="E233" s="6" t="str">
        <f>VLOOKUP(Tabla13[[#This Row],[ID_PARTIDO]],Original!$AT$1:$AY$46,3,FALSE)</f>
        <v xml:space="preserve">Juan Pablo Aponte Veloza </v>
      </c>
      <c r="F233" s="6" t="str">
        <f>VLOOKUP(Tabla13[[#This Row],[ID_PARTIDO]],Original!$AT$1:$AY$46,4,FALSE)</f>
        <v xml:space="preserve">Juliana Beltrán Díaz </v>
      </c>
      <c r="G233" s="6" t="s">
        <v>60</v>
      </c>
      <c r="H233" t="s">
        <v>7</v>
      </c>
      <c r="I233" t="s">
        <v>14</v>
      </c>
      <c r="J233" t="s">
        <v>7</v>
      </c>
      <c r="K233" t="s">
        <v>14</v>
      </c>
      <c r="L233">
        <v>0</v>
      </c>
      <c r="M233">
        <v>1</v>
      </c>
    </row>
    <row r="234" spans="1:13">
      <c r="A234">
        <v>44</v>
      </c>
      <c r="B234">
        <v>2</v>
      </c>
      <c r="C234">
        <v>9</v>
      </c>
      <c r="D234" s="6" t="str">
        <f>VLOOKUP(Tabla13[[#This Row],[ID_PARTIDO]],Original!$AT$1:$AY$46,2,FALSE)</f>
        <v>Maria Fernanda Tamayo Lopez</v>
      </c>
      <c r="E234" s="6" t="str">
        <f>VLOOKUP(Tabla13[[#This Row],[ID_PARTIDO]],Original!$AT$1:$AY$46,3,FALSE)</f>
        <v xml:space="preserve">Juan Pablo Aponte Veloza </v>
      </c>
      <c r="F234" s="6" t="str">
        <f>VLOOKUP(Tabla13[[#This Row],[ID_PARTIDO]],Original!$AT$1:$AY$46,4,FALSE)</f>
        <v xml:space="preserve">Juliana Beltrán Díaz </v>
      </c>
      <c r="G234" s="6" t="s">
        <v>60</v>
      </c>
      <c r="H234" t="s">
        <v>7</v>
      </c>
      <c r="I234" t="s">
        <v>14</v>
      </c>
      <c r="J234" t="s">
        <v>7</v>
      </c>
      <c r="K234" t="s">
        <v>14</v>
      </c>
      <c r="L234">
        <v>0</v>
      </c>
      <c r="M234">
        <v>1</v>
      </c>
    </row>
    <row r="235" spans="1:13">
      <c r="A235">
        <v>44</v>
      </c>
      <c r="B235">
        <v>2</v>
      </c>
      <c r="C235">
        <v>10</v>
      </c>
      <c r="D235" s="6" t="str">
        <f>VLOOKUP(Tabla13[[#This Row],[ID_PARTIDO]],Original!$AT$1:$AY$46,2,FALSE)</f>
        <v>Maria Fernanda Tamayo Lopez</v>
      </c>
      <c r="E235" s="6" t="str">
        <f>VLOOKUP(Tabla13[[#This Row],[ID_PARTIDO]],Original!$AT$1:$AY$46,3,FALSE)</f>
        <v xml:space="preserve">Juan Pablo Aponte Veloza </v>
      </c>
      <c r="F235" s="6" t="str">
        <f>VLOOKUP(Tabla13[[#This Row],[ID_PARTIDO]],Original!$AT$1:$AY$46,4,FALSE)</f>
        <v xml:space="preserve">Juliana Beltrán Díaz </v>
      </c>
      <c r="G235" s="6" t="s">
        <v>60</v>
      </c>
      <c r="H235" t="s">
        <v>7</v>
      </c>
      <c r="I235" t="s">
        <v>14</v>
      </c>
      <c r="J235" t="s">
        <v>7</v>
      </c>
      <c r="K235" t="s">
        <v>14</v>
      </c>
    </row>
    <row r="236" spans="1:13">
      <c r="A236">
        <v>39</v>
      </c>
      <c r="B236">
        <v>2</v>
      </c>
      <c r="C236">
        <v>1</v>
      </c>
      <c r="D236" s="6" t="str">
        <f>VLOOKUP(Tabla13[[#This Row],[ID_PARTIDO]],Original!$AT$1:$AY$46,2,FALSE)</f>
        <v xml:space="preserve">Nicolas Navarro </v>
      </c>
      <c r="E236" s="6" t="str">
        <f>VLOOKUP(Tabla13[[#This Row],[ID_PARTIDO]],Original!$AT$1:$AY$46,3,FALSE)</f>
        <v xml:space="preserve">maria jose martinez villabona </v>
      </c>
      <c r="F236" s="6" t="str">
        <f>VLOOKUP(Tabla13[[#This Row],[ID_PARTIDO]],Original!$AT$1:$AY$46,4,FALSE)</f>
        <v>Maria Fernanda Tamayo Lopez</v>
      </c>
      <c r="G236" s="6" t="str">
        <f>VLOOKUP(Tabla13[[#This Row],[ID_PARTIDO]],Original!$AT$1:$AY$46,5,FALSE)</f>
        <v xml:space="preserve">Juan Pablo Vargas Jiménez </v>
      </c>
      <c r="H236" t="s">
        <v>14</v>
      </c>
      <c r="I236" t="s">
        <v>7</v>
      </c>
      <c r="J236" t="s">
        <v>7</v>
      </c>
      <c r="K236" t="s">
        <v>14</v>
      </c>
      <c r="L236">
        <v>1</v>
      </c>
      <c r="M236">
        <v>0</v>
      </c>
    </row>
    <row r="237" spans="1:13">
      <c r="A237">
        <v>39</v>
      </c>
      <c r="B237">
        <v>2</v>
      </c>
      <c r="C237">
        <v>2</v>
      </c>
      <c r="D237" s="6" t="str">
        <f>VLOOKUP(Tabla13[[#This Row],[ID_PARTIDO]],Original!$AT$1:$AY$46,2,FALSE)</f>
        <v xml:space="preserve">Nicolas Navarro </v>
      </c>
      <c r="E237" s="6" t="str">
        <f>VLOOKUP(Tabla13[[#This Row],[ID_PARTIDO]],Original!$AT$1:$AY$46,3,FALSE)</f>
        <v xml:space="preserve">maria jose martinez villabona </v>
      </c>
      <c r="F237" s="6" t="str">
        <f>VLOOKUP(Tabla13[[#This Row],[ID_PARTIDO]],Original!$AT$1:$AY$46,4,FALSE)</f>
        <v>Maria Fernanda Tamayo Lopez</v>
      </c>
      <c r="G237" s="6" t="str">
        <f>VLOOKUP(Tabla13[[#This Row],[ID_PARTIDO]],Original!$AT$1:$AY$46,5,FALSE)</f>
        <v xml:space="preserve">Juan Pablo Vargas Jiménez </v>
      </c>
      <c r="H237" t="s">
        <v>14</v>
      </c>
      <c r="I237" t="s">
        <v>7</v>
      </c>
      <c r="J237" t="s">
        <v>7</v>
      </c>
      <c r="K237" t="s">
        <v>14</v>
      </c>
      <c r="L237">
        <v>1</v>
      </c>
      <c r="M237">
        <v>0</v>
      </c>
    </row>
    <row r="238" spans="1:13">
      <c r="A238">
        <v>39</v>
      </c>
      <c r="B238">
        <v>2</v>
      </c>
      <c r="C238">
        <v>3</v>
      </c>
      <c r="D238" s="6" t="str">
        <f>VLOOKUP(Tabla13[[#This Row],[ID_PARTIDO]],Original!$AT$1:$AY$46,2,FALSE)</f>
        <v xml:space="preserve">Nicolas Navarro </v>
      </c>
      <c r="E238" s="6" t="str">
        <f>VLOOKUP(Tabla13[[#This Row],[ID_PARTIDO]],Original!$AT$1:$AY$46,3,FALSE)</f>
        <v xml:space="preserve">maria jose martinez villabona </v>
      </c>
      <c r="F238" s="6" t="str">
        <f>VLOOKUP(Tabla13[[#This Row],[ID_PARTIDO]],Original!$AT$1:$AY$46,4,FALSE)</f>
        <v>Maria Fernanda Tamayo Lopez</v>
      </c>
      <c r="G238" s="6" t="str">
        <f>VLOOKUP(Tabla13[[#This Row],[ID_PARTIDO]],Original!$AT$1:$AY$46,5,FALSE)</f>
        <v xml:space="preserve">Juan Pablo Vargas Jiménez </v>
      </c>
      <c r="H238" t="s">
        <v>14</v>
      </c>
      <c r="I238" t="s">
        <v>7</v>
      </c>
      <c r="J238" t="s">
        <v>7</v>
      </c>
      <c r="K238" t="s">
        <v>14</v>
      </c>
      <c r="L238">
        <v>1</v>
      </c>
      <c r="M238">
        <v>0</v>
      </c>
    </row>
    <row r="239" spans="1:13">
      <c r="A239">
        <v>39</v>
      </c>
      <c r="B239">
        <v>2</v>
      </c>
      <c r="C239">
        <v>4</v>
      </c>
      <c r="D239" s="6" t="str">
        <f>VLOOKUP(Tabla13[[#This Row],[ID_PARTIDO]],Original!$AT$1:$AY$46,2,FALSE)</f>
        <v xml:space="preserve">Nicolas Navarro </v>
      </c>
      <c r="E239" s="6" t="str">
        <f>VLOOKUP(Tabla13[[#This Row],[ID_PARTIDO]],Original!$AT$1:$AY$46,3,FALSE)</f>
        <v xml:space="preserve">maria jose martinez villabona </v>
      </c>
      <c r="F239" s="6" t="str">
        <f>VLOOKUP(Tabla13[[#This Row],[ID_PARTIDO]],Original!$AT$1:$AY$46,4,FALSE)</f>
        <v>Maria Fernanda Tamayo Lopez</v>
      </c>
      <c r="G239" s="6" t="str">
        <f>VLOOKUP(Tabla13[[#This Row],[ID_PARTIDO]],Original!$AT$1:$AY$46,5,FALSE)</f>
        <v xml:space="preserve">Juan Pablo Vargas Jiménez </v>
      </c>
      <c r="H239" t="s">
        <v>14</v>
      </c>
      <c r="I239" t="s">
        <v>7</v>
      </c>
      <c r="J239" t="s">
        <v>7</v>
      </c>
      <c r="K239" t="s">
        <v>14</v>
      </c>
      <c r="L239">
        <v>0</v>
      </c>
      <c r="M239">
        <v>1</v>
      </c>
    </row>
    <row r="240" spans="1:13">
      <c r="A240">
        <v>39</v>
      </c>
      <c r="B240">
        <v>2</v>
      </c>
      <c r="C240">
        <v>5</v>
      </c>
      <c r="D240" s="6" t="str">
        <f>VLOOKUP(Tabla13[[#This Row],[ID_PARTIDO]],Original!$AT$1:$AY$46,2,FALSE)</f>
        <v xml:space="preserve">Nicolas Navarro </v>
      </c>
      <c r="E240" s="6" t="str">
        <f>VLOOKUP(Tabla13[[#This Row],[ID_PARTIDO]],Original!$AT$1:$AY$46,3,FALSE)</f>
        <v xml:space="preserve">maria jose martinez villabona </v>
      </c>
      <c r="F240" s="6" t="str">
        <f>VLOOKUP(Tabla13[[#This Row],[ID_PARTIDO]],Original!$AT$1:$AY$46,4,FALSE)</f>
        <v>Maria Fernanda Tamayo Lopez</v>
      </c>
      <c r="G240" s="6" t="str">
        <f>VLOOKUP(Tabla13[[#This Row],[ID_PARTIDO]],Original!$AT$1:$AY$46,5,FALSE)</f>
        <v xml:space="preserve">Juan Pablo Vargas Jiménez </v>
      </c>
      <c r="H240" t="s">
        <v>14</v>
      </c>
      <c r="I240" t="s">
        <v>7</v>
      </c>
      <c r="J240" t="s">
        <v>7</v>
      </c>
      <c r="K240" t="s">
        <v>14</v>
      </c>
      <c r="L240">
        <v>0</v>
      </c>
      <c r="M240">
        <v>1</v>
      </c>
    </row>
    <row r="241" spans="1:13">
      <c r="A241">
        <v>39</v>
      </c>
      <c r="B241">
        <v>2</v>
      </c>
      <c r="C241">
        <v>6</v>
      </c>
      <c r="D241" s="6" t="str">
        <f>VLOOKUP(Tabla13[[#This Row],[ID_PARTIDO]],Original!$AT$1:$AY$46,2,FALSE)</f>
        <v xml:space="preserve">Nicolas Navarro </v>
      </c>
      <c r="E241" s="6" t="str">
        <f>VLOOKUP(Tabla13[[#This Row],[ID_PARTIDO]],Original!$AT$1:$AY$46,3,FALSE)</f>
        <v xml:space="preserve">maria jose martinez villabona </v>
      </c>
      <c r="F241" s="6" t="str">
        <f>VLOOKUP(Tabla13[[#This Row],[ID_PARTIDO]],Original!$AT$1:$AY$46,4,FALSE)</f>
        <v>Maria Fernanda Tamayo Lopez</v>
      </c>
      <c r="G241" s="6" t="str">
        <f>VLOOKUP(Tabla13[[#This Row],[ID_PARTIDO]],Original!$AT$1:$AY$46,5,FALSE)</f>
        <v xml:space="preserve">Juan Pablo Vargas Jiménez </v>
      </c>
      <c r="H241" t="s">
        <v>14</v>
      </c>
      <c r="I241" t="s">
        <v>7</v>
      </c>
      <c r="J241" t="s">
        <v>7</v>
      </c>
      <c r="K241" t="s">
        <v>14</v>
      </c>
      <c r="L241">
        <v>0</v>
      </c>
      <c r="M241">
        <v>1</v>
      </c>
    </row>
    <row r="242" spans="1:13">
      <c r="A242">
        <v>39</v>
      </c>
      <c r="B242">
        <v>2</v>
      </c>
      <c r="C242">
        <v>7</v>
      </c>
      <c r="D242" s="6" t="str">
        <f>VLOOKUP(Tabla13[[#This Row],[ID_PARTIDO]],Original!$AT$1:$AY$46,2,FALSE)</f>
        <v xml:space="preserve">Nicolas Navarro </v>
      </c>
      <c r="E242" s="6" t="str">
        <f>VLOOKUP(Tabla13[[#This Row],[ID_PARTIDO]],Original!$AT$1:$AY$46,3,FALSE)</f>
        <v xml:space="preserve">maria jose martinez villabona </v>
      </c>
      <c r="F242" s="6" t="str">
        <f>VLOOKUP(Tabla13[[#This Row],[ID_PARTIDO]],Original!$AT$1:$AY$46,4,FALSE)</f>
        <v>Maria Fernanda Tamayo Lopez</v>
      </c>
      <c r="G242" s="6" t="str">
        <f>VLOOKUP(Tabla13[[#This Row],[ID_PARTIDO]],Original!$AT$1:$AY$46,5,FALSE)</f>
        <v xml:space="preserve">Juan Pablo Vargas Jiménez </v>
      </c>
      <c r="H242" t="s">
        <v>14</v>
      </c>
      <c r="I242" t="s">
        <v>7</v>
      </c>
      <c r="J242" t="s">
        <v>7</v>
      </c>
      <c r="K242" t="s">
        <v>14</v>
      </c>
      <c r="L242">
        <v>1</v>
      </c>
      <c r="M242">
        <v>0</v>
      </c>
    </row>
    <row r="243" spans="1:13">
      <c r="A243">
        <v>39</v>
      </c>
      <c r="B243">
        <v>2</v>
      </c>
      <c r="C243">
        <v>8</v>
      </c>
      <c r="D243" s="6" t="str">
        <f>VLOOKUP(Tabla13[[#This Row],[ID_PARTIDO]],Original!$AT$1:$AY$46,2,FALSE)</f>
        <v xml:space="preserve">Nicolas Navarro </v>
      </c>
      <c r="E243" s="6" t="str">
        <f>VLOOKUP(Tabla13[[#This Row],[ID_PARTIDO]],Original!$AT$1:$AY$46,3,FALSE)</f>
        <v xml:space="preserve">maria jose martinez villabona </v>
      </c>
      <c r="F243" s="6" t="str">
        <f>VLOOKUP(Tabla13[[#This Row],[ID_PARTIDO]],Original!$AT$1:$AY$46,4,FALSE)</f>
        <v>Maria Fernanda Tamayo Lopez</v>
      </c>
      <c r="G243" s="6" t="str">
        <f>VLOOKUP(Tabla13[[#This Row],[ID_PARTIDO]],Original!$AT$1:$AY$46,5,FALSE)</f>
        <v xml:space="preserve">Juan Pablo Vargas Jiménez </v>
      </c>
      <c r="H243" t="s">
        <v>14</v>
      </c>
      <c r="I243" t="s">
        <v>7</v>
      </c>
      <c r="J243" t="s">
        <v>7</v>
      </c>
      <c r="K243" t="s">
        <v>14</v>
      </c>
      <c r="L243">
        <v>0</v>
      </c>
      <c r="M243">
        <v>1</v>
      </c>
    </row>
    <row r="244" spans="1:13">
      <c r="A244">
        <v>39</v>
      </c>
      <c r="B244">
        <v>2</v>
      </c>
      <c r="C244">
        <v>9</v>
      </c>
      <c r="D244" s="6" t="str">
        <f>VLOOKUP(Tabla13[[#This Row],[ID_PARTIDO]],Original!$AT$1:$AY$46,2,FALSE)</f>
        <v xml:space="preserve">Nicolas Navarro </v>
      </c>
      <c r="E244" s="6" t="str">
        <f>VLOOKUP(Tabla13[[#This Row],[ID_PARTIDO]],Original!$AT$1:$AY$46,3,FALSE)</f>
        <v xml:space="preserve">maria jose martinez villabona </v>
      </c>
      <c r="F244" s="6" t="str">
        <f>VLOOKUP(Tabla13[[#This Row],[ID_PARTIDO]],Original!$AT$1:$AY$46,4,FALSE)</f>
        <v>Maria Fernanda Tamayo Lopez</v>
      </c>
      <c r="G244" s="6" t="str">
        <f>VLOOKUP(Tabla13[[#This Row],[ID_PARTIDO]],Original!$AT$1:$AY$46,5,FALSE)</f>
        <v xml:space="preserve">Juan Pablo Vargas Jiménez </v>
      </c>
      <c r="H244" t="s">
        <v>14</v>
      </c>
      <c r="I244" t="s">
        <v>7</v>
      </c>
      <c r="J244" t="s">
        <v>7</v>
      </c>
      <c r="K244" t="s">
        <v>14</v>
      </c>
      <c r="L244">
        <v>1</v>
      </c>
      <c r="M244">
        <v>0</v>
      </c>
    </row>
    <row r="245" spans="1:13">
      <c r="A245">
        <v>39</v>
      </c>
      <c r="B245">
        <v>2</v>
      </c>
      <c r="C245">
        <v>10</v>
      </c>
      <c r="D245" s="6" t="str">
        <f>VLOOKUP(Tabla13[[#This Row],[ID_PARTIDO]],Original!$AT$1:$AY$46,2,FALSE)</f>
        <v xml:space="preserve">Nicolas Navarro </v>
      </c>
      <c r="E245" s="6" t="str">
        <f>VLOOKUP(Tabla13[[#This Row],[ID_PARTIDO]],Original!$AT$1:$AY$46,3,FALSE)</f>
        <v xml:space="preserve">maria jose martinez villabona </v>
      </c>
      <c r="F245" s="6" t="str">
        <f>VLOOKUP(Tabla13[[#This Row],[ID_PARTIDO]],Original!$AT$1:$AY$46,4,FALSE)</f>
        <v>Maria Fernanda Tamayo Lopez</v>
      </c>
      <c r="G245" s="6" t="str">
        <f>VLOOKUP(Tabla13[[#This Row],[ID_PARTIDO]],Original!$AT$1:$AY$46,5,FALSE)</f>
        <v xml:space="preserve">Juan Pablo Vargas Jiménez </v>
      </c>
      <c r="H245" t="s">
        <v>14</v>
      </c>
      <c r="I245" t="s">
        <v>7</v>
      </c>
      <c r="J245" t="s">
        <v>7</v>
      </c>
      <c r="K245" t="s">
        <v>14</v>
      </c>
      <c r="L245">
        <v>1</v>
      </c>
      <c r="M245">
        <v>0</v>
      </c>
    </row>
    <row r="246" spans="1:13">
      <c r="A246">
        <v>39</v>
      </c>
      <c r="B246">
        <v>2</v>
      </c>
      <c r="C246">
        <v>11</v>
      </c>
      <c r="D246" s="6" t="str">
        <f>VLOOKUP(Tabla13[[#This Row],[ID_PARTIDO]],Original!$AT$1:$AY$46,2,FALSE)</f>
        <v xml:space="preserve">Nicolas Navarro </v>
      </c>
      <c r="E246" s="6" t="str">
        <f>VLOOKUP(Tabla13[[#This Row],[ID_PARTIDO]],Original!$AT$1:$AY$46,3,FALSE)</f>
        <v xml:space="preserve">maria jose martinez villabona </v>
      </c>
      <c r="F246" s="6" t="str">
        <f>VLOOKUP(Tabla13[[#This Row],[ID_PARTIDO]],Original!$AT$1:$AY$46,4,FALSE)</f>
        <v>Maria Fernanda Tamayo Lopez</v>
      </c>
      <c r="G246" s="6" t="str">
        <f>VLOOKUP(Tabla13[[#This Row],[ID_PARTIDO]],Original!$AT$1:$AY$46,5,FALSE)</f>
        <v xml:space="preserve">Juan Pablo Vargas Jiménez </v>
      </c>
      <c r="H246" t="s">
        <v>14</v>
      </c>
      <c r="I246" t="s">
        <v>7</v>
      </c>
      <c r="J246" t="s">
        <v>7</v>
      </c>
      <c r="K246" t="s">
        <v>14</v>
      </c>
      <c r="L246">
        <v>0</v>
      </c>
      <c r="M246">
        <v>1</v>
      </c>
    </row>
    <row r="247" spans="1:13">
      <c r="A247">
        <v>39</v>
      </c>
      <c r="B247">
        <v>2</v>
      </c>
      <c r="C247">
        <v>12</v>
      </c>
      <c r="D247" s="6" t="str">
        <f>VLOOKUP(Tabla13[[#This Row],[ID_PARTIDO]],Original!$AT$1:$AY$46,2,FALSE)</f>
        <v xml:space="preserve">Nicolas Navarro </v>
      </c>
      <c r="E247" s="6" t="str">
        <f>VLOOKUP(Tabla13[[#This Row],[ID_PARTIDO]],Original!$AT$1:$AY$46,3,FALSE)</f>
        <v xml:space="preserve">maria jose martinez villabona </v>
      </c>
      <c r="F247" s="6" t="str">
        <f>VLOOKUP(Tabla13[[#This Row],[ID_PARTIDO]],Original!$AT$1:$AY$46,4,FALSE)</f>
        <v>Maria Fernanda Tamayo Lopez</v>
      </c>
      <c r="G247" s="6" t="str">
        <f>VLOOKUP(Tabla13[[#This Row],[ID_PARTIDO]],Original!$AT$1:$AY$46,5,FALSE)</f>
        <v xml:space="preserve">Juan Pablo Vargas Jiménez </v>
      </c>
      <c r="H247" t="s">
        <v>14</v>
      </c>
      <c r="I247" t="s">
        <v>7</v>
      </c>
      <c r="J247" t="s">
        <v>7</v>
      </c>
      <c r="K247" t="s">
        <v>14</v>
      </c>
      <c r="L247">
        <v>0</v>
      </c>
      <c r="M247">
        <v>1</v>
      </c>
    </row>
    <row r="248" spans="1:13">
      <c r="A248">
        <v>39</v>
      </c>
      <c r="B248">
        <v>2</v>
      </c>
      <c r="C248">
        <v>13</v>
      </c>
      <c r="D248" s="6" t="str">
        <f>VLOOKUP(Tabla13[[#This Row],[ID_PARTIDO]],Original!$AT$1:$AY$46,2,FALSE)</f>
        <v xml:space="preserve">Nicolas Navarro </v>
      </c>
      <c r="E248" s="6" t="str">
        <f>VLOOKUP(Tabla13[[#This Row],[ID_PARTIDO]],Original!$AT$1:$AY$46,3,FALSE)</f>
        <v xml:space="preserve">maria jose martinez villabona </v>
      </c>
      <c r="F248" s="6" t="str">
        <f>VLOOKUP(Tabla13[[#This Row],[ID_PARTIDO]],Original!$AT$1:$AY$46,4,FALSE)</f>
        <v>Maria Fernanda Tamayo Lopez</v>
      </c>
      <c r="G248" s="6" t="str">
        <f>VLOOKUP(Tabla13[[#This Row],[ID_PARTIDO]],Original!$AT$1:$AY$46,5,FALSE)</f>
        <v xml:space="preserve">Juan Pablo Vargas Jiménez </v>
      </c>
      <c r="H248" t="s">
        <v>14</v>
      </c>
      <c r="I248" t="s">
        <v>7</v>
      </c>
      <c r="J248" t="s">
        <v>7</v>
      </c>
      <c r="K248" t="s">
        <v>14</v>
      </c>
      <c r="L248">
        <v>0</v>
      </c>
      <c r="M248">
        <v>1</v>
      </c>
    </row>
    <row r="249" spans="1:13">
      <c r="A249">
        <v>39</v>
      </c>
      <c r="B249">
        <v>2</v>
      </c>
      <c r="C249">
        <v>14</v>
      </c>
      <c r="D249" s="6" t="str">
        <f>VLOOKUP(Tabla13[[#This Row],[ID_PARTIDO]],Original!$AT$1:$AY$46,2,FALSE)</f>
        <v xml:space="preserve">Nicolas Navarro </v>
      </c>
      <c r="E249" s="6" t="str">
        <f>VLOOKUP(Tabla13[[#This Row],[ID_PARTIDO]],Original!$AT$1:$AY$46,3,FALSE)</f>
        <v xml:space="preserve">maria jose martinez villabona </v>
      </c>
      <c r="F249" s="6" t="str">
        <f>VLOOKUP(Tabla13[[#This Row],[ID_PARTIDO]],Original!$AT$1:$AY$46,4,FALSE)</f>
        <v>Maria Fernanda Tamayo Lopez</v>
      </c>
      <c r="G249" s="6" t="str">
        <f>VLOOKUP(Tabla13[[#This Row],[ID_PARTIDO]],Original!$AT$1:$AY$46,5,FALSE)</f>
        <v xml:space="preserve">Juan Pablo Vargas Jiménez </v>
      </c>
      <c r="H249" t="s">
        <v>14</v>
      </c>
      <c r="I249" t="s">
        <v>7</v>
      </c>
      <c r="J249" t="s">
        <v>7</v>
      </c>
      <c r="K249" t="s">
        <v>14</v>
      </c>
      <c r="L249">
        <v>0</v>
      </c>
      <c r="M24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4270-0AFB-4FE4-B6C5-BB689FF3CB87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365E-B69C-436C-BFDB-8A860F7FCC48}">
  <dimension ref="A1:M224"/>
  <sheetViews>
    <sheetView topLeftCell="A29" zoomScale="91" workbookViewId="0">
      <selection activeCell="A29" sqref="A29"/>
    </sheetView>
  </sheetViews>
  <sheetFormatPr defaultColWidth="10.85546875" defaultRowHeight="14.45"/>
  <cols>
    <col min="1" max="2" width="12.7109375" customWidth="1"/>
    <col min="3" max="3" width="11.28515625" customWidth="1"/>
    <col min="4" max="4" width="40.140625" customWidth="1"/>
    <col min="5" max="5" width="44.85546875" customWidth="1"/>
    <col min="6" max="6" width="49.140625" customWidth="1"/>
    <col min="7" max="7" width="23.7109375" customWidth="1"/>
    <col min="8" max="11" width="29.7109375" customWidth="1"/>
    <col min="12" max="13" width="21.7109375" bestFit="1" customWidth="1"/>
  </cols>
  <sheetData>
    <row r="1" spans="1:13">
      <c r="A1" s="3" t="s">
        <v>56</v>
      </c>
      <c r="B1" s="3" t="s">
        <v>0</v>
      </c>
      <c r="C1" s="3" t="s">
        <v>57</v>
      </c>
      <c r="D1" s="5" t="s">
        <v>45</v>
      </c>
      <c r="E1" s="5" t="s">
        <v>48</v>
      </c>
      <c r="F1" s="5" t="s">
        <v>50</v>
      </c>
      <c r="G1" s="5" t="s">
        <v>53</v>
      </c>
      <c r="H1" s="4" t="s">
        <v>46</v>
      </c>
      <c r="I1" s="4" t="s">
        <v>49</v>
      </c>
      <c r="J1" s="4" t="s">
        <v>51</v>
      </c>
      <c r="K1" s="4" t="s">
        <v>54</v>
      </c>
      <c r="L1" s="4" t="s">
        <v>58</v>
      </c>
      <c r="M1" s="4" t="s">
        <v>59</v>
      </c>
    </row>
    <row r="2" spans="1:13">
      <c r="A2">
        <v>27</v>
      </c>
      <c r="B2">
        <v>1</v>
      </c>
      <c r="C2">
        <v>1</v>
      </c>
      <c r="D2" s="6" t="str">
        <f>VLOOKUP(Tabla1[[#This Row],[ID_PARTIDO]],Original!$AT$1:$AY$46,2,FALSE)</f>
        <v>Nicole Lizarazo</v>
      </c>
      <c r="E2" s="6" t="str">
        <f>VLOOKUP(Tabla1[[#This Row],[ID_PARTIDO]],Original!$AT$1:$AY$46,3,FALSE)</f>
        <v>Valentina Alejandra Lopez Romero</v>
      </c>
      <c r="F2" s="6" t="str">
        <f>VLOOKUP(Tabla1[[#This Row],[ID_PARTIDO]],Original!$AT$1:$AY$46,4,FALSE)</f>
        <v>Luis Jorge Garcia Camargo</v>
      </c>
      <c r="G2" s="6" t="str">
        <f>VLOOKUP(Tabla1[[#This Row],[ID_PARTIDO]],Original!$AT$1:$AY$46,5,FALSE)</f>
        <v>Nikol sofia avendaño</v>
      </c>
      <c r="H2" t="s">
        <v>14</v>
      </c>
      <c r="I2" t="s">
        <v>7</v>
      </c>
      <c r="J2" t="s">
        <v>14</v>
      </c>
      <c r="K2" t="s">
        <v>7</v>
      </c>
      <c r="L2">
        <v>1</v>
      </c>
      <c r="M2">
        <v>0</v>
      </c>
    </row>
    <row r="3" spans="1:13">
      <c r="A3">
        <v>27</v>
      </c>
      <c r="B3">
        <v>1</v>
      </c>
      <c r="C3">
        <v>2</v>
      </c>
      <c r="D3" s="6" t="str">
        <f>VLOOKUP(Tabla1[[#This Row],[ID_PARTIDO]],Original!$AT$1:$AY$46,2,FALSE)</f>
        <v>Nicole Lizarazo</v>
      </c>
      <c r="E3" s="6" t="str">
        <f>VLOOKUP(Tabla1[[#This Row],[ID_PARTIDO]],Original!$AT$1:$AY$46,3,FALSE)</f>
        <v>Valentina Alejandra Lopez Romero</v>
      </c>
      <c r="F3" s="6" t="str">
        <f>VLOOKUP(Tabla1[[#This Row],[ID_PARTIDO]],Original!$AT$1:$AY$46,4,FALSE)</f>
        <v>Luis Jorge Garcia Camargo</v>
      </c>
      <c r="G3" s="6" t="str">
        <f>VLOOKUP(Tabla1[[#This Row],[ID_PARTIDO]],Original!$AT$1:$AY$46,5,FALSE)</f>
        <v>Nikol sofia avendaño</v>
      </c>
      <c r="H3" t="s">
        <v>14</v>
      </c>
      <c r="I3" t="s">
        <v>7</v>
      </c>
      <c r="J3" t="s">
        <v>14</v>
      </c>
      <c r="K3" t="s">
        <v>7</v>
      </c>
      <c r="L3">
        <v>0</v>
      </c>
      <c r="M3">
        <v>1</v>
      </c>
    </row>
    <row r="4" spans="1:13">
      <c r="A4">
        <v>27</v>
      </c>
      <c r="B4">
        <v>1</v>
      </c>
      <c r="C4">
        <v>3</v>
      </c>
      <c r="D4" s="6" t="str">
        <f>VLOOKUP(Tabla1[[#This Row],[ID_PARTIDO]],Original!$AT$1:$AY$46,2,FALSE)</f>
        <v>Nicole Lizarazo</v>
      </c>
      <c r="E4" s="6" t="str">
        <f>VLOOKUP(Tabla1[[#This Row],[ID_PARTIDO]],Original!$AT$1:$AY$46,3,FALSE)</f>
        <v>Valentina Alejandra Lopez Romero</v>
      </c>
      <c r="F4" s="6" t="str">
        <f>VLOOKUP(Tabla1[[#This Row],[ID_PARTIDO]],Original!$AT$1:$AY$46,4,FALSE)</f>
        <v>Luis Jorge Garcia Camargo</v>
      </c>
      <c r="G4" s="6" t="str">
        <f>VLOOKUP(Tabla1[[#This Row],[ID_PARTIDO]],Original!$AT$1:$AY$46,5,FALSE)</f>
        <v>Nikol sofia avendaño</v>
      </c>
      <c r="H4" t="s">
        <v>14</v>
      </c>
      <c r="I4" t="s">
        <v>7</v>
      </c>
      <c r="J4" t="s">
        <v>14</v>
      </c>
      <c r="K4" t="s">
        <v>7</v>
      </c>
      <c r="L4">
        <v>0</v>
      </c>
      <c r="M4">
        <v>1</v>
      </c>
    </row>
    <row r="5" spans="1:13">
      <c r="A5">
        <v>27</v>
      </c>
      <c r="B5">
        <v>1</v>
      </c>
      <c r="C5">
        <v>4</v>
      </c>
      <c r="D5" s="6" t="str">
        <f>VLOOKUP(Tabla1[[#This Row],[ID_PARTIDO]],Original!$AT$1:$AY$46,2,FALSE)</f>
        <v>Nicole Lizarazo</v>
      </c>
      <c r="E5" s="6" t="str">
        <f>VLOOKUP(Tabla1[[#This Row],[ID_PARTIDO]],Original!$AT$1:$AY$46,3,FALSE)</f>
        <v>Valentina Alejandra Lopez Romero</v>
      </c>
      <c r="F5" s="6" t="str">
        <f>VLOOKUP(Tabla1[[#This Row],[ID_PARTIDO]],Original!$AT$1:$AY$46,4,FALSE)</f>
        <v>Luis Jorge Garcia Camargo</v>
      </c>
      <c r="G5" s="6" t="str">
        <f>VLOOKUP(Tabla1[[#This Row],[ID_PARTIDO]],Original!$AT$1:$AY$46,5,FALSE)</f>
        <v>Nikol sofia avendaño</v>
      </c>
      <c r="H5" t="s">
        <v>14</v>
      </c>
      <c r="I5" t="s">
        <v>7</v>
      </c>
      <c r="J5" t="s">
        <v>14</v>
      </c>
      <c r="K5" t="s">
        <v>7</v>
      </c>
      <c r="L5">
        <v>1</v>
      </c>
      <c r="M5">
        <v>0</v>
      </c>
    </row>
    <row r="6" spans="1:13">
      <c r="A6">
        <v>27</v>
      </c>
      <c r="B6">
        <v>1</v>
      </c>
      <c r="C6">
        <v>5</v>
      </c>
      <c r="D6" s="6" t="str">
        <f>VLOOKUP(Tabla1[[#This Row],[ID_PARTIDO]],Original!$AT$1:$AY$46,2,FALSE)</f>
        <v>Nicole Lizarazo</v>
      </c>
      <c r="E6" s="6" t="str">
        <f>VLOOKUP(Tabla1[[#This Row],[ID_PARTIDO]],Original!$AT$1:$AY$46,3,FALSE)</f>
        <v>Valentina Alejandra Lopez Romero</v>
      </c>
      <c r="F6" s="6" t="str">
        <f>VLOOKUP(Tabla1[[#This Row],[ID_PARTIDO]],Original!$AT$1:$AY$46,4,FALSE)</f>
        <v>Luis Jorge Garcia Camargo</v>
      </c>
      <c r="G6" s="6" t="str">
        <f>VLOOKUP(Tabla1[[#This Row],[ID_PARTIDO]],Original!$AT$1:$AY$46,5,FALSE)</f>
        <v>Nikol sofia avendaño</v>
      </c>
      <c r="H6" t="s">
        <v>14</v>
      </c>
      <c r="I6" t="s">
        <v>7</v>
      </c>
      <c r="J6" t="s">
        <v>14</v>
      </c>
      <c r="K6" t="s">
        <v>7</v>
      </c>
      <c r="L6">
        <v>0</v>
      </c>
      <c r="M6">
        <v>1</v>
      </c>
    </row>
    <row r="7" spans="1:13">
      <c r="A7">
        <v>27</v>
      </c>
      <c r="B7">
        <v>1</v>
      </c>
      <c r="C7">
        <v>6</v>
      </c>
      <c r="D7" s="6" t="str">
        <f>VLOOKUP(Tabla1[[#This Row],[ID_PARTIDO]],Original!$AT$1:$AY$46,2,FALSE)</f>
        <v>Nicole Lizarazo</v>
      </c>
      <c r="E7" s="6" t="str">
        <f>VLOOKUP(Tabla1[[#This Row],[ID_PARTIDO]],Original!$AT$1:$AY$46,3,FALSE)</f>
        <v>Valentina Alejandra Lopez Romero</v>
      </c>
      <c r="F7" s="6" t="str">
        <f>VLOOKUP(Tabla1[[#This Row],[ID_PARTIDO]],Original!$AT$1:$AY$46,4,FALSE)</f>
        <v>Luis Jorge Garcia Camargo</v>
      </c>
      <c r="G7" s="6" t="str">
        <f>VLOOKUP(Tabla1[[#This Row],[ID_PARTIDO]],Original!$AT$1:$AY$46,5,FALSE)</f>
        <v>Nikol sofia avendaño</v>
      </c>
      <c r="H7" t="s">
        <v>14</v>
      </c>
      <c r="I7" t="s">
        <v>7</v>
      </c>
      <c r="J7" t="s">
        <v>14</v>
      </c>
      <c r="K7" t="s">
        <v>7</v>
      </c>
      <c r="L7">
        <v>1</v>
      </c>
      <c r="M7">
        <v>0</v>
      </c>
    </row>
    <row r="8" spans="1:13">
      <c r="A8">
        <v>27</v>
      </c>
      <c r="B8">
        <v>1</v>
      </c>
      <c r="C8">
        <v>7</v>
      </c>
      <c r="D8" s="6" t="str">
        <f>VLOOKUP(Tabla1[[#This Row],[ID_PARTIDO]],Original!$AT$1:$AY$46,2,FALSE)</f>
        <v>Nicole Lizarazo</v>
      </c>
      <c r="E8" s="6" t="str">
        <f>VLOOKUP(Tabla1[[#This Row],[ID_PARTIDO]],Original!$AT$1:$AY$46,3,FALSE)</f>
        <v>Valentina Alejandra Lopez Romero</v>
      </c>
      <c r="F8" s="6" t="str">
        <f>VLOOKUP(Tabla1[[#This Row],[ID_PARTIDO]],Original!$AT$1:$AY$46,4,FALSE)</f>
        <v>Luis Jorge Garcia Camargo</v>
      </c>
      <c r="G8" s="6" t="str">
        <f>VLOOKUP(Tabla1[[#This Row],[ID_PARTIDO]],Original!$AT$1:$AY$46,5,FALSE)</f>
        <v>Nikol sofia avendaño</v>
      </c>
      <c r="H8" t="s">
        <v>14</v>
      </c>
      <c r="I8" t="s">
        <v>7</v>
      </c>
      <c r="J8" t="s">
        <v>14</v>
      </c>
      <c r="K8" t="s">
        <v>7</v>
      </c>
      <c r="L8">
        <v>0</v>
      </c>
      <c r="M8">
        <v>1</v>
      </c>
    </row>
    <row r="9" spans="1:13">
      <c r="A9">
        <v>27</v>
      </c>
      <c r="B9">
        <v>1</v>
      </c>
      <c r="C9">
        <v>8</v>
      </c>
      <c r="D9" s="6" t="str">
        <f>VLOOKUP(Tabla1[[#This Row],[ID_PARTIDO]],Original!$AT$1:$AY$46,2,FALSE)</f>
        <v>Nicole Lizarazo</v>
      </c>
      <c r="E9" s="6" t="str">
        <f>VLOOKUP(Tabla1[[#This Row],[ID_PARTIDO]],Original!$AT$1:$AY$46,3,FALSE)</f>
        <v>Valentina Alejandra Lopez Romero</v>
      </c>
      <c r="F9" s="6" t="str">
        <f>VLOOKUP(Tabla1[[#This Row],[ID_PARTIDO]],Original!$AT$1:$AY$46,4,FALSE)</f>
        <v>Luis Jorge Garcia Camargo</v>
      </c>
      <c r="G9" s="6" t="str">
        <f>VLOOKUP(Tabla1[[#This Row],[ID_PARTIDO]],Original!$AT$1:$AY$46,5,FALSE)</f>
        <v>Nikol sofia avendaño</v>
      </c>
      <c r="H9" t="s">
        <v>14</v>
      </c>
      <c r="I9" t="s">
        <v>7</v>
      </c>
      <c r="J9" t="s">
        <v>14</v>
      </c>
      <c r="K9" t="s">
        <v>7</v>
      </c>
      <c r="L9">
        <v>1</v>
      </c>
      <c r="M9">
        <v>0</v>
      </c>
    </row>
    <row r="10" spans="1:13">
      <c r="A10">
        <v>27</v>
      </c>
      <c r="B10">
        <v>1</v>
      </c>
      <c r="C10">
        <v>9</v>
      </c>
      <c r="D10" s="6" t="str">
        <f>VLOOKUP(Tabla1[[#This Row],[ID_PARTIDO]],Original!$AT$1:$AY$46,2,FALSE)</f>
        <v>Nicole Lizarazo</v>
      </c>
      <c r="E10" s="6" t="str">
        <f>VLOOKUP(Tabla1[[#This Row],[ID_PARTIDO]],Original!$AT$1:$AY$46,3,FALSE)</f>
        <v>Valentina Alejandra Lopez Romero</v>
      </c>
      <c r="F10" s="6" t="str">
        <f>VLOOKUP(Tabla1[[#This Row],[ID_PARTIDO]],Original!$AT$1:$AY$46,4,FALSE)</f>
        <v>Luis Jorge Garcia Camargo</v>
      </c>
      <c r="G10" s="6" t="str">
        <f>VLOOKUP(Tabla1[[#This Row],[ID_PARTIDO]],Original!$AT$1:$AY$46,5,FALSE)</f>
        <v>Nikol sofia avendaño</v>
      </c>
      <c r="H10" t="s">
        <v>14</v>
      </c>
      <c r="I10" t="s">
        <v>7</v>
      </c>
      <c r="J10" t="s">
        <v>14</v>
      </c>
      <c r="K10" t="s">
        <v>7</v>
      </c>
      <c r="L10">
        <v>0</v>
      </c>
      <c r="M10">
        <v>1</v>
      </c>
    </row>
    <row r="11" spans="1:13">
      <c r="A11">
        <v>27</v>
      </c>
      <c r="B11">
        <v>1</v>
      </c>
      <c r="C11">
        <v>10</v>
      </c>
      <c r="D11" s="6" t="str">
        <f>VLOOKUP(Tabla1[[#This Row],[ID_PARTIDO]],Original!$AT$1:$AY$46,2,FALSE)</f>
        <v>Nicole Lizarazo</v>
      </c>
      <c r="E11" s="6" t="str">
        <f>VLOOKUP(Tabla1[[#This Row],[ID_PARTIDO]],Original!$AT$1:$AY$46,3,FALSE)</f>
        <v>Valentina Alejandra Lopez Romero</v>
      </c>
      <c r="F11" s="6" t="str">
        <f>VLOOKUP(Tabla1[[#This Row],[ID_PARTIDO]],Original!$AT$1:$AY$46,4,FALSE)</f>
        <v>Luis Jorge Garcia Camargo</v>
      </c>
      <c r="G11" s="6" t="str">
        <f>VLOOKUP(Tabla1[[#This Row],[ID_PARTIDO]],Original!$AT$1:$AY$46,5,FALSE)</f>
        <v>Nikol sofia avendaño</v>
      </c>
      <c r="H11" t="s">
        <v>14</v>
      </c>
      <c r="I11" t="s">
        <v>7</v>
      </c>
      <c r="J11" t="s">
        <v>14</v>
      </c>
      <c r="K11" t="s">
        <v>7</v>
      </c>
      <c r="L11">
        <v>1</v>
      </c>
      <c r="M11">
        <v>0</v>
      </c>
    </row>
    <row r="12" spans="1:13">
      <c r="A12">
        <v>27</v>
      </c>
      <c r="B12">
        <v>1</v>
      </c>
      <c r="C12">
        <v>11</v>
      </c>
      <c r="D12" s="6" t="str">
        <f>VLOOKUP(Tabla1[[#This Row],[ID_PARTIDO]],Original!$AT$1:$AY$46,2,FALSE)</f>
        <v>Nicole Lizarazo</v>
      </c>
      <c r="E12" s="6" t="str">
        <f>VLOOKUP(Tabla1[[#This Row],[ID_PARTIDO]],Original!$AT$1:$AY$46,3,FALSE)</f>
        <v>Valentina Alejandra Lopez Romero</v>
      </c>
      <c r="F12" s="6" t="str">
        <f>VLOOKUP(Tabla1[[#This Row],[ID_PARTIDO]],Original!$AT$1:$AY$46,4,FALSE)</f>
        <v>Luis Jorge Garcia Camargo</v>
      </c>
      <c r="G12" s="6" t="str">
        <f>VLOOKUP(Tabla1[[#This Row],[ID_PARTIDO]],Original!$AT$1:$AY$46,5,FALSE)</f>
        <v>Nikol sofia avendaño</v>
      </c>
      <c r="H12" t="s">
        <v>14</v>
      </c>
      <c r="I12" t="s">
        <v>7</v>
      </c>
      <c r="J12" t="s">
        <v>14</v>
      </c>
      <c r="K12" t="s">
        <v>7</v>
      </c>
      <c r="L12">
        <v>1</v>
      </c>
      <c r="M12">
        <v>0</v>
      </c>
    </row>
    <row r="13" spans="1:13">
      <c r="A13">
        <v>27</v>
      </c>
      <c r="B13">
        <v>1</v>
      </c>
      <c r="C13">
        <v>12</v>
      </c>
      <c r="D13" s="6" t="str">
        <f>VLOOKUP(Tabla1[[#This Row],[ID_PARTIDO]],Original!$AT$1:$AY$46,2,FALSE)</f>
        <v>Nicole Lizarazo</v>
      </c>
      <c r="E13" s="6" t="str">
        <f>VLOOKUP(Tabla1[[#This Row],[ID_PARTIDO]],Original!$AT$1:$AY$46,3,FALSE)</f>
        <v>Valentina Alejandra Lopez Romero</v>
      </c>
      <c r="F13" s="6" t="str">
        <f>VLOOKUP(Tabla1[[#This Row],[ID_PARTIDO]],Original!$AT$1:$AY$46,4,FALSE)</f>
        <v>Luis Jorge Garcia Camargo</v>
      </c>
      <c r="G13" s="6" t="str">
        <f>VLOOKUP(Tabla1[[#This Row],[ID_PARTIDO]],Original!$AT$1:$AY$46,5,FALSE)</f>
        <v>Nikol sofia avendaño</v>
      </c>
      <c r="H13" t="s">
        <v>14</v>
      </c>
      <c r="I13" t="s">
        <v>7</v>
      </c>
      <c r="J13" t="s">
        <v>14</v>
      </c>
      <c r="K13" t="s">
        <v>7</v>
      </c>
      <c r="L13">
        <v>1</v>
      </c>
      <c r="M13">
        <v>0</v>
      </c>
    </row>
    <row r="14" spans="1:13">
      <c r="A14">
        <v>3</v>
      </c>
      <c r="B14">
        <v>1</v>
      </c>
      <c r="C14">
        <v>1</v>
      </c>
      <c r="D14" s="6" t="str">
        <f>VLOOKUP(Tabla1[[#This Row],[ID_PARTIDO]],Original!$AT$1:$AY$46,2,FALSE)</f>
        <v xml:space="preserve">María José Cifuentes </v>
      </c>
      <c r="E14" s="6" t="str">
        <f>VLOOKUP(Tabla1[[#This Row],[ID_PARTIDO]],Original!$AT$1:$AY$46,3,FALSE)</f>
        <v>Santiago Urrego Rodríguez</v>
      </c>
      <c r="F14" s="6" t="str">
        <f>VLOOKUP(Tabla1[[#This Row],[ID_PARTIDO]],Original!$AT$1:$AY$46,4,FALSE)</f>
        <v xml:space="preserve">Jonatan Nicolas Marmolejo Lopez </v>
      </c>
      <c r="G14" s="8" t="str">
        <f>VLOOKUP(Tabla1[[#This Row],[ID_PARTIDO]],Original!$AT$1:$AY$46,5,FALSE)</f>
        <v>Fermin Alejandro Escalona Guillen</v>
      </c>
      <c r="H14" t="s">
        <v>7</v>
      </c>
      <c r="I14" t="s">
        <v>14</v>
      </c>
      <c r="J14" t="s">
        <v>14</v>
      </c>
      <c r="K14" t="s">
        <v>7</v>
      </c>
      <c r="L14">
        <v>1</v>
      </c>
      <c r="M14">
        <v>0</v>
      </c>
    </row>
    <row r="15" spans="1:13">
      <c r="A15">
        <v>3</v>
      </c>
      <c r="B15">
        <v>1</v>
      </c>
      <c r="C15">
        <v>2</v>
      </c>
      <c r="D15" s="6" t="str">
        <f>VLOOKUP(Tabla1[[#This Row],[ID_PARTIDO]],Original!$AT$1:$AY$46,2,FALSE)</f>
        <v xml:space="preserve">María José Cifuentes </v>
      </c>
      <c r="E15" s="6" t="str">
        <f>VLOOKUP(Tabla1[[#This Row],[ID_PARTIDO]],Original!$AT$1:$AY$46,3,FALSE)</f>
        <v>Santiago Urrego Rodríguez</v>
      </c>
      <c r="F15" s="6" t="str">
        <f>VLOOKUP(Tabla1[[#This Row],[ID_PARTIDO]],Original!$AT$1:$AY$46,4,FALSE)</f>
        <v xml:space="preserve">Jonatan Nicolas Marmolejo Lopez </v>
      </c>
      <c r="G15" s="6" t="str">
        <f>VLOOKUP(Tabla1[[#This Row],[ID_PARTIDO]],Original!$AT$1:$AY$46,5,FALSE)</f>
        <v>Fermin Alejandro Escalona Guillen</v>
      </c>
      <c r="H15" t="s">
        <v>7</v>
      </c>
      <c r="I15" t="s">
        <v>14</v>
      </c>
      <c r="J15" t="s">
        <v>14</v>
      </c>
      <c r="K15" t="s">
        <v>7</v>
      </c>
      <c r="L15">
        <v>1</v>
      </c>
      <c r="M15">
        <v>0</v>
      </c>
    </row>
    <row r="16" spans="1:13">
      <c r="A16">
        <v>3</v>
      </c>
      <c r="B16">
        <v>1</v>
      </c>
      <c r="C16">
        <v>3</v>
      </c>
      <c r="D16" s="6" t="str">
        <f>VLOOKUP(Tabla1[[#This Row],[ID_PARTIDO]],Original!$AT$1:$AY$46,2,FALSE)</f>
        <v xml:space="preserve">María José Cifuentes </v>
      </c>
      <c r="E16" s="6" t="str">
        <f>VLOOKUP(Tabla1[[#This Row],[ID_PARTIDO]],Original!$AT$1:$AY$46,3,FALSE)</f>
        <v>Santiago Urrego Rodríguez</v>
      </c>
      <c r="F16" s="6" t="str">
        <f>VLOOKUP(Tabla1[[#This Row],[ID_PARTIDO]],Original!$AT$1:$AY$46,4,FALSE)</f>
        <v xml:space="preserve">Jonatan Nicolas Marmolejo Lopez </v>
      </c>
      <c r="G16" s="6" t="str">
        <f>VLOOKUP(Tabla1[[#This Row],[ID_PARTIDO]],Original!$AT$1:$AY$46,5,FALSE)</f>
        <v>Fermin Alejandro Escalona Guillen</v>
      </c>
      <c r="H16" t="s">
        <v>7</v>
      </c>
      <c r="I16" t="s">
        <v>14</v>
      </c>
      <c r="J16" t="s">
        <v>14</v>
      </c>
      <c r="K16" t="s">
        <v>7</v>
      </c>
      <c r="L16">
        <v>1</v>
      </c>
      <c r="M16">
        <v>0</v>
      </c>
    </row>
    <row r="17" spans="1:13">
      <c r="A17">
        <v>3</v>
      </c>
      <c r="B17">
        <v>1</v>
      </c>
      <c r="C17">
        <v>4</v>
      </c>
      <c r="D17" s="6" t="str">
        <f>VLOOKUP(Tabla1[[#This Row],[ID_PARTIDO]],Original!$AT$1:$AY$46,2,FALSE)</f>
        <v xml:space="preserve">María José Cifuentes </v>
      </c>
      <c r="E17" s="6" t="str">
        <f>VLOOKUP(Tabla1[[#This Row],[ID_PARTIDO]],Original!$AT$1:$AY$46,3,FALSE)</f>
        <v>Santiago Urrego Rodríguez</v>
      </c>
      <c r="F17" s="6" t="str">
        <f>VLOOKUP(Tabla1[[#This Row],[ID_PARTIDO]],Original!$AT$1:$AY$46,4,FALSE)</f>
        <v xml:space="preserve">Jonatan Nicolas Marmolejo Lopez </v>
      </c>
      <c r="G17" s="6" t="str">
        <f>VLOOKUP(Tabla1[[#This Row],[ID_PARTIDO]],Original!$AT$1:$AY$46,5,FALSE)</f>
        <v>Fermin Alejandro Escalona Guillen</v>
      </c>
      <c r="H17" t="s">
        <v>7</v>
      </c>
      <c r="I17" t="s">
        <v>14</v>
      </c>
      <c r="J17" t="s">
        <v>14</v>
      </c>
      <c r="K17" t="s">
        <v>7</v>
      </c>
      <c r="L17">
        <v>0</v>
      </c>
      <c r="M17">
        <v>1</v>
      </c>
    </row>
    <row r="18" spans="1:13">
      <c r="A18">
        <v>3</v>
      </c>
      <c r="B18">
        <v>1</v>
      </c>
      <c r="C18">
        <v>5</v>
      </c>
      <c r="D18" s="6" t="str">
        <f>VLOOKUP(Tabla1[[#This Row],[ID_PARTIDO]],Original!$AT$1:$AY$46,2,FALSE)</f>
        <v xml:space="preserve">María José Cifuentes </v>
      </c>
      <c r="E18" s="6" t="str">
        <f>VLOOKUP(Tabla1[[#This Row],[ID_PARTIDO]],Original!$AT$1:$AY$46,3,FALSE)</f>
        <v>Santiago Urrego Rodríguez</v>
      </c>
      <c r="F18" s="6" t="str">
        <f>VLOOKUP(Tabla1[[#This Row],[ID_PARTIDO]],Original!$AT$1:$AY$46,4,FALSE)</f>
        <v xml:space="preserve">Jonatan Nicolas Marmolejo Lopez </v>
      </c>
      <c r="G18" s="6" t="str">
        <f>VLOOKUP(Tabla1[[#This Row],[ID_PARTIDO]],Original!$AT$1:$AY$46,5,FALSE)</f>
        <v>Fermin Alejandro Escalona Guillen</v>
      </c>
      <c r="H18" t="s">
        <v>7</v>
      </c>
      <c r="I18" t="s">
        <v>14</v>
      </c>
      <c r="J18" t="s">
        <v>14</v>
      </c>
      <c r="K18" t="s">
        <v>7</v>
      </c>
      <c r="L18">
        <v>0</v>
      </c>
      <c r="M18">
        <v>1</v>
      </c>
    </row>
    <row r="19" spans="1:13">
      <c r="A19">
        <v>3</v>
      </c>
      <c r="B19">
        <v>1</v>
      </c>
      <c r="C19">
        <v>6</v>
      </c>
      <c r="D19" s="6" t="str">
        <f>VLOOKUP(Tabla1[[#This Row],[ID_PARTIDO]],Original!$AT$1:$AY$46,2,FALSE)</f>
        <v xml:space="preserve">María José Cifuentes </v>
      </c>
      <c r="E19" s="6" t="str">
        <f>VLOOKUP(Tabla1[[#This Row],[ID_PARTIDO]],Original!$AT$1:$AY$46,3,FALSE)</f>
        <v>Santiago Urrego Rodríguez</v>
      </c>
      <c r="F19" s="6" t="str">
        <f>VLOOKUP(Tabla1[[#This Row],[ID_PARTIDO]],Original!$AT$1:$AY$46,4,FALSE)</f>
        <v xml:space="preserve">Jonatan Nicolas Marmolejo Lopez </v>
      </c>
      <c r="G19" s="6" t="str">
        <f>VLOOKUP(Tabla1[[#This Row],[ID_PARTIDO]],Original!$AT$1:$AY$46,5,FALSE)</f>
        <v>Fermin Alejandro Escalona Guillen</v>
      </c>
      <c r="H19" t="s">
        <v>7</v>
      </c>
      <c r="I19" t="s">
        <v>14</v>
      </c>
      <c r="J19" t="s">
        <v>14</v>
      </c>
      <c r="K19" t="s">
        <v>7</v>
      </c>
      <c r="L19">
        <v>0</v>
      </c>
      <c r="M19">
        <v>1</v>
      </c>
    </row>
    <row r="20" spans="1:13">
      <c r="A20">
        <v>3</v>
      </c>
      <c r="B20">
        <v>1</v>
      </c>
      <c r="C20">
        <v>7</v>
      </c>
      <c r="D20" s="6" t="str">
        <f>VLOOKUP(Tabla1[[#This Row],[ID_PARTIDO]],Original!$AT$1:$AY$46,2,FALSE)</f>
        <v xml:space="preserve">María José Cifuentes </v>
      </c>
      <c r="E20" s="6" t="str">
        <f>VLOOKUP(Tabla1[[#This Row],[ID_PARTIDO]],Original!$AT$1:$AY$46,3,FALSE)</f>
        <v>Santiago Urrego Rodríguez</v>
      </c>
      <c r="F20" s="6" t="str">
        <f>VLOOKUP(Tabla1[[#This Row],[ID_PARTIDO]],Original!$AT$1:$AY$46,4,FALSE)</f>
        <v xml:space="preserve">Jonatan Nicolas Marmolejo Lopez </v>
      </c>
      <c r="G20" s="6" t="str">
        <f>VLOOKUP(Tabla1[[#This Row],[ID_PARTIDO]],Original!$AT$1:$AY$46,5,FALSE)</f>
        <v>Fermin Alejandro Escalona Guillen</v>
      </c>
      <c r="H20" t="s">
        <v>7</v>
      </c>
      <c r="I20" t="s">
        <v>14</v>
      </c>
      <c r="J20" t="s">
        <v>14</v>
      </c>
      <c r="K20" t="s">
        <v>7</v>
      </c>
      <c r="L20">
        <v>1</v>
      </c>
      <c r="M20">
        <v>0</v>
      </c>
    </row>
    <row r="21" spans="1:13">
      <c r="A21">
        <v>3</v>
      </c>
      <c r="B21">
        <v>1</v>
      </c>
      <c r="C21">
        <v>8</v>
      </c>
      <c r="D21" s="6" t="str">
        <f>VLOOKUP(Tabla1[[#This Row],[ID_PARTIDO]],Original!$AT$1:$AY$46,2,FALSE)</f>
        <v xml:space="preserve">María José Cifuentes </v>
      </c>
      <c r="E21" s="6" t="str">
        <f>VLOOKUP(Tabla1[[#This Row],[ID_PARTIDO]],Original!$AT$1:$AY$46,3,FALSE)</f>
        <v>Santiago Urrego Rodríguez</v>
      </c>
      <c r="F21" s="6" t="str">
        <f>VLOOKUP(Tabla1[[#This Row],[ID_PARTIDO]],Original!$AT$1:$AY$46,4,FALSE)</f>
        <v xml:space="preserve">Jonatan Nicolas Marmolejo Lopez </v>
      </c>
      <c r="G21" s="6" t="str">
        <f>VLOOKUP(Tabla1[[#This Row],[ID_PARTIDO]],Original!$AT$1:$AY$46,5,FALSE)</f>
        <v>Fermin Alejandro Escalona Guillen</v>
      </c>
      <c r="H21" t="s">
        <v>7</v>
      </c>
      <c r="I21" t="s">
        <v>14</v>
      </c>
      <c r="J21" t="s">
        <v>14</v>
      </c>
      <c r="K21" t="s">
        <v>7</v>
      </c>
      <c r="L21">
        <v>1</v>
      </c>
      <c r="M21">
        <v>0</v>
      </c>
    </row>
    <row r="22" spans="1:13">
      <c r="A22">
        <v>3</v>
      </c>
      <c r="B22">
        <v>1</v>
      </c>
      <c r="C22">
        <v>9</v>
      </c>
      <c r="D22" s="6" t="str">
        <f>VLOOKUP(Tabla1[[#This Row],[ID_PARTIDO]],Original!$AT$1:$AY$46,2,FALSE)</f>
        <v xml:space="preserve">María José Cifuentes </v>
      </c>
      <c r="E22" s="6" t="str">
        <f>VLOOKUP(Tabla1[[#This Row],[ID_PARTIDO]],Original!$AT$1:$AY$46,3,FALSE)</f>
        <v>Santiago Urrego Rodríguez</v>
      </c>
      <c r="F22" s="6" t="str">
        <f>VLOOKUP(Tabla1[[#This Row],[ID_PARTIDO]],Original!$AT$1:$AY$46,4,FALSE)</f>
        <v xml:space="preserve">Jonatan Nicolas Marmolejo Lopez </v>
      </c>
      <c r="G22" s="6" t="str">
        <f>VLOOKUP(Tabla1[[#This Row],[ID_PARTIDO]],Original!$AT$1:$AY$46,5,FALSE)</f>
        <v>Fermin Alejandro Escalona Guillen</v>
      </c>
      <c r="H22" t="s">
        <v>7</v>
      </c>
      <c r="I22" t="s">
        <v>14</v>
      </c>
      <c r="J22" t="s">
        <v>14</v>
      </c>
      <c r="K22" t="s">
        <v>7</v>
      </c>
      <c r="L22">
        <v>0</v>
      </c>
      <c r="M22">
        <v>1</v>
      </c>
    </row>
    <row r="23" spans="1:13">
      <c r="A23">
        <v>3</v>
      </c>
      <c r="B23">
        <v>1</v>
      </c>
      <c r="C23">
        <v>10</v>
      </c>
      <c r="D23" s="6" t="str">
        <f>VLOOKUP(Tabla1[[#This Row],[ID_PARTIDO]],Original!$AT$1:$AY$46,2,FALSE)</f>
        <v xml:space="preserve">María José Cifuentes </v>
      </c>
      <c r="E23" s="6" t="str">
        <f>VLOOKUP(Tabla1[[#This Row],[ID_PARTIDO]],Original!$AT$1:$AY$46,3,FALSE)</f>
        <v>Santiago Urrego Rodríguez</v>
      </c>
      <c r="F23" s="6" t="str">
        <f>VLOOKUP(Tabla1[[#This Row],[ID_PARTIDO]],Original!$AT$1:$AY$46,4,FALSE)</f>
        <v xml:space="preserve">Jonatan Nicolas Marmolejo Lopez </v>
      </c>
      <c r="G23" s="6" t="str">
        <f>VLOOKUP(Tabla1[[#This Row],[ID_PARTIDO]],Original!$AT$1:$AY$46,5,FALSE)</f>
        <v>Fermin Alejandro Escalona Guillen</v>
      </c>
      <c r="H23" t="s">
        <v>7</v>
      </c>
      <c r="I23" t="s">
        <v>14</v>
      </c>
      <c r="J23" t="s">
        <v>14</v>
      </c>
      <c r="K23" t="s">
        <v>7</v>
      </c>
      <c r="L23">
        <v>0</v>
      </c>
      <c r="M23">
        <v>1</v>
      </c>
    </row>
    <row r="24" spans="1:13">
      <c r="A24">
        <v>3</v>
      </c>
      <c r="B24">
        <v>1</v>
      </c>
      <c r="C24">
        <v>11</v>
      </c>
      <c r="D24" s="6" t="str">
        <f>VLOOKUP(Tabla1[[#This Row],[ID_PARTIDO]],Original!$AT$1:$AY$46,2,FALSE)</f>
        <v xml:space="preserve">María José Cifuentes </v>
      </c>
      <c r="E24" s="6" t="str">
        <f>VLOOKUP(Tabla1[[#This Row],[ID_PARTIDO]],Original!$AT$1:$AY$46,3,FALSE)</f>
        <v>Santiago Urrego Rodríguez</v>
      </c>
      <c r="F24" s="6" t="str">
        <f>VLOOKUP(Tabla1[[#This Row],[ID_PARTIDO]],Original!$AT$1:$AY$46,4,FALSE)</f>
        <v xml:space="preserve">Jonatan Nicolas Marmolejo Lopez </v>
      </c>
      <c r="G24" s="6" t="str">
        <f>VLOOKUP(Tabla1[[#This Row],[ID_PARTIDO]],Original!$AT$1:$AY$46,5,FALSE)</f>
        <v>Fermin Alejandro Escalona Guillen</v>
      </c>
      <c r="H24" t="s">
        <v>7</v>
      </c>
      <c r="I24" t="s">
        <v>14</v>
      </c>
      <c r="J24" t="s">
        <v>14</v>
      </c>
      <c r="K24" t="s">
        <v>7</v>
      </c>
      <c r="L24">
        <v>0</v>
      </c>
      <c r="M24">
        <v>1</v>
      </c>
    </row>
    <row r="25" spans="1:13">
      <c r="A25">
        <v>3</v>
      </c>
      <c r="B25">
        <v>1</v>
      </c>
      <c r="C25">
        <v>12</v>
      </c>
      <c r="D25" s="6" t="str">
        <f>VLOOKUP(Tabla1[[#This Row],[ID_PARTIDO]],Original!$AT$1:$AY$46,2,FALSE)</f>
        <v xml:space="preserve">María José Cifuentes </v>
      </c>
      <c r="E25" s="6" t="str">
        <f>VLOOKUP(Tabla1[[#This Row],[ID_PARTIDO]],Original!$AT$1:$AY$46,3,FALSE)</f>
        <v>Santiago Urrego Rodríguez</v>
      </c>
      <c r="F25" s="6" t="str">
        <f>VLOOKUP(Tabla1[[#This Row],[ID_PARTIDO]],Original!$AT$1:$AY$46,4,FALSE)</f>
        <v xml:space="preserve">Jonatan Nicolas Marmolejo Lopez </v>
      </c>
      <c r="G25" s="6" t="str">
        <f>VLOOKUP(Tabla1[[#This Row],[ID_PARTIDO]],Original!$AT$1:$AY$46,5,FALSE)</f>
        <v>Fermin Alejandro Escalona Guillen</v>
      </c>
      <c r="H25" t="s">
        <v>7</v>
      </c>
      <c r="I25" t="s">
        <v>14</v>
      </c>
      <c r="J25" t="s">
        <v>14</v>
      </c>
      <c r="K25" t="s">
        <v>7</v>
      </c>
      <c r="L25">
        <v>0</v>
      </c>
      <c r="M25">
        <v>1</v>
      </c>
    </row>
    <row r="26" spans="1:13">
      <c r="A26">
        <v>9</v>
      </c>
      <c r="B26">
        <v>1</v>
      </c>
      <c r="C26">
        <v>1</v>
      </c>
      <c r="D26" s="6" t="str">
        <f>VLOOKUP(Tabla1[[#This Row],[ID_PARTIDO]],Original!$AT$1:$AY$46,2,FALSE)</f>
        <v xml:space="preserve">Santiago Gutiérrez de Piñeres Barbosa  </v>
      </c>
      <c r="E26" s="6" t="str">
        <f>VLOOKUP(Tabla1[[#This Row],[ID_PARTIDO]],Original!$AT$1:$AY$46,3,FALSE)</f>
        <v>Santiago Peña Beltran</v>
      </c>
      <c r="F26" s="6" t="str">
        <f>VLOOKUP(Tabla1[[#This Row],[ID_PARTIDO]],Original!$AT$1:$AY$46,4,FALSE)</f>
        <v>Tomas Barrios Guevara</v>
      </c>
      <c r="G26" s="6" t="str">
        <f>VLOOKUP(Tabla1[[#This Row],[ID_PARTIDO]],Original!$AT$1:$AY$46,5,FALSE)</f>
        <v>César Camilo Díaz Cufiño</v>
      </c>
      <c r="H26" t="s">
        <v>14</v>
      </c>
      <c r="I26" t="s">
        <v>7</v>
      </c>
      <c r="J26" t="s">
        <v>14</v>
      </c>
      <c r="K26" t="s">
        <v>7</v>
      </c>
      <c r="L26" t="s">
        <v>65</v>
      </c>
      <c r="M26">
        <v>0</v>
      </c>
    </row>
    <row r="27" spans="1:13">
      <c r="A27">
        <v>9</v>
      </c>
      <c r="B27">
        <v>1</v>
      </c>
      <c r="C27">
        <v>2</v>
      </c>
      <c r="D27" s="6" t="str">
        <f>VLOOKUP(Tabla1[[#This Row],[ID_PARTIDO]],Original!$AT$1:$AY$46,2,FALSE)</f>
        <v xml:space="preserve">Santiago Gutiérrez de Piñeres Barbosa  </v>
      </c>
      <c r="E27" s="6" t="str">
        <f>VLOOKUP(Tabla1[[#This Row],[ID_PARTIDO]],Original!$AT$1:$AY$46,3,FALSE)</f>
        <v>Santiago Peña Beltran</v>
      </c>
      <c r="F27" s="6" t="str">
        <f>VLOOKUP(Tabla1[[#This Row],[ID_PARTIDO]],Original!$AT$1:$AY$46,4,FALSE)</f>
        <v>Tomas Barrios Guevara</v>
      </c>
      <c r="G27" s="6" t="str">
        <f>VLOOKUP(Tabla1[[#This Row],[ID_PARTIDO]],Original!$AT$1:$AY$46,5,FALSE)</f>
        <v>César Camilo Díaz Cufiño</v>
      </c>
      <c r="H27" t="s">
        <v>14</v>
      </c>
      <c r="I27" t="s">
        <v>7</v>
      </c>
      <c r="J27" t="s">
        <v>14</v>
      </c>
      <c r="K27" t="s">
        <v>7</v>
      </c>
      <c r="L27">
        <v>0</v>
      </c>
      <c r="M27">
        <v>1</v>
      </c>
    </row>
    <row r="28" spans="1:13">
      <c r="A28">
        <v>9</v>
      </c>
      <c r="B28">
        <v>1</v>
      </c>
      <c r="C28">
        <v>3</v>
      </c>
      <c r="D28" s="6" t="str">
        <f>VLOOKUP(Tabla1[[#This Row],[ID_PARTIDO]],Original!$AT$1:$AY$46,2,FALSE)</f>
        <v xml:space="preserve">Santiago Gutiérrez de Piñeres Barbosa  </v>
      </c>
      <c r="E28" s="6" t="str">
        <f>VLOOKUP(Tabla1[[#This Row],[ID_PARTIDO]],Original!$AT$1:$AY$46,3,FALSE)</f>
        <v>Santiago Peña Beltran</v>
      </c>
      <c r="F28" s="6" t="str">
        <f>VLOOKUP(Tabla1[[#This Row],[ID_PARTIDO]],Original!$AT$1:$AY$46,4,FALSE)</f>
        <v>Tomas Barrios Guevara</v>
      </c>
      <c r="G28" s="6" t="str">
        <f>VLOOKUP(Tabla1[[#This Row],[ID_PARTIDO]],Original!$AT$1:$AY$46,5,FALSE)</f>
        <v>César Camilo Díaz Cufiño</v>
      </c>
      <c r="H28" t="s">
        <v>14</v>
      </c>
      <c r="I28" t="s">
        <v>7</v>
      </c>
      <c r="J28" t="s">
        <v>14</v>
      </c>
      <c r="K28" t="s">
        <v>7</v>
      </c>
      <c r="L28">
        <v>1</v>
      </c>
      <c r="M28">
        <v>0</v>
      </c>
    </row>
    <row r="29" spans="1:13">
      <c r="A29">
        <v>9</v>
      </c>
      <c r="B29">
        <v>1</v>
      </c>
      <c r="C29">
        <v>4</v>
      </c>
      <c r="D29" s="6" t="str">
        <f>VLOOKUP(Tabla1[[#This Row],[ID_PARTIDO]],Original!$AT$1:$AY$46,2,FALSE)</f>
        <v xml:space="preserve">Santiago Gutiérrez de Piñeres Barbosa  </v>
      </c>
      <c r="E29" s="6" t="str">
        <f>VLOOKUP(Tabla1[[#This Row],[ID_PARTIDO]],Original!$AT$1:$AY$46,3,FALSE)</f>
        <v>Santiago Peña Beltran</v>
      </c>
      <c r="F29" s="6" t="str">
        <f>VLOOKUP(Tabla1[[#This Row],[ID_PARTIDO]],Original!$AT$1:$AY$46,4,FALSE)</f>
        <v>Tomas Barrios Guevara</v>
      </c>
      <c r="G29" s="6" t="str">
        <f>VLOOKUP(Tabla1[[#This Row],[ID_PARTIDO]],Original!$AT$1:$AY$46,5,FALSE)</f>
        <v>César Camilo Díaz Cufiño</v>
      </c>
      <c r="H29" t="s">
        <v>14</v>
      </c>
      <c r="I29" t="s">
        <v>7</v>
      </c>
      <c r="J29" t="s">
        <v>14</v>
      </c>
      <c r="K29" t="s">
        <v>7</v>
      </c>
      <c r="L29">
        <v>0</v>
      </c>
      <c r="M29">
        <v>1</v>
      </c>
    </row>
    <row r="30" spans="1:13">
      <c r="A30">
        <v>9</v>
      </c>
      <c r="B30">
        <v>1</v>
      </c>
      <c r="C30">
        <v>5</v>
      </c>
      <c r="D30" s="6" t="str">
        <f>VLOOKUP(Tabla1[[#This Row],[ID_PARTIDO]],Original!$AT$1:$AY$46,2,FALSE)</f>
        <v xml:space="preserve">Santiago Gutiérrez de Piñeres Barbosa  </v>
      </c>
      <c r="E30" s="6" t="str">
        <f>VLOOKUP(Tabla1[[#This Row],[ID_PARTIDO]],Original!$AT$1:$AY$46,3,FALSE)</f>
        <v>Santiago Peña Beltran</v>
      </c>
      <c r="F30" s="6" t="str">
        <f>VLOOKUP(Tabla1[[#This Row],[ID_PARTIDO]],Original!$AT$1:$AY$46,4,FALSE)</f>
        <v>Tomas Barrios Guevara</v>
      </c>
      <c r="G30" s="6" t="str">
        <f>VLOOKUP(Tabla1[[#This Row],[ID_PARTIDO]],Original!$AT$1:$AY$46,5,FALSE)</f>
        <v>César Camilo Díaz Cufiño</v>
      </c>
      <c r="H30" t="s">
        <v>14</v>
      </c>
      <c r="I30" t="s">
        <v>7</v>
      </c>
      <c r="J30" t="s">
        <v>14</v>
      </c>
      <c r="K30" t="s">
        <v>7</v>
      </c>
      <c r="L30">
        <v>1</v>
      </c>
      <c r="M30">
        <v>0</v>
      </c>
    </row>
    <row r="31" spans="1:13">
      <c r="A31">
        <v>9</v>
      </c>
      <c r="B31">
        <v>1</v>
      </c>
      <c r="C31">
        <v>6</v>
      </c>
      <c r="D31" s="6" t="str">
        <f>VLOOKUP(Tabla1[[#This Row],[ID_PARTIDO]],Original!$AT$1:$AY$46,2,FALSE)</f>
        <v xml:space="preserve">Santiago Gutiérrez de Piñeres Barbosa  </v>
      </c>
      <c r="E31" s="6" t="str">
        <f>VLOOKUP(Tabla1[[#This Row],[ID_PARTIDO]],Original!$AT$1:$AY$46,3,FALSE)</f>
        <v>Santiago Peña Beltran</v>
      </c>
      <c r="F31" s="6" t="str">
        <f>VLOOKUP(Tabla1[[#This Row],[ID_PARTIDO]],Original!$AT$1:$AY$46,4,FALSE)</f>
        <v>Tomas Barrios Guevara</v>
      </c>
      <c r="G31" s="6" t="str">
        <f>VLOOKUP(Tabla1[[#This Row],[ID_PARTIDO]],Original!$AT$1:$AY$46,5,FALSE)</f>
        <v>César Camilo Díaz Cufiño</v>
      </c>
      <c r="H31" t="s">
        <v>14</v>
      </c>
      <c r="I31" t="s">
        <v>7</v>
      </c>
      <c r="J31" t="s">
        <v>14</v>
      </c>
      <c r="K31" t="s">
        <v>7</v>
      </c>
      <c r="L31">
        <v>0</v>
      </c>
      <c r="M31">
        <v>1</v>
      </c>
    </row>
    <row r="32" spans="1:13">
      <c r="A32">
        <v>9</v>
      </c>
      <c r="B32">
        <v>1</v>
      </c>
      <c r="C32">
        <v>7</v>
      </c>
      <c r="D32" s="6" t="str">
        <f>VLOOKUP(Tabla1[[#This Row],[ID_PARTIDO]],Original!$AT$1:$AY$46,2,FALSE)</f>
        <v xml:space="preserve">Santiago Gutiérrez de Piñeres Barbosa  </v>
      </c>
      <c r="E32" s="6" t="str">
        <f>VLOOKUP(Tabla1[[#This Row],[ID_PARTIDO]],Original!$AT$1:$AY$46,3,FALSE)</f>
        <v>Santiago Peña Beltran</v>
      </c>
      <c r="F32" s="6" t="str">
        <f>VLOOKUP(Tabla1[[#This Row],[ID_PARTIDO]],Original!$AT$1:$AY$46,4,FALSE)</f>
        <v>Tomas Barrios Guevara</v>
      </c>
      <c r="G32" s="6" t="str">
        <f>VLOOKUP(Tabla1[[#This Row],[ID_PARTIDO]],Original!$AT$1:$AY$46,5,FALSE)</f>
        <v>César Camilo Díaz Cufiño</v>
      </c>
      <c r="H32" t="s">
        <v>14</v>
      </c>
      <c r="I32" t="s">
        <v>7</v>
      </c>
      <c r="J32" t="s">
        <v>14</v>
      </c>
      <c r="K32" t="s">
        <v>7</v>
      </c>
      <c r="L32">
        <v>1</v>
      </c>
      <c r="M32">
        <v>0</v>
      </c>
    </row>
    <row r="33" spans="1:13">
      <c r="A33">
        <v>9</v>
      </c>
      <c r="B33">
        <v>1</v>
      </c>
      <c r="C33">
        <v>8</v>
      </c>
      <c r="D33" s="6" t="str">
        <f>VLOOKUP(Tabla1[[#This Row],[ID_PARTIDO]],Original!$AT$1:$AY$46,2,FALSE)</f>
        <v xml:space="preserve">Santiago Gutiérrez de Piñeres Barbosa  </v>
      </c>
      <c r="E33" s="6" t="str">
        <f>VLOOKUP(Tabla1[[#This Row],[ID_PARTIDO]],Original!$AT$1:$AY$46,3,FALSE)</f>
        <v>Santiago Peña Beltran</v>
      </c>
      <c r="F33" s="6" t="str">
        <f>VLOOKUP(Tabla1[[#This Row],[ID_PARTIDO]],Original!$AT$1:$AY$46,4,FALSE)</f>
        <v>Tomas Barrios Guevara</v>
      </c>
      <c r="G33" s="6" t="str">
        <f>VLOOKUP(Tabla1[[#This Row],[ID_PARTIDO]],Original!$AT$1:$AY$46,5,FALSE)</f>
        <v>César Camilo Díaz Cufiño</v>
      </c>
      <c r="H33" t="s">
        <v>14</v>
      </c>
      <c r="I33" t="s">
        <v>7</v>
      </c>
      <c r="J33" t="s">
        <v>14</v>
      </c>
      <c r="K33" t="s">
        <v>7</v>
      </c>
      <c r="L33">
        <v>1</v>
      </c>
      <c r="M33">
        <v>0</v>
      </c>
    </row>
    <row r="34" spans="1:13">
      <c r="A34">
        <v>9</v>
      </c>
      <c r="B34">
        <v>1</v>
      </c>
      <c r="C34">
        <v>9</v>
      </c>
      <c r="D34" s="6" t="str">
        <f>VLOOKUP(Tabla1[[#This Row],[ID_PARTIDO]],Original!$AT$1:$AY$46,2,FALSE)</f>
        <v xml:space="preserve">Santiago Gutiérrez de Piñeres Barbosa  </v>
      </c>
      <c r="E34" s="6" t="str">
        <f>VLOOKUP(Tabla1[[#This Row],[ID_PARTIDO]],Original!$AT$1:$AY$46,3,FALSE)</f>
        <v>Santiago Peña Beltran</v>
      </c>
      <c r="F34" s="6" t="str">
        <f>VLOOKUP(Tabla1[[#This Row],[ID_PARTIDO]],Original!$AT$1:$AY$46,4,FALSE)</f>
        <v>Tomas Barrios Guevara</v>
      </c>
      <c r="G34" s="6" t="str">
        <f>VLOOKUP(Tabla1[[#This Row],[ID_PARTIDO]],Original!$AT$1:$AY$46,5,FALSE)</f>
        <v>César Camilo Díaz Cufiño</v>
      </c>
      <c r="H34" t="s">
        <v>14</v>
      </c>
      <c r="I34" t="s">
        <v>7</v>
      </c>
      <c r="J34" t="s">
        <v>14</v>
      </c>
      <c r="K34" t="s">
        <v>7</v>
      </c>
      <c r="L34">
        <v>1</v>
      </c>
      <c r="M34">
        <v>0</v>
      </c>
    </row>
    <row r="35" spans="1:13">
      <c r="A35">
        <v>9</v>
      </c>
      <c r="B35">
        <v>1</v>
      </c>
      <c r="C35">
        <v>10</v>
      </c>
      <c r="D35" s="6" t="str">
        <f>VLOOKUP(Tabla1[[#This Row],[ID_PARTIDO]],Original!$AT$1:$AY$46,2,FALSE)</f>
        <v xml:space="preserve">Santiago Gutiérrez de Piñeres Barbosa  </v>
      </c>
      <c r="E35" s="6" t="str">
        <f>VLOOKUP(Tabla1[[#This Row],[ID_PARTIDO]],Original!$AT$1:$AY$46,3,FALSE)</f>
        <v>Santiago Peña Beltran</v>
      </c>
      <c r="F35" s="6" t="str">
        <f>VLOOKUP(Tabla1[[#This Row],[ID_PARTIDO]],Original!$AT$1:$AY$46,4,FALSE)</f>
        <v>Tomas Barrios Guevara</v>
      </c>
      <c r="G35" s="6" t="str">
        <f>VLOOKUP(Tabla1[[#This Row],[ID_PARTIDO]],Original!$AT$1:$AY$46,5,FALSE)</f>
        <v>César Camilo Díaz Cufiño</v>
      </c>
      <c r="H35" t="s">
        <v>14</v>
      </c>
      <c r="I35" t="s">
        <v>7</v>
      </c>
      <c r="J35" t="s">
        <v>14</v>
      </c>
      <c r="K35" t="s">
        <v>7</v>
      </c>
      <c r="L35">
        <v>0</v>
      </c>
      <c r="M35">
        <v>1</v>
      </c>
    </row>
    <row r="36" spans="1:13">
      <c r="A36">
        <v>9</v>
      </c>
      <c r="B36">
        <v>1</v>
      </c>
      <c r="C36">
        <v>11</v>
      </c>
      <c r="D36" s="6" t="str">
        <f>VLOOKUP(Tabla1[[#This Row],[ID_PARTIDO]],Original!$AT$1:$AY$46,2,FALSE)</f>
        <v xml:space="preserve">Santiago Gutiérrez de Piñeres Barbosa  </v>
      </c>
      <c r="E36" s="6" t="str">
        <f>VLOOKUP(Tabla1[[#This Row],[ID_PARTIDO]],Original!$AT$1:$AY$46,3,FALSE)</f>
        <v>Santiago Peña Beltran</v>
      </c>
      <c r="F36" s="6" t="str">
        <f>VLOOKUP(Tabla1[[#This Row],[ID_PARTIDO]],Original!$AT$1:$AY$46,4,FALSE)</f>
        <v>Tomas Barrios Guevara</v>
      </c>
      <c r="G36" s="6" t="str">
        <f>VLOOKUP(Tabla1[[#This Row],[ID_PARTIDO]],Original!$AT$1:$AY$46,5,FALSE)</f>
        <v>César Camilo Díaz Cufiño</v>
      </c>
      <c r="H36" t="s">
        <v>14</v>
      </c>
      <c r="I36" t="s">
        <v>7</v>
      </c>
      <c r="J36" t="s">
        <v>14</v>
      </c>
      <c r="K36" t="s">
        <v>7</v>
      </c>
      <c r="L36">
        <v>0</v>
      </c>
      <c r="M36">
        <v>1</v>
      </c>
    </row>
    <row r="37" spans="1:13">
      <c r="A37">
        <v>9</v>
      </c>
      <c r="B37">
        <v>1</v>
      </c>
      <c r="C37">
        <v>12</v>
      </c>
      <c r="D37" s="6" t="str">
        <f>VLOOKUP(Tabla1[[#This Row],[ID_PARTIDO]],Original!$AT$1:$AY$46,2,FALSE)</f>
        <v xml:space="preserve">Santiago Gutiérrez de Piñeres Barbosa  </v>
      </c>
      <c r="E37" s="6" t="str">
        <f>VLOOKUP(Tabla1[[#This Row],[ID_PARTIDO]],Original!$AT$1:$AY$46,3,FALSE)</f>
        <v>Santiago Peña Beltran</v>
      </c>
      <c r="F37" s="6" t="str">
        <f>VLOOKUP(Tabla1[[#This Row],[ID_PARTIDO]],Original!$AT$1:$AY$46,4,FALSE)</f>
        <v>Tomas Barrios Guevara</v>
      </c>
      <c r="G37" s="6" t="str">
        <f>VLOOKUP(Tabla1[[#This Row],[ID_PARTIDO]],Original!$AT$1:$AY$46,5,FALSE)</f>
        <v>César Camilo Díaz Cufiño</v>
      </c>
      <c r="H37" t="s">
        <v>14</v>
      </c>
      <c r="I37" t="s">
        <v>7</v>
      </c>
      <c r="J37" t="s">
        <v>14</v>
      </c>
      <c r="K37" t="s">
        <v>7</v>
      </c>
      <c r="L37">
        <v>1</v>
      </c>
      <c r="M37">
        <v>0</v>
      </c>
    </row>
    <row r="38" spans="1:13">
      <c r="A38">
        <v>29</v>
      </c>
      <c r="B38">
        <v>1</v>
      </c>
      <c r="C38">
        <v>1</v>
      </c>
      <c r="D38" s="6" t="str">
        <f>VLOOKUP(Tabla1[[#This Row],[ID_PARTIDO]],Original!$AT$1:$AY$46,2,FALSE)</f>
        <v>Andrea Julieth Sosa Rodriguez</v>
      </c>
      <c r="E38" s="6" t="str">
        <f>VLOOKUP(Tabla1[[#This Row],[ID_PARTIDO]],Original!$AT$1:$AY$46,3,FALSE)</f>
        <v>Nicole Lizarazo</v>
      </c>
      <c r="F38" s="6" t="str">
        <f>VLOOKUP(Tabla1[[#This Row],[ID_PARTIDO]],Original!$AT$1:$AY$46,4,FALSE)</f>
        <v>Valentina Jimenez Gomez</v>
      </c>
      <c r="G38" s="6" t="str">
        <f>VLOOKUP(Tabla1[[#This Row],[ID_PARTIDO]],Original!$AT$1:$AY$46,5,FALSE)</f>
        <v>Luis Jorge Garcia Camargo</v>
      </c>
      <c r="H38" t="s">
        <v>7</v>
      </c>
      <c r="I38" t="s">
        <v>14</v>
      </c>
      <c r="J38" t="s">
        <v>14</v>
      </c>
      <c r="K38" t="s">
        <v>7</v>
      </c>
      <c r="L38">
        <v>1</v>
      </c>
      <c r="M38">
        <v>0</v>
      </c>
    </row>
    <row r="39" spans="1:13">
      <c r="A39">
        <v>29</v>
      </c>
      <c r="B39">
        <v>1</v>
      </c>
      <c r="C39">
        <v>2</v>
      </c>
      <c r="D39" s="6" t="str">
        <f>VLOOKUP(Tabla1[[#This Row],[ID_PARTIDO]],Original!$AT$1:$AY$46,2,FALSE)</f>
        <v>Andrea Julieth Sosa Rodriguez</v>
      </c>
      <c r="E39" s="6" t="str">
        <f>VLOOKUP(Tabla1[[#This Row],[ID_PARTIDO]],Original!$AT$1:$AY$46,3,FALSE)</f>
        <v>Nicole Lizarazo</v>
      </c>
      <c r="F39" s="6" t="str">
        <f>VLOOKUP(Tabla1[[#This Row],[ID_PARTIDO]],Original!$AT$1:$AY$46,4,FALSE)</f>
        <v>Valentina Jimenez Gomez</v>
      </c>
      <c r="G39" s="6" t="str">
        <f>VLOOKUP(Tabla1[[#This Row],[ID_PARTIDO]],Original!$AT$1:$AY$46,5,FALSE)</f>
        <v>Luis Jorge Garcia Camargo</v>
      </c>
      <c r="H39" t="s">
        <v>7</v>
      </c>
      <c r="I39" t="s">
        <v>14</v>
      </c>
      <c r="J39" t="s">
        <v>14</v>
      </c>
      <c r="K39" t="s">
        <v>7</v>
      </c>
      <c r="L39">
        <v>1</v>
      </c>
      <c r="M39">
        <v>0</v>
      </c>
    </row>
    <row r="40" spans="1:13">
      <c r="A40">
        <v>29</v>
      </c>
      <c r="B40">
        <v>1</v>
      </c>
      <c r="C40">
        <v>3</v>
      </c>
      <c r="D40" s="6" t="str">
        <f>VLOOKUP(Tabla1[[#This Row],[ID_PARTIDO]],Original!$AT$1:$AY$46,2,FALSE)</f>
        <v>Andrea Julieth Sosa Rodriguez</v>
      </c>
      <c r="E40" s="6" t="str">
        <f>VLOOKUP(Tabla1[[#This Row],[ID_PARTIDO]],Original!$AT$1:$AY$46,3,FALSE)</f>
        <v>Nicole Lizarazo</v>
      </c>
      <c r="F40" s="6" t="str">
        <f>VLOOKUP(Tabla1[[#This Row],[ID_PARTIDO]],Original!$AT$1:$AY$46,4,FALSE)</f>
        <v>Valentina Jimenez Gomez</v>
      </c>
      <c r="G40" s="6" t="str">
        <f>VLOOKUP(Tabla1[[#This Row],[ID_PARTIDO]],Original!$AT$1:$AY$46,5,FALSE)</f>
        <v>Luis Jorge Garcia Camargo</v>
      </c>
      <c r="H40" t="s">
        <v>7</v>
      </c>
      <c r="I40" t="s">
        <v>14</v>
      </c>
      <c r="J40" t="s">
        <v>14</v>
      </c>
      <c r="K40" t="s">
        <v>7</v>
      </c>
      <c r="L40">
        <v>0</v>
      </c>
      <c r="M40">
        <v>1</v>
      </c>
    </row>
    <row r="41" spans="1:13">
      <c r="A41">
        <v>29</v>
      </c>
      <c r="B41">
        <v>1</v>
      </c>
      <c r="C41">
        <v>4</v>
      </c>
      <c r="D41" s="6" t="str">
        <f>VLOOKUP(Tabla1[[#This Row],[ID_PARTIDO]],Original!$AT$1:$AY$46,2,FALSE)</f>
        <v>Andrea Julieth Sosa Rodriguez</v>
      </c>
      <c r="E41" s="6" t="str">
        <f>VLOOKUP(Tabla1[[#This Row],[ID_PARTIDO]],Original!$AT$1:$AY$46,3,FALSE)</f>
        <v>Nicole Lizarazo</v>
      </c>
      <c r="F41" s="6" t="str">
        <f>VLOOKUP(Tabla1[[#This Row],[ID_PARTIDO]],Original!$AT$1:$AY$46,4,FALSE)</f>
        <v>Valentina Jimenez Gomez</v>
      </c>
      <c r="G41" s="6" t="str">
        <f>VLOOKUP(Tabla1[[#This Row],[ID_PARTIDO]],Original!$AT$1:$AY$46,5,FALSE)</f>
        <v>Luis Jorge Garcia Camargo</v>
      </c>
      <c r="H41" t="s">
        <v>7</v>
      </c>
      <c r="I41" t="s">
        <v>14</v>
      </c>
      <c r="J41" t="s">
        <v>14</v>
      </c>
      <c r="K41" t="s">
        <v>7</v>
      </c>
      <c r="L41">
        <v>1</v>
      </c>
      <c r="M41">
        <v>0</v>
      </c>
    </row>
    <row r="42" spans="1:13">
      <c r="A42">
        <v>29</v>
      </c>
      <c r="B42">
        <v>1</v>
      </c>
      <c r="C42">
        <v>5</v>
      </c>
      <c r="D42" s="6" t="str">
        <f>VLOOKUP(Tabla1[[#This Row],[ID_PARTIDO]],Original!$AT$1:$AY$46,2,FALSE)</f>
        <v>Andrea Julieth Sosa Rodriguez</v>
      </c>
      <c r="E42" s="6" t="str">
        <f>VLOOKUP(Tabla1[[#This Row],[ID_PARTIDO]],Original!$AT$1:$AY$46,3,FALSE)</f>
        <v>Nicole Lizarazo</v>
      </c>
      <c r="F42" s="6" t="str">
        <f>VLOOKUP(Tabla1[[#This Row],[ID_PARTIDO]],Original!$AT$1:$AY$46,4,FALSE)</f>
        <v>Valentina Jimenez Gomez</v>
      </c>
      <c r="G42" s="6" t="str">
        <f>VLOOKUP(Tabla1[[#This Row],[ID_PARTIDO]],Original!$AT$1:$AY$46,5,FALSE)</f>
        <v>Luis Jorge Garcia Camargo</v>
      </c>
      <c r="H42" t="s">
        <v>7</v>
      </c>
      <c r="I42" t="s">
        <v>14</v>
      </c>
      <c r="J42" t="s">
        <v>14</v>
      </c>
      <c r="K42" t="s">
        <v>7</v>
      </c>
      <c r="L42">
        <v>1</v>
      </c>
      <c r="M42">
        <v>0</v>
      </c>
    </row>
    <row r="43" spans="1:13">
      <c r="A43">
        <v>29</v>
      </c>
      <c r="B43">
        <v>1</v>
      </c>
      <c r="C43">
        <v>6</v>
      </c>
      <c r="D43" s="6" t="str">
        <f>VLOOKUP(Tabla1[[#This Row],[ID_PARTIDO]],Original!$AT$1:$AY$46,2,FALSE)</f>
        <v>Andrea Julieth Sosa Rodriguez</v>
      </c>
      <c r="E43" s="6" t="str">
        <f>VLOOKUP(Tabla1[[#This Row],[ID_PARTIDO]],Original!$AT$1:$AY$46,3,FALSE)</f>
        <v>Nicole Lizarazo</v>
      </c>
      <c r="F43" s="6" t="str">
        <f>VLOOKUP(Tabla1[[#This Row],[ID_PARTIDO]],Original!$AT$1:$AY$46,4,FALSE)</f>
        <v>Valentina Jimenez Gomez</v>
      </c>
      <c r="G43" s="6" t="str">
        <f>VLOOKUP(Tabla1[[#This Row],[ID_PARTIDO]],Original!$AT$1:$AY$46,5,FALSE)</f>
        <v>Luis Jorge Garcia Camargo</v>
      </c>
      <c r="H43" t="s">
        <v>7</v>
      </c>
      <c r="I43" t="s">
        <v>14</v>
      </c>
      <c r="J43" t="s">
        <v>14</v>
      </c>
      <c r="K43" t="s">
        <v>7</v>
      </c>
      <c r="L43">
        <v>1</v>
      </c>
      <c r="M43">
        <v>0</v>
      </c>
    </row>
    <row r="44" spans="1:13">
      <c r="A44">
        <v>29</v>
      </c>
      <c r="B44">
        <v>1</v>
      </c>
      <c r="C44">
        <v>7</v>
      </c>
      <c r="D44" s="6" t="str">
        <f>VLOOKUP(Tabla1[[#This Row],[ID_PARTIDO]],Original!$AT$1:$AY$46,2,FALSE)</f>
        <v>Andrea Julieth Sosa Rodriguez</v>
      </c>
      <c r="E44" s="6" t="str">
        <f>VLOOKUP(Tabla1[[#This Row],[ID_PARTIDO]],Original!$AT$1:$AY$46,3,FALSE)</f>
        <v>Nicole Lizarazo</v>
      </c>
      <c r="F44" s="6" t="str">
        <f>VLOOKUP(Tabla1[[#This Row],[ID_PARTIDO]],Original!$AT$1:$AY$46,4,FALSE)</f>
        <v>Valentina Jimenez Gomez</v>
      </c>
      <c r="G44" s="6" t="str">
        <f>VLOOKUP(Tabla1[[#This Row],[ID_PARTIDO]],Original!$AT$1:$AY$46,5,FALSE)</f>
        <v>Luis Jorge Garcia Camargo</v>
      </c>
      <c r="H44" t="s">
        <v>7</v>
      </c>
      <c r="I44" t="s">
        <v>14</v>
      </c>
      <c r="J44" t="s">
        <v>14</v>
      </c>
      <c r="K44" t="s">
        <v>7</v>
      </c>
      <c r="L44">
        <v>0</v>
      </c>
      <c r="M44">
        <v>1</v>
      </c>
    </row>
    <row r="45" spans="1:13">
      <c r="A45">
        <v>29</v>
      </c>
      <c r="B45">
        <v>1</v>
      </c>
      <c r="C45">
        <v>8</v>
      </c>
      <c r="D45" s="6" t="str">
        <f>VLOOKUP(Tabla1[[#This Row],[ID_PARTIDO]],Original!$AT$1:$AY$46,2,FALSE)</f>
        <v>Andrea Julieth Sosa Rodriguez</v>
      </c>
      <c r="E45" s="6" t="str">
        <f>VLOOKUP(Tabla1[[#This Row],[ID_PARTIDO]],Original!$AT$1:$AY$46,3,FALSE)</f>
        <v>Nicole Lizarazo</v>
      </c>
      <c r="F45" s="6" t="str">
        <f>VLOOKUP(Tabla1[[#This Row],[ID_PARTIDO]],Original!$AT$1:$AY$46,4,FALSE)</f>
        <v>Valentina Jimenez Gomez</v>
      </c>
      <c r="G45" s="6" t="str">
        <f>VLOOKUP(Tabla1[[#This Row],[ID_PARTIDO]],Original!$AT$1:$AY$46,5,FALSE)</f>
        <v>Luis Jorge Garcia Camargo</v>
      </c>
      <c r="H45" t="s">
        <v>7</v>
      </c>
      <c r="I45" t="s">
        <v>14</v>
      </c>
      <c r="J45" t="s">
        <v>14</v>
      </c>
      <c r="K45" t="s">
        <v>7</v>
      </c>
      <c r="L45">
        <v>0</v>
      </c>
      <c r="M45">
        <v>1</v>
      </c>
    </row>
    <row r="46" spans="1:13">
      <c r="A46">
        <v>29</v>
      </c>
      <c r="B46">
        <v>1</v>
      </c>
      <c r="C46">
        <v>9</v>
      </c>
      <c r="D46" s="6" t="str">
        <f>VLOOKUP(Tabla1[[#This Row],[ID_PARTIDO]],Original!$AT$1:$AY$46,2,FALSE)</f>
        <v>Andrea Julieth Sosa Rodriguez</v>
      </c>
      <c r="E46" s="6" t="str">
        <f>VLOOKUP(Tabla1[[#This Row],[ID_PARTIDO]],Original!$AT$1:$AY$46,3,FALSE)</f>
        <v>Nicole Lizarazo</v>
      </c>
      <c r="F46" s="6" t="str">
        <f>VLOOKUP(Tabla1[[#This Row],[ID_PARTIDO]],Original!$AT$1:$AY$46,4,FALSE)</f>
        <v>Valentina Jimenez Gomez</v>
      </c>
      <c r="G46" s="6" t="str">
        <f>VLOOKUP(Tabla1[[#This Row],[ID_PARTIDO]],Original!$AT$1:$AY$46,5,FALSE)</f>
        <v>Luis Jorge Garcia Camargo</v>
      </c>
      <c r="H46" t="s">
        <v>7</v>
      </c>
      <c r="I46" t="s">
        <v>14</v>
      </c>
      <c r="J46" t="s">
        <v>14</v>
      </c>
      <c r="K46" t="s">
        <v>7</v>
      </c>
      <c r="L46">
        <v>0</v>
      </c>
      <c r="M46">
        <v>1</v>
      </c>
    </row>
    <row r="47" spans="1:13">
      <c r="A47">
        <v>29</v>
      </c>
      <c r="B47">
        <v>1</v>
      </c>
      <c r="C47">
        <v>10</v>
      </c>
      <c r="D47" s="6" t="str">
        <f>VLOOKUP(Tabla1[[#This Row],[ID_PARTIDO]],Original!$AT$1:$AY$46,2,FALSE)</f>
        <v>Andrea Julieth Sosa Rodriguez</v>
      </c>
      <c r="E47" s="6" t="str">
        <f>VLOOKUP(Tabla1[[#This Row],[ID_PARTIDO]],Original!$AT$1:$AY$46,3,FALSE)</f>
        <v>Nicole Lizarazo</v>
      </c>
      <c r="F47" s="6" t="str">
        <f>VLOOKUP(Tabla1[[#This Row],[ID_PARTIDO]],Original!$AT$1:$AY$46,4,FALSE)</f>
        <v>Valentina Jimenez Gomez</v>
      </c>
      <c r="G47" s="6" t="str">
        <f>VLOOKUP(Tabla1[[#This Row],[ID_PARTIDO]],Original!$AT$1:$AY$46,5,FALSE)</f>
        <v>Luis Jorge Garcia Camargo</v>
      </c>
      <c r="H47" t="s">
        <v>7</v>
      </c>
      <c r="I47" t="s">
        <v>14</v>
      </c>
      <c r="J47" t="s">
        <v>14</v>
      </c>
      <c r="K47" t="s">
        <v>7</v>
      </c>
      <c r="L47">
        <v>0</v>
      </c>
      <c r="M47">
        <v>1</v>
      </c>
    </row>
    <row r="48" spans="1:13">
      <c r="A48">
        <v>29</v>
      </c>
      <c r="B48">
        <v>1</v>
      </c>
      <c r="C48">
        <v>11</v>
      </c>
      <c r="D48" s="6" t="str">
        <f>VLOOKUP(Tabla1[[#This Row],[ID_PARTIDO]],Original!$AT$1:$AY$46,2,FALSE)</f>
        <v>Andrea Julieth Sosa Rodriguez</v>
      </c>
      <c r="E48" s="6" t="str">
        <f>VLOOKUP(Tabla1[[#This Row],[ID_PARTIDO]],Original!$AT$1:$AY$46,3,FALSE)</f>
        <v>Nicole Lizarazo</v>
      </c>
      <c r="F48" s="6" t="str">
        <f>VLOOKUP(Tabla1[[#This Row],[ID_PARTIDO]],Original!$AT$1:$AY$46,4,FALSE)</f>
        <v>Valentina Jimenez Gomez</v>
      </c>
      <c r="G48" s="6" t="str">
        <f>VLOOKUP(Tabla1[[#This Row],[ID_PARTIDO]],Original!$AT$1:$AY$46,5,FALSE)</f>
        <v>Luis Jorge Garcia Camargo</v>
      </c>
      <c r="H48" t="s">
        <v>7</v>
      </c>
      <c r="I48" t="s">
        <v>14</v>
      </c>
      <c r="J48" t="s">
        <v>14</v>
      </c>
      <c r="K48" t="s">
        <v>7</v>
      </c>
      <c r="L48">
        <v>1</v>
      </c>
      <c r="M48">
        <v>0</v>
      </c>
    </row>
    <row r="49" spans="1:13">
      <c r="A49">
        <v>29</v>
      </c>
      <c r="B49">
        <v>1</v>
      </c>
      <c r="C49">
        <v>12</v>
      </c>
      <c r="D49" s="6" t="str">
        <f>VLOOKUP(Tabla1[[#This Row],[ID_PARTIDO]],Original!$AT$1:$AY$46,2,FALSE)</f>
        <v>Andrea Julieth Sosa Rodriguez</v>
      </c>
      <c r="E49" s="6" t="str">
        <f>VLOOKUP(Tabla1[[#This Row],[ID_PARTIDO]],Original!$AT$1:$AY$46,3,FALSE)</f>
        <v>Nicole Lizarazo</v>
      </c>
      <c r="F49" s="6" t="str">
        <f>VLOOKUP(Tabla1[[#This Row],[ID_PARTIDO]],Original!$AT$1:$AY$46,4,FALSE)</f>
        <v>Valentina Jimenez Gomez</v>
      </c>
      <c r="G49" s="6" t="str">
        <f>VLOOKUP(Tabla1[[#This Row],[ID_PARTIDO]],Original!$AT$1:$AY$46,5,FALSE)</f>
        <v>Luis Jorge Garcia Camargo</v>
      </c>
      <c r="H49" t="s">
        <v>7</v>
      </c>
      <c r="I49" t="s">
        <v>14</v>
      </c>
      <c r="J49" t="s">
        <v>14</v>
      </c>
      <c r="K49" t="s">
        <v>7</v>
      </c>
      <c r="L49">
        <v>1</v>
      </c>
      <c r="M49">
        <v>0</v>
      </c>
    </row>
    <row r="50" spans="1:13">
      <c r="A50">
        <v>37</v>
      </c>
      <c r="B50">
        <v>1</v>
      </c>
      <c r="C50">
        <v>1</v>
      </c>
      <c r="D50" s="6" t="s">
        <v>16</v>
      </c>
      <c r="E50" s="6" t="s">
        <v>38</v>
      </c>
      <c r="F50" s="6" t="s">
        <v>8</v>
      </c>
      <c r="G50" s="6" t="s">
        <v>12</v>
      </c>
      <c r="H50" t="s">
        <v>14</v>
      </c>
      <c r="I50" t="s">
        <v>7</v>
      </c>
      <c r="J50" t="s">
        <v>7</v>
      </c>
      <c r="K50" t="s">
        <v>14</v>
      </c>
      <c r="L50">
        <v>0</v>
      </c>
      <c r="M50">
        <v>1</v>
      </c>
    </row>
    <row r="51" spans="1:13">
      <c r="A51">
        <v>37</v>
      </c>
      <c r="B51">
        <v>1</v>
      </c>
      <c r="C51">
        <v>2</v>
      </c>
      <c r="D51" s="6" t="s">
        <v>16</v>
      </c>
      <c r="E51" s="6" t="s">
        <v>38</v>
      </c>
      <c r="F51" s="6" t="s">
        <v>8</v>
      </c>
      <c r="G51" s="6" t="s">
        <v>12</v>
      </c>
      <c r="H51" t="s">
        <v>14</v>
      </c>
      <c r="I51" t="s">
        <v>7</v>
      </c>
      <c r="J51" t="s">
        <v>7</v>
      </c>
      <c r="K51" t="s">
        <v>14</v>
      </c>
      <c r="L51">
        <v>1</v>
      </c>
      <c r="M51">
        <v>0</v>
      </c>
    </row>
    <row r="52" spans="1:13">
      <c r="A52">
        <v>37</v>
      </c>
      <c r="B52">
        <v>1</v>
      </c>
      <c r="C52">
        <v>3</v>
      </c>
      <c r="D52" s="6" t="s">
        <v>16</v>
      </c>
      <c r="E52" s="6" t="s">
        <v>38</v>
      </c>
      <c r="F52" s="6" t="s">
        <v>8</v>
      </c>
      <c r="G52" s="6" t="s">
        <v>12</v>
      </c>
      <c r="H52" t="s">
        <v>14</v>
      </c>
      <c r="I52" t="s">
        <v>7</v>
      </c>
      <c r="J52" t="s">
        <v>7</v>
      </c>
      <c r="K52" t="s">
        <v>14</v>
      </c>
      <c r="L52">
        <v>0</v>
      </c>
      <c r="M52">
        <v>1</v>
      </c>
    </row>
    <row r="53" spans="1:13">
      <c r="A53">
        <v>37</v>
      </c>
      <c r="B53">
        <v>1</v>
      </c>
      <c r="C53">
        <v>4</v>
      </c>
      <c r="D53" s="6" t="s">
        <v>16</v>
      </c>
      <c r="E53" s="6" t="s">
        <v>38</v>
      </c>
      <c r="F53" s="6" t="s">
        <v>8</v>
      </c>
      <c r="G53" s="6" t="s">
        <v>12</v>
      </c>
      <c r="H53" t="s">
        <v>14</v>
      </c>
      <c r="I53" t="s">
        <v>7</v>
      </c>
      <c r="J53" t="s">
        <v>7</v>
      </c>
      <c r="K53" t="s">
        <v>14</v>
      </c>
      <c r="L53">
        <v>0</v>
      </c>
      <c r="M53">
        <v>1</v>
      </c>
    </row>
    <row r="54" spans="1:13">
      <c r="A54">
        <v>37</v>
      </c>
      <c r="B54">
        <v>1</v>
      </c>
      <c r="C54">
        <v>5</v>
      </c>
      <c r="D54" s="6" t="s">
        <v>16</v>
      </c>
      <c r="E54" s="6" t="s">
        <v>38</v>
      </c>
      <c r="F54" s="6" t="s">
        <v>8</v>
      </c>
      <c r="G54" s="6" t="s">
        <v>12</v>
      </c>
      <c r="H54" t="s">
        <v>14</v>
      </c>
      <c r="I54" t="s">
        <v>7</v>
      </c>
      <c r="J54" t="s">
        <v>7</v>
      </c>
      <c r="K54" t="s">
        <v>14</v>
      </c>
      <c r="L54">
        <v>0</v>
      </c>
      <c r="M54">
        <v>1</v>
      </c>
    </row>
    <row r="55" spans="1:13">
      <c r="A55">
        <v>37</v>
      </c>
      <c r="B55">
        <v>1</v>
      </c>
      <c r="C55">
        <v>6</v>
      </c>
      <c r="D55" s="6" t="s">
        <v>16</v>
      </c>
      <c r="E55" s="6" t="s">
        <v>38</v>
      </c>
      <c r="F55" s="6" t="s">
        <v>8</v>
      </c>
      <c r="G55" s="6" t="s">
        <v>12</v>
      </c>
      <c r="H55" t="s">
        <v>14</v>
      </c>
      <c r="I55" t="s">
        <v>7</v>
      </c>
      <c r="J55" t="s">
        <v>7</v>
      </c>
      <c r="K55" t="s">
        <v>14</v>
      </c>
      <c r="L55">
        <v>1</v>
      </c>
      <c r="M55">
        <v>0</v>
      </c>
    </row>
    <row r="56" spans="1:13">
      <c r="A56">
        <v>37</v>
      </c>
      <c r="B56">
        <v>1</v>
      </c>
      <c r="C56">
        <v>7</v>
      </c>
      <c r="D56" s="6" t="s">
        <v>16</v>
      </c>
      <c r="E56" s="6" t="s">
        <v>38</v>
      </c>
      <c r="F56" s="6" t="s">
        <v>8</v>
      </c>
      <c r="G56" s="6" t="s">
        <v>12</v>
      </c>
      <c r="H56" t="s">
        <v>14</v>
      </c>
      <c r="I56" t="s">
        <v>7</v>
      </c>
      <c r="J56" t="s">
        <v>7</v>
      </c>
      <c r="K56" t="s">
        <v>14</v>
      </c>
      <c r="L56">
        <v>0</v>
      </c>
      <c r="M56">
        <v>1</v>
      </c>
    </row>
    <row r="57" spans="1:13">
      <c r="A57">
        <v>37</v>
      </c>
      <c r="B57">
        <v>1</v>
      </c>
      <c r="C57">
        <v>8</v>
      </c>
      <c r="D57" s="6" t="s">
        <v>16</v>
      </c>
      <c r="E57" s="6" t="s">
        <v>38</v>
      </c>
      <c r="F57" s="6" t="s">
        <v>8</v>
      </c>
      <c r="G57" s="6" t="s">
        <v>12</v>
      </c>
      <c r="H57" t="s">
        <v>14</v>
      </c>
      <c r="I57" t="s">
        <v>7</v>
      </c>
      <c r="J57" t="s">
        <v>7</v>
      </c>
      <c r="K57" t="s">
        <v>14</v>
      </c>
      <c r="L57">
        <v>1</v>
      </c>
      <c r="M57">
        <v>0</v>
      </c>
    </row>
    <row r="58" spans="1:13">
      <c r="A58">
        <v>37</v>
      </c>
      <c r="B58">
        <v>1</v>
      </c>
      <c r="C58">
        <v>9</v>
      </c>
      <c r="D58" s="6" t="s">
        <v>16</v>
      </c>
      <c r="E58" s="6" t="s">
        <v>38</v>
      </c>
      <c r="F58" s="6" t="s">
        <v>8</v>
      </c>
      <c r="G58" s="6" t="s">
        <v>12</v>
      </c>
      <c r="H58" t="s">
        <v>14</v>
      </c>
      <c r="I58" t="s">
        <v>7</v>
      </c>
      <c r="J58" t="s">
        <v>7</v>
      </c>
      <c r="K58" t="s">
        <v>14</v>
      </c>
      <c r="L58">
        <v>1</v>
      </c>
      <c r="M58">
        <v>0</v>
      </c>
    </row>
    <row r="59" spans="1:13">
      <c r="A59">
        <v>37</v>
      </c>
      <c r="B59">
        <v>1</v>
      </c>
      <c r="C59">
        <v>10</v>
      </c>
      <c r="D59" s="6" t="s">
        <v>16</v>
      </c>
      <c r="E59" s="6" t="s">
        <v>38</v>
      </c>
      <c r="F59" s="6" t="s">
        <v>8</v>
      </c>
      <c r="G59" s="6" t="s">
        <v>12</v>
      </c>
      <c r="H59" t="s">
        <v>14</v>
      </c>
      <c r="I59" t="s">
        <v>7</v>
      </c>
      <c r="J59" t="s">
        <v>7</v>
      </c>
      <c r="K59" t="s">
        <v>14</v>
      </c>
      <c r="L59">
        <v>0</v>
      </c>
      <c r="M59">
        <v>1</v>
      </c>
    </row>
    <row r="60" spans="1:13">
      <c r="A60">
        <v>37</v>
      </c>
      <c r="B60">
        <v>1</v>
      </c>
      <c r="C60">
        <v>11</v>
      </c>
      <c r="D60" s="6" t="s">
        <v>16</v>
      </c>
      <c r="E60" s="6" t="s">
        <v>38</v>
      </c>
      <c r="F60" s="6" t="s">
        <v>8</v>
      </c>
      <c r="G60" s="6" t="s">
        <v>12</v>
      </c>
      <c r="H60" t="s">
        <v>14</v>
      </c>
      <c r="I60" t="s">
        <v>7</v>
      </c>
      <c r="J60" t="s">
        <v>7</v>
      </c>
      <c r="K60" t="s">
        <v>14</v>
      </c>
      <c r="L60">
        <v>0</v>
      </c>
      <c r="M60">
        <v>1</v>
      </c>
    </row>
    <row r="61" spans="1:13">
      <c r="A61">
        <v>23</v>
      </c>
      <c r="B61">
        <v>1</v>
      </c>
      <c r="C61">
        <v>1</v>
      </c>
      <c r="D61" s="6" t="str">
        <f>VLOOKUP(Tabla1[[#This Row],[ID_PARTIDO]],Original!$AT$1:$AY$46,2,FALSE)</f>
        <v>Jaime Andres Castillo Alvarez</v>
      </c>
      <c r="E61" s="6" t="str">
        <f>VLOOKUP(Tabla1[[#This Row],[ID_PARTIDO]],Original!$AT$1:$AY$46,3,FALSE)</f>
        <v xml:space="preserve">maria jose martinez villabona </v>
      </c>
      <c r="F61" s="6" t="str">
        <f>VLOOKUP(Tabla1[[#This Row],[ID_PARTIDO]],Original!$AT$1:$AY$46,4,FALSE)</f>
        <v>Samuel Andrés Rodríguez Ulloa</v>
      </c>
      <c r="G61" s="6" t="str">
        <f>VLOOKUP(Tabla1[[#This Row],[ID_PARTIDO]],Original!$AT$1:$AY$46,5,FALSE)</f>
        <v>Andrea Julieth Sosa Rodriguez</v>
      </c>
      <c r="H61" t="s">
        <v>7</v>
      </c>
      <c r="I61" t="s">
        <v>14</v>
      </c>
      <c r="J61" t="s">
        <v>7</v>
      </c>
      <c r="K61" t="s">
        <v>14</v>
      </c>
      <c r="L61">
        <v>0</v>
      </c>
      <c r="M61">
        <v>1</v>
      </c>
    </row>
    <row r="62" spans="1:13">
      <c r="A62">
        <v>23</v>
      </c>
      <c r="B62">
        <v>1</v>
      </c>
      <c r="C62">
        <v>2</v>
      </c>
      <c r="D62" s="6" t="str">
        <f>VLOOKUP(Tabla1[[#This Row],[ID_PARTIDO]],Original!$AT$1:$AY$46,2,FALSE)</f>
        <v>Jaime Andres Castillo Alvarez</v>
      </c>
      <c r="E62" s="6" t="str">
        <f>VLOOKUP(Tabla1[[#This Row],[ID_PARTIDO]],Original!$AT$1:$AY$46,3,FALSE)</f>
        <v xml:space="preserve">maria jose martinez villabona </v>
      </c>
      <c r="F62" s="6" t="str">
        <f>VLOOKUP(Tabla1[[#This Row],[ID_PARTIDO]],Original!$AT$1:$AY$46,4,FALSE)</f>
        <v>Samuel Andrés Rodríguez Ulloa</v>
      </c>
      <c r="G62" s="6" t="str">
        <f>VLOOKUP(Tabla1[[#This Row],[ID_PARTIDO]],Original!$AT$1:$AY$46,5,FALSE)</f>
        <v>Andrea Julieth Sosa Rodriguez</v>
      </c>
      <c r="H62" t="s">
        <v>7</v>
      </c>
      <c r="I62" t="s">
        <v>14</v>
      </c>
      <c r="J62" t="s">
        <v>7</v>
      </c>
      <c r="K62" t="s">
        <v>14</v>
      </c>
      <c r="L62">
        <v>1</v>
      </c>
      <c r="M62">
        <v>0</v>
      </c>
    </row>
    <row r="63" spans="1:13">
      <c r="A63">
        <v>23</v>
      </c>
      <c r="B63">
        <v>1</v>
      </c>
      <c r="C63">
        <v>3</v>
      </c>
      <c r="D63" s="6" t="str">
        <f>VLOOKUP(Tabla1[[#This Row],[ID_PARTIDO]],Original!$AT$1:$AY$46,2,FALSE)</f>
        <v>Jaime Andres Castillo Alvarez</v>
      </c>
      <c r="E63" s="6" t="str">
        <f>VLOOKUP(Tabla1[[#This Row],[ID_PARTIDO]],Original!$AT$1:$AY$46,3,FALSE)</f>
        <v xml:space="preserve">maria jose martinez villabona </v>
      </c>
      <c r="F63" s="6" t="str">
        <f>VLOOKUP(Tabla1[[#This Row],[ID_PARTIDO]],Original!$AT$1:$AY$46,4,FALSE)</f>
        <v>Samuel Andrés Rodríguez Ulloa</v>
      </c>
      <c r="G63" s="6" t="str">
        <f>VLOOKUP(Tabla1[[#This Row],[ID_PARTIDO]],Original!$AT$1:$AY$46,5,FALSE)</f>
        <v>Andrea Julieth Sosa Rodriguez</v>
      </c>
      <c r="H63" t="s">
        <v>7</v>
      </c>
      <c r="I63" t="s">
        <v>14</v>
      </c>
      <c r="J63" t="s">
        <v>7</v>
      </c>
      <c r="K63" t="s">
        <v>14</v>
      </c>
      <c r="L63">
        <v>0</v>
      </c>
      <c r="M63">
        <v>1</v>
      </c>
    </row>
    <row r="64" spans="1:13">
      <c r="A64">
        <v>23</v>
      </c>
      <c r="B64">
        <v>1</v>
      </c>
      <c r="C64">
        <v>4</v>
      </c>
      <c r="D64" s="6" t="str">
        <f>VLOOKUP(Tabla1[[#This Row],[ID_PARTIDO]],Original!$AT$1:$AY$46,2,FALSE)</f>
        <v>Jaime Andres Castillo Alvarez</v>
      </c>
      <c r="E64" s="6" t="str">
        <f>VLOOKUP(Tabla1[[#This Row],[ID_PARTIDO]],Original!$AT$1:$AY$46,3,FALSE)</f>
        <v xml:space="preserve">maria jose martinez villabona </v>
      </c>
      <c r="F64" s="6" t="str">
        <f>VLOOKUP(Tabla1[[#This Row],[ID_PARTIDO]],Original!$AT$1:$AY$46,4,FALSE)</f>
        <v>Samuel Andrés Rodríguez Ulloa</v>
      </c>
      <c r="G64" s="6" t="str">
        <f>VLOOKUP(Tabla1[[#This Row],[ID_PARTIDO]],Original!$AT$1:$AY$46,5,FALSE)</f>
        <v>Andrea Julieth Sosa Rodriguez</v>
      </c>
      <c r="H64" t="s">
        <v>7</v>
      </c>
      <c r="I64" t="s">
        <v>14</v>
      </c>
      <c r="J64" t="s">
        <v>7</v>
      </c>
      <c r="K64" t="s">
        <v>14</v>
      </c>
      <c r="L64">
        <v>1</v>
      </c>
      <c r="M64">
        <v>0</v>
      </c>
    </row>
    <row r="65" spans="1:13">
      <c r="A65">
        <v>23</v>
      </c>
      <c r="B65">
        <v>1</v>
      </c>
      <c r="C65">
        <v>5</v>
      </c>
      <c r="D65" s="6" t="str">
        <f>VLOOKUP(Tabla1[[#This Row],[ID_PARTIDO]],Original!$AT$1:$AY$46,2,FALSE)</f>
        <v>Jaime Andres Castillo Alvarez</v>
      </c>
      <c r="E65" s="6" t="str">
        <f>VLOOKUP(Tabla1[[#This Row],[ID_PARTIDO]],Original!$AT$1:$AY$46,3,FALSE)</f>
        <v xml:space="preserve">maria jose martinez villabona </v>
      </c>
      <c r="F65" s="6" t="str">
        <f>VLOOKUP(Tabla1[[#This Row],[ID_PARTIDO]],Original!$AT$1:$AY$46,4,FALSE)</f>
        <v>Samuel Andrés Rodríguez Ulloa</v>
      </c>
      <c r="G65" s="6" t="str">
        <f>VLOOKUP(Tabla1[[#This Row],[ID_PARTIDO]],Original!$AT$1:$AY$46,5,FALSE)</f>
        <v>Andrea Julieth Sosa Rodriguez</v>
      </c>
      <c r="H65" t="s">
        <v>7</v>
      </c>
      <c r="I65" t="s">
        <v>14</v>
      </c>
      <c r="J65" t="s">
        <v>7</v>
      </c>
      <c r="K65" t="s">
        <v>14</v>
      </c>
      <c r="L65">
        <v>1</v>
      </c>
      <c r="M65">
        <v>0</v>
      </c>
    </row>
    <row r="66" spans="1:13">
      <c r="A66">
        <v>23</v>
      </c>
      <c r="B66">
        <v>1</v>
      </c>
      <c r="C66">
        <v>6</v>
      </c>
      <c r="D66" s="6" t="str">
        <f>VLOOKUP(Tabla1[[#This Row],[ID_PARTIDO]],Original!$AT$1:$AY$46,2,FALSE)</f>
        <v>Jaime Andres Castillo Alvarez</v>
      </c>
      <c r="E66" s="6" t="str">
        <f>VLOOKUP(Tabla1[[#This Row],[ID_PARTIDO]],Original!$AT$1:$AY$46,3,FALSE)</f>
        <v xml:space="preserve">maria jose martinez villabona </v>
      </c>
      <c r="F66" s="6" t="str">
        <f>VLOOKUP(Tabla1[[#This Row],[ID_PARTIDO]],Original!$AT$1:$AY$46,4,FALSE)</f>
        <v>Samuel Andrés Rodríguez Ulloa</v>
      </c>
      <c r="G66" s="6" t="str">
        <f>VLOOKUP(Tabla1[[#This Row],[ID_PARTIDO]],Original!$AT$1:$AY$46,5,FALSE)</f>
        <v>Andrea Julieth Sosa Rodriguez</v>
      </c>
      <c r="H66" t="s">
        <v>7</v>
      </c>
      <c r="I66" t="s">
        <v>14</v>
      </c>
      <c r="J66" t="s">
        <v>7</v>
      </c>
      <c r="K66" t="s">
        <v>14</v>
      </c>
      <c r="L66">
        <v>0</v>
      </c>
      <c r="M66">
        <v>1</v>
      </c>
    </row>
    <row r="67" spans="1:13">
      <c r="A67">
        <v>23</v>
      </c>
      <c r="B67">
        <v>1</v>
      </c>
      <c r="C67">
        <v>7</v>
      </c>
      <c r="D67" s="6" t="str">
        <f>VLOOKUP(Tabla1[[#This Row],[ID_PARTIDO]],Original!$AT$1:$AY$46,2,FALSE)</f>
        <v>Jaime Andres Castillo Alvarez</v>
      </c>
      <c r="E67" s="6" t="str">
        <f>VLOOKUP(Tabla1[[#This Row],[ID_PARTIDO]],Original!$AT$1:$AY$46,3,FALSE)</f>
        <v xml:space="preserve">maria jose martinez villabona </v>
      </c>
      <c r="F67" s="6" t="str">
        <f>VLOOKUP(Tabla1[[#This Row],[ID_PARTIDO]],Original!$AT$1:$AY$46,4,FALSE)</f>
        <v>Samuel Andrés Rodríguez Ulloa</v>
      </c>
      <c r="G67" s="6" t="str">
        <f>VLOOKUP(Tabla1[[#This Row],[ID_PARTIDO]],Original!$AT$1:$AY$46,5,FALSE)</f>
        <v>Andrea Julieth Sosa Rodriguez</v>
      </c>
      <c r="H67" t="s">
        <v>7</v>
      </c>
      <c r="I67" t="s">
        <v>14</v>
      </c>
      <c r="J67" t="s">
        <v>7</v>
      </c>
      <c r="K67" t="s">
        <v>14</v>
      </c>
      <c r="L67">
        <v>0</v>
      </c>
      <c r="M67">
        <v>1</v>
      </c>
    </row>
    <row r="68" spans="1:13">
      <c r="A68">
        <v>23</v>
      </c>
      <c r="B68">
        <v>1</v>
      </c>
      <c r="C68">
        <v>8</v>
      </c>
      <c r="D68" s="6" t="str">
        <f>VLOOKUP(Tabla1[[#This Row],[ID_PARTIDO]],Original!$AT$1:$AY$46,2,FALSE)</f>
        <v>Jaime Andres Castillo Alvarez</v>
      </c>
      <c r="E68" s="6" t="str">
        <f>VLOOKUP(Tabla1[[#This Row],[ID_PARTIDO]],Original!$AT$1:$AY$46,3,FALSE)</f>
        <v xml:space="preserve">maria jose martinez villabona </v>
      </c>
      <c r="F68" s="6" t="str">
        <f>VLOOKUP(Tabla1[[#This Row],[ID_PARTIDO]],Original!$AT$1:$AY$46,4,FALSE)</f>
        <v>Samuel Andrés Rodríguez Ulloa</v>
      </c>
      <c r="G68" s="6" t="str">
        <f>VLOOKUP(Tabla1[[#This Row],[ID_PARTIDO]],Original!$AT$1:$AY$46,5,FALSE)</f>
        <v>Andrea Julieth Sosa Rodriguez</v>
      </c>
      <c r="H68" t="s">
        <v>7</v>
      </c>
      <c r="I68" t="s">
        <v>14</v>
      </c>
      <c r="J68" t="s">
        <v>7</v>
      </c>
      <c r="K68" t="s">
        <v>14</v>
      </c>
      <c r="L68">
        <v>1</v>
      </c>
      <c r="M68">
        <v>0</v>
      </c>
    </row>
    <row r="69" spans="1:13">
      <c r="A69">
        <v>23</v>
      </c>
      <c r="B69">
        <v>1</v>
      </c>
      <c r="C69">
        <v>9</v>
      </c>
      <c r="D69" s="6" t="str">
        <f>VLOOKUP(Tabla1[[#This Row],[ID_PARTIDO]],Original!$AT$1:$AY$46,2,FALSE)</f>
        <v>Jaime Andres Castillo Alvarez</v>
      </c>
      <c r="E69" s="6" t="str">
        <f>VLOOKUP(Tabla1[[#This Row],[ID_PARTIDO]],Original!$AT$1:$AY$46,3,FALSE)</f>
        <v xml:space="preserve">maria jose martinez villabona </v>
      </c>
      <c r="F69" s="6" t="str">
        <f>VLOOKUP(Tabla1[[#This Row],[ID_PARTIDO]],Original!$AT$1:$AY$46,4,FALSE)</f>
        <v>Samuel Andrés Rodríguez Ulloa</v>
      </c>
      <c r="G69" s="6" t="str">
        <f>VLOOKUP(Tabla1[[#This Row],[ID_PARTIDO]],Original!$AT$1:$AY$46,5,FALSE)</f>
        <v>Andrea Julieth Sosa Rodriguez</v>
      </c>
      <c r="H69" t="s">
        <v>7</v>
      </c>
      <c r="I69" t="s">
        <v>14</v>
      </c>
      <c r="J69" t="s">
        <v>7</v>
      </c>
      <c r="K69" t="s">
        <v>14</v>
      </c>
      <c r="L69">
        <v>0</v>
      </c>
      <c r="M69">
        <v>1</v>
      </c>
    </row>
    <row r="70" spans="1:13">
      <c r="A70">
        <v>23</v>
      </c>
      <c r="B70">
        <v>1</v>
      </c>
      <c r="C70">
        <v>10</v>
      </c>
      <c r="D70" s="6" t="str">
        <f>VLOOKUP(Tabla1[[#This Row],[ID_PARTIDO]],Original!$AT$1:$AY$46,2,FALSE)</f>
        <v>Jaime Andres Castillo Alvarez</v>
      </c>
      <c r="E70" s="6" t="str">
        <f>VLOOKUP(Tabla1[[#This Row],[ID_PARTIDO]],Original!$AT$1:$AY$46,3,FALSE)</f>
        <v xml:space="preserve">maria jose martinez villabona </v>
      </c>
      <c r="F70" s="6" t="str">
        <f>VLOOKUP(Tabla1[[#This Row],[ID_PARTIDO]],Original!$AT$1:$AY$46,4,FALSE)</f>
        <v>Samuel Andrés Rodríguez Ulloa</v>
      </c>
      <c r="G70" s="6" t="str">
        <f>VLOOKUP(Tabla1[[#This Row],[ID_PARTIDO]],Original!$AT$1:$AY$46,5,FALSE)</f>
        <v>Andrea Julieth Sosa Rodriguez</v>
      </c>
      <c r="H70" t="s">
        <v>7</v>
      </c>
      <c r="I70" t="s">
        <v>14</v>
      </c>
      <c r="J70" t="s">
        <v>7</v>
      </c>
      <c r="K70" t="s">
        <v>14</v>
      </c>
      <c r="L70">
        <v>1</v>
      </c>
      <c r="M70">
        <v>0</v>
      </c>
    </row>
    <row r="71" spans="1:13">
      <c r="A71">
        <v>23</v>
      </c>
      <c r="B71">
        <v>1</v>
      </c>
      <c r="C71">
        <v>11</v>
      </c>
      <c r="D71" s="6" t="str">
        <f>VLOOKUP(Tabla1[[#This Row],[ID_PARTIDO]],Original!$AT$1:$AY$46,2,FALSE)</f>
        <v>Jaime Andres Castillo Alvarez</v>
      </c>
      <c r="E71" s="6" t="str">
        <f>VLOOKUP(Tabla1[[#This Row],[ID_PARTIDO]],Original!$AT$1:$AY$46,3,FALSE)</f>
        <v xml:space="preserve">maria jose martinez villabona </v>
      </c>
      <c r="F71" s="6" t="str">
        <f>VLOOKUP(Tabla1[[#This Row],[ID_PARTIDO]],Original!$AT$1:$AY$46,4,FALSE)</f>
        <v>Samuel Andrés Rodríguez Ulloa</v>
      </c>
      <c r="G71" s="6" t="str">
        <f>VLOOKUP(Tabla1[[#This Row],[ID_PARTIDO]],Original!$AT$1:$AY$46,5,FALSE)</f>
        <v>Andrea Julieth Sosa Rodriguez</v>
      </c>
      <c r="H71" t="s">
        <v>7</v>
      </c>
      <c r="I71" t="s">
        <v>14</v>
      </c>
      <c r="J71" t="s">
        <v>7</v>
      </c>
      <c r="K71" t="s">
        <v>14</v>
      </c>
      <c r="L71">
        <v>1</v>
      </c>
      <c r="M71">
        <v>0</v>
      </c>
    </row>
    <row r="72" spans="1:13">
      <c r="A72">
        <v>23</v>
      </c>
      <c r="B72">
        <v>1</v>
      </c>
      <c r="C72">
        <v>12</v>
      </c>
      <c r="D72" s="6" t="str">
        <f>VLOOKUP(Tabla1[[#This Row],[ID_PARTIDO]],Original!$AT$1:$AY$46,2,FALSE)</f>
        <v>Jaime Andres Castillo Alvarez</v>
      </c>
      <c r="E72" s="6" t="str">
        <f>VLOOKUP(Tabla1[[#This Row],[ID_PARTIDO]],Original!$AT$1:$AY$46,3,FALSE)</f>
        <v xml:space="preserve">maria jose martinez villabona </v>
      </c>
      <c r="F72" s="6" t="str">
        <f>VLOOKUP(Tabla1[[#This Row],[ID_PARTIDO]],Original!$AT$1:$AY$46,4,FALSE)</f>
        <v>Samuel Andrés Rodríguez Ulloa</v>
      </c>
      <c r="G72" s="6" t="str">
        <f>VLOOKUP(Tabla1[[#This Row],[ID_PARTIDO]],Original!$AT$1:$AY$46,5,FALSE)</f>
        <v>Andrea Julieth Sosa Rodriguez</v>
      </c>
      <c r="H72" t="s">
        <v>7</v>
      </c>
      <c r="I72" t="s">
        <v>14</v>
      </c>
      <c r="J72" t="s">
        <v>7</v>
      </c>
      <c r="K72" t="s">
        <v>14</v>
      </c>
      <c r="L72">
        <v>1</v>
      </c>
      <c r="M72">
        <v>0</v>
      </c>
    </row>
    <row r="73" spans="1:13">
      <c r="A73">
        <v>35</v>
      </c>
      <c r="B73">
        <v>1</v>
      </c>
      <c r="C73">
        <v>1</v>
      </c>
      <c r="D73" s="6" t="str">
        <f>VLOOKUP(Tabla1[[#This Row],[ID_PARTIDO]],Original!$AT$1:$AY$46,2,FALSE)</f>
        <v>Santiago Peña Beltran</v>
      </c>
      <c r="E73" s="6" t="str">
        <f>VLOOKUP(Tabla1[[#This Row],[ID_PARTIDO]],Original!$AT$1:$AY$46,3,FALSE)</f>
        <v xml:space="preserve">María José Cifuentes </v>
      </c>
      <c r="F73" s="6" t="str">
        <f>VLOOKUP(Tabla1[[#This Row],[ID_PARTIDO]],Original!$AT$1:$AY$46,4,FALSE)</f>
        <v>Nicole Lizarazo</v>
      </c>
      <c r="G73" s="6" t="str">
        <f>VLOOKUP(Tabla1[[#This Row],[ID_PARTIDO]],Original!$AT$1:$AY$46,5,FALSE)</f>
        <v>Jorge Enrique Lugo Lopez</v>
      </c>
      <c r="H73" t="s">
        <v>7</v>
      </c>
      <c r="I73" t="s">
        <v>14</v>
      </c>
      <c r="J73" t="s">
        <v>14</v>
      </c>
      <c r="K73" t="s">
        <v>7</v>
      </c>
      <c r="L73">
        <v>0</v>
      </c>
      <c r="M73">
        <v>1</v>
      </c>
    </row>
    <row r="74" spans="1:13">
      <c r="A74">
        <v>35</v>
      </c>
      <c r="B74">
        <v>1</v>
      </c>
      <c r="C74">
        <v>2</v>
      </c>
      <c r="D74" s="6" t="str">
        <f>VLOOKUP(Tabla1[[#This Row],[ID_PARTIDO]],Original!$AT$1:$AY$46,2,FALSE)</f>
        <v>Santiago Peña Beltran</v>
      </c>
      <c r="E74" s="6" t="str">
        <f>VLOOKUP(Tabla1[[#This Row],[ID_PARTIDO]],Original!$AT$1:$AY$46,3,FALSE)</f>
        <v xml:space="preserve">María José Cifuentes </v>
      </c>
      <c r="F74" s="6" t="str">
        <f>VLOOKUP(Tabla1[[#This Row],[ID_PARTIDO]],Original!$AT$1:$AY$46,4,FALSE)</f>
        <v>Nicole Lizarazo</v>
      </c>
      <c r="G74" s="6" t="str">
        <f>VLOOKUP(Tabla1[[#This Row],[ID_PARTIDO]],Original!$AT$1:$AY$46,5,FALSE)</f>
        <v>Jorge Enrique Lugo Lopez</v>
      </c>
      <c r="H74" t="s">
        <v>7</v>
      </c>
      <c r="I74" t="s">
        <v>14</v>
      </c>
      <c r="J74" t="s">
        <v>14</v>
      </c>
      <c r="K74" t="s">
        <v>7</v>
      </c>
      <c r="L74">
        <v>0</v>
      </c>
      <c r="M74">
        <v>1</v>
      </c>
    </row>
    <row r="75" spans="1:13">
      <c r="A75">
        <v>35</v>
      </c>
      <c r="B75">
        <v>1</v>
      </c>
      <c r="C75">
        <v>3</v>
      </c>
      <c r="D75" s="6" t="str">
        <f>VLOOKUP(Tabla1[[#This Row],[ID_PARTIDO]],Original!$AT$1:$AY$46,2,FALSE)</f>
        <v>Santiago Peña Beltran</v>
      </c>
      <c r="E75" s="6" t="str">
        <f>VLOOKUP(Tabla1[[#This Row],[ID_PARTIDO]],Original!$AT$1:$AY$46,3,FALSE)</f>
        <v xml:space="preserve">María José Cifuentes </v>
      </c>
      <c r="F75" s="6" t="str">
        <f>VLOOKUP(Tabla1[[#This Row],[ID_PARTIDO]],Original!$AT$1:$AY$46,4,FALSE)</f>
        <v>Nicole Lizarazo</v>
      </c>
      <c r="G75" s="6" t="str">
        <f>VLOOKUP(Tabla1[[#This Row],[ID_PARTIDO]],Original!$AT$1:$AY$46,5,FALSE)</f>
        <v>Jorge Enrique Lugo Lopez</v>
      </c>
      <c r="H75" t="s">
        <v>7</v>
      </c>
      <c r="I75" t="s">
        <v>14</v>
      </c>
      <c r="J75" t="s">
        <v>14</v>
      </c>
      <c r="K75" t="s">
        <v>7</v>
      </c>
      <c r="L75">
        <v>0</v>
      </c>
      <c r="M75">
        <v>1</v>
      </c>
    </row>
    <row r="76" spans="1:13">
      <c r="A76">
        <v>35</v>
      </c>
      <c r="B76">
        <v>1</v>
      </c>
      <c r="C76">
        <v>4</v>
      </c>
      <c r="D76" s="6" t="str">
        <f>VLOOKUP(Tabla1[[#This Row],[ID_PARTIDO]],Original!$AT$1:$AY$46,2,FALSE)</f>
        <v>Santiago Peña Beltran</v>
      </c>
      <c r="E76" s="6" t="str">
        <f>VLOOKUP(Tabla1[[#This Row],[ID_PARTIDO]],Original!$AT$1:$AY$46,3,FALSE)</f>
        <v xml:space="preserve">María José Cifuentes </v>
      </c>
      <c r="F76" s="6" t="str">
        <f>VLOOKUP(Tabla1[[#This Row],[ID_PARTIDO]],Original!$AT$1:$AY$46,4,FALSE)</f>
        <v>Nicole Lizarazo</v>
      </c>
      <c r="G76" s="6" t="str">
        <f>VLOOKUP(Tabla1[[#This Row],[ID_PARTIDO]],Original!$AT$1:$AY$46,5,FALSE)</f>
        <v>Jorge Enrique Lugo Lopez</v>
      </c>
      <c r="H76" t="s">
        <v>7</v>
      </c>
      <c r="I76" t="s">
        <v>14</v>
      </c>
      <c r="J76" t="s">
        <v>14</v>
      </c>
      <c r="K76" t="s">
        <v>7</v>
      </c>
      <c r="L76">
        <v>0</v>
      </c>
      <c r="M76">
        <v>1</v>
      </c>
    </row>
    <row r="77" spans="1:13">
      <c r="A77">
        <v>35</v>
      </c>
      <c r="B77">
        <v>1</v>
      </c>
      <c r="C77">
        <v>5</v>
      </c>
      <c r="D77" s="6" t="str">
        <f>VLOOKUP(Tabla1[[#This Row],[ID_PARTIDO]],Original!$AT$1:$AY$46,2,FALSE)</f>
        <v>Santiago Peña Beltran</v>
      </c>
      <c r="E77" s="6" t="str">
        <f>VLOOKUP(Tabla1[[#This Row],[ID_PARTIDO]],Original!$AT$1:$AY$46,3,FALSE)</f>
        <v xml:space="preserve">María José Cifuentes </v>
      </c>
      <c r="F77" s="6" t="str">
        <f>VLOOKUP(Tabla1[[#This Row],[ID_PARTIDO]],Original!$AT$1:$AY$46,4,FALSE)</f>
        <v>Nicole Lizarazo</v>
      </c>
      <c r="G77" s="6" t="str">
        <f>VLOOKUP(Tabla1[[#This Row],[ID_PARTIDO]],Original!$AT$1:$AY$46,5,FALSE)</f>
        <v>Jorge Enrique Lugo Lopez</v>
      </c>
      <c r="H77" t="s">
        <v>7</v>
      </c>
      <c r="I77" t="s">
        <v>14</v>
      </c>
      <c r="J77" t="s">
        <v>14</v>
      </c>
      <c r="K77" t="s">
        <v>7</v>
      </c>
      <c r="L77">
        <v>0</v>
      </c>
      <c r="M77">
        <v>1</v>
      </c>
    </row>
    <row r="78" spans="1:13">
      <c r="A78">
        <v>35</v>
      </c>
      <c r="B78">
        <v>1</v>
      </c>
      <c r="C78">
        <v>6</v>
      </c>
      <c r="D78" s="6" t="str">
        <f>VLOOKUP(Tabla1[[#This Row],[ID_PARTIDO]],Original!$AT$1:$AY$46,2,FALSE)</f>
        <v>Santiago Peña Beltran</v>
      </c>
      <c r="E78" s="6" t="str">
        <f>VLOOKUP(Tabla1[[#This Row],[ID_PARTIDO]],Original!$AT$1:$AY$46,3,FALSE)</f>
        <v xml:space="preserve">María José Cifuentes </v>
      </c>
      <c r="F78" s="6" t="str">
        <f>VLOOKUP(Tabla1[[#This Row],[ID_PARTIDO]],Original!$AT$1:$AY$46,4,FALSE)</f>
        <v>Nicole Lizarazo</v>
      </c>
      <c r="G78" s="6" t="str">
        <f>VLOOKUP(Tabla1[[#This Row],[ID_PARTIDO]],Original!$AT$1:$AY$46,5,FALSE)</f>
        <v>Jorge Enrique Lugo Lopez</v>
      </c>
      <c r="H78" t="s">
        <v>7</v>
      </c>
      <c r="I78" t="s">
        <v>14</v>
      </c>
      <c r="J78" t="s">
        <v>14</v>
      </c>
      <c r="K78" t="s">
        <v>7</v>
      </c>
      <c r="L78">
        <v>1</v>
      </c>
      <c r="M78">
        <v>0</v>
      </c>
    </row>
    <row r="79" spans="1:13">
      <c r="A79">
        <v>35</v>
      </c>
      <c r="B79">
        <v>1</v>
      </c>
      <c r="C79">
        <v>7</v>
      </c>
      <c r="D79" s="6" t="str">
        <f>VLOOKUP(Tabla1[[#This Row],[ID_PARTIDO]],Original!$AT$1:$AY$46,2,FALSE)</f>
        <v>Santiago Peña Beltran</v>
      </c>
      <c r="E79" s="6" t="str">
        <f>VLOOKUP(Tabla1[[#This Row],[ID_PARTIDO]],Original!$AT$1:$AY$46,3,FALSE)</f>
        <v xml:space="preserve">María José Cifuentes </v>
      </c>
      <c r="F79" s="6" t="str">
        <f>VLOOKUP(Tabla1[[#This Row],[ID_PARTIDO]],Original!$AT$1:$AY$46,4,FALSE)</f>
        <v>Nicole Lizarazo</v>
      </c>
      <c r="G79" s="6" t="str">
        <f>VLOOKUP(Tabla1[[#This Row],[ID_PARTIDO]],Original!$AT$1:$AY$46,5,FALSE)</f>
        <v>Jorge Enrique Lugo Lopez</v>
      </c>
      <c r="H79" t="s">
        <v>7</v>
      </c>
      <c r="I79" t="s">
        <v>14</v>
      </c>
      <c r="J79" t="s">
        <v>14</v>
      </c>
      <c r="K79" t="s">
        <v>7</v>
      </c>
      <c r="L79">
        <v>0</v>
      </c>
      <c r="M79">
        <v>1</v>
      </c>
    </row>
    <row r="80" spans="1:13">
      <c r="A80">
        <v>35</v>
      </c>
      <c r="B80">
        <v>1</v>
      </c>
      <c r="C80">
        <v>8</v>
      </c>
      <c r="D80" s="6" t="str">
        <f>VLOOKUP(Tabla1[[#This Row],[ID_PARTIDO]],Original!$AT$1:$AY$46,2,FALSE)</f>
        <v>Santiago Peña Beltran</v>
      </c>
      <c r="E80" s="6" t="str">
        <f>VLOOKUP(Tabla1[[#This Row],[ID_PARTIDO]],Original!$AT$1:$AY$46,3,FALSE)</f>
        <v xml:space="preserve">María José Cifuentes </v>
      </c>
      <c r="F80" s="6" t="str">
        <f>VLOOKUP(Tabla1[[#This Row],[ID_PARTIDO]],Original!$AT$1:$AY$46,4,FALSE)</f>
        <v>Nicole Lizarazo</v>
      </c>
      <c r="G80" s="6" t="str">
        <f>VLOOKUP(Tabla1[[#This Row],[ID_PARTIDO]],Original!$AT$1:$AY$46,5,FALSE)</f>
        <v>Jorge Enrique Lugo Lopez</v>
      </c>
      <c r="H80" t="s">
        <v>7</v>
      </c>
      <c r="I80" t="s">
        <v>14</v>
      </c>
      <c r="J80" t="s">
        <v>14</v>
      </c>
      <c r="K80" t="s">
        <v>7</v>
      </c>
      <c r="L80">
        <v>0</v>
      </c>
      <c r="M80">
        <v>1</v>
      </c>
    </row>
    <row r="81" spans="1:13">
      <c r="A81">
        <v>25</v>
      </c>
      <c r="B81">
        <v>1</v>
      </c>
      <c r="C81">
        <v>1</v>
      </c>
      <c r="D81" s="6" t="str">
        <f>VLOOKUP(Tabla1[[#This Row],[ID_PARTIDO]],Original!$AT$1:$AY$46,2,FALSE)</f>
        <v xml:space="preserve">Juliana Beltrán Díaz </v>
      </c>
      <c r="E81" s="6" t="str">
        <f>VLOOKUP(Tabla1[[#This Row],[ID_PARTIDO]],Original!$AT$1:$AY$46,3,FALSE)</f>
        <v>Maria Fernanda Tamayo Lopez</v>
      </c>
      <c r="F81" s="6" t="str">
        <f>VLOOKUP(Tabla1[[#This Row],[ID_PARTIDO]],Original!$AT$1:$AY$46,4,FALSE)</f>
        <v xml:space="preserve">Carlos Felipe Andrade Sáenz </v>
      </c>
      <c r="G81" s="6" t="str">
        <f>VLOOKUP(Tabla1[[#This Row],[ID_PARTIDO]],Original!$AT$1:$AY$46,5,FALSE)</f>
        <v>Tomas Barrios Guevara</v>
      </c>
      <c r="H81" t="s">
        <v>14</v>
      </c>
      <c r="I81" t="s">
        <v>7</v>
      </c>
      <c r="J81" t="s">
        <v>7</v>
      </c>
      <c r="K81" t="s">
        <v>14</v>
      </c>
      <c r="L81">
        <v>0</v>
      </c>
      <c r="M81">
        <v>1</v>
      </c>
    </row>
    <row r="82" spans="1:13">
      <c r="A82">
        <v>25</v>
      </c>
      <c r="B82">
        <v>1</v>
      </c>
      <c r="C82">
        <v>2</v>
      </c>
      <c r="D82" s="6" t="str">
        <f>VLOOKUP(Tabla1[[#This Row],[ID_PARTIDO]],Original!$AT$1:$AY$46,2,FALSE)</f>
        <v xml:space="preserve">Juliana Beltrán Díaz </v>
      </c>
      <c r="E82" s="6" t="str">
        <f>VLOOKUP(Tabla1[[#This Row],[ID_PARTIDO]],Original!$AT$1:$AY$46,3,FALSE)</f>
        <v>Maria Fernanda Tamayo Lopez</v>
      </c>
      <c r="F82" s="6" t="str">
        <f>VLOOKUP(Tabla1[[#This Row],[ID_PARTIDO]],Original!$AT$1:$AY$46,4,FALSE)</f>
        <v xml:space="preserve">Carlos Felipe Andrade Sáenz </v>
      </c>
      <c r="G82" s="6" t="str">
        <f>VLOOKUP(Tabla1[[#This Row],[ID_PARTIDO]],Original!$AT$1:$AY$46,5,FALSE)</f>
        <v>Tomas Barrios Guevara</v>
      </c>
      <c r="H82" t="s">
        <v>14</v>
      </c>
      <c r="I82" t="s">
        <v>7</v>
      </c>
      <c r="J82" t="s">
        <v>7</v>
      </c>
      <c r="K82" t="s">
        <v>14</v>
      </c>
      <c r="L82">
        <v>1</v>
      </c>
      <c r="M82">
        <v>0</v>
      </c>
    </row>
    <row r="83" spans="1:13">
      <c r="A83">
        <v>25</v>
      </c>
      <c r="B83">
        <v>1</v>
      </c>
      <c r="C83">
        <v>3</v>
      </c>
      <c r="D83" s="6" t="str">
        <f>VLOOKUP(Tabla1[[#This Row],[ID_PARTIDO]],Original!$AT$1:$AY$46,2,FALSE)</f>
        <v xml:space="preserve">Juliana Beltrán Díaz </v>
      </c>
      <c r="E83" s="6" t="str">
        <f>VLOOKUP(Tabla1[[#This Row],[ID_PARTIDO]],Original!$AT$1:$AY$46,3,FALSE)</f>
        <v>Maria Fernanda Tamayo Lopez</v>
      </c>
      <c r="F83" s="6" t="str">
        <f>VLOOKUP(Tabla1[[#This Row],[ID_PARTIDO]],Original!$AT$1:$AY$46,4,FALSE)</f>
        <v xml:space="preserve">Carlos Felipe Andrade Sáenz </v>
      </c>
      <c r="G83" s="6" t="str">
        <f>VLOOKUP(Tabla1[[#This Row],[ID_PARTIDO]],Original!$AT$1:$AY$46,5,FALSE)</f>
        <v>Tomas Barrios Guevara</v>
      </c>
      <c r="H83" t="s">
        <v>14</v>
      </c>
      <c r="I83" t="s">
        <v>7</v>
      </c>
      <c r="J83" t="s">
        <v>7</v>
      </c>
      <c r="K83" t="s">
        <v>14</v>
      </c>
      <c r="L83">
        <v>1</v>
      </c>
      <c r="M83">
        <v>0</v>
      </c>
    </row>
    <row r="84" spans="1:13">
      <c r="A84">
        <v>25</v>
      </c>
      <c r="B84">
        <v>1</v>
      </c>
      <c r="C84">
        <v>4</v>
      </c>
      <c r="D84" s="6" t="str">
        <f>VLOOKUP(Tabla1[[#This Row],[ID_PARTIDO]],Original!$AT$1:$AY$46,2,FALSE)</f>
        <v xml:space="preserve">Juliana Beltrán Díaz </v>
      </c>
      <c r="E84" s="6" t="str">
        <f>VLOOKUP(Tabla1[[#This Row],[ID_PARTIDO]],Original!$AT$1:$AY$46,3,FALSE)</f>
        <v>Maria Fernanda Tamayo Lopez</v>
      </c>
      <c r="F84" s="6" t="str">
        <f>VLOOKUP(Tabla1[[#This Row],[ID_PARTIDO]],Original!$AT$1:$AY$46,4,FALSE)</f>
        <v xml:space="preserve">Carlos Felipe Andrade Sáenz </v>
      </c>
      <c r="G84" s="6" t="str">
        <f>VLOOKUP(Tabla1[[#This Row],[ID_PARTIDO]],Original!$AT$1:$AY$46,5,FALSE)</f>
        <v>Tomas Barrios Guevara</v>
      </c>
      <c r="H84" t="s">
        <v>14</v>
      </c>
      <c r="I84" t="s">
        <v>7</v>
      </c>
      <c r="J84" t="s">
        <v>7</v>
      </c>
      <c r="K84" t="s">
        <v>14</v>
      </c>
      <c r="L84">
        <v>1</v>
      </c>
      <c r="M84">
        <v>0</v>
      </c>
    </row>
    <row r="85" spans="1:13">
      <c r="A85">
        <v>25</v>
      </c>
      <c r="B85">
        <v>1</v>
      </c>
      <c r="C85">
        <v>5</v>
      </c>
      <c r="D85" s="6" t="str">
        <f>VLOOKUP(Tabla1[[#This Row],[ID_PARTIDO]],Original!$AT$1:$AY$46,2,FALSE)</f>
        <v xml:space="preserve">Juliana Beltrán Díaz </v>
      </c>
      <c r="E85" s="6" t="str">
        <f>VLOOKUP(Tabla1[[#This Row],[ID_PARTIDO]],Original!$AT$1:$AY$46,3,FALSE)</f>
        <v>Maria Fernanda Tamayo Lopez</v>
      </c>
      <c r="F85" s="6" t="str">
        <f>VLOOKUP(Tabla1[[#This Row],[ID_PARTIDO]],Original!$AT$1:$AY$46,4,FALSE)</f>
        <v xml:space="preserve">Carlos Felipe Andrade Sáenz </v>
      </c>
      <c r="G85" s="6" t="str">
        <f>VLOOKUP(Tabla1[[#This Row],[ID_PARTIDO]],Original!$AT$1:$AY$46,5,FALSE)</f>
        <v>Tomas Barrios Guevara</v>
      </c>
      <c r="H85" t="s">
        <v>14</v>
      </c>
      <c r="I85" t="s">
        <v>7</v>
      </c>
      <c r="J85" t="s">
        <v>7</v>
      </c>
      <c r="K85" t="s">
        <v>14</v>
      </c>
      <c r="L85">
        <v>1</v>
      </c>
      <c r="M85">
        <v>0</v>
      </c>
    </row>
    <row r="86" spans="1:13">
      <c r="A86">
        <v>25</v>
      </c>
      <c r="B86">
        <v>1</v>
      </c>
      <c r="C86">
        <v>6</v>
      </c>
      <c r="D86" s="6" t="str">
        <f>VLOOKUP(Tabla1[[#This Row],[ID_PARTIDO]],Original!$AT$1:$AY$46,2,FALSE)</f>
        <v xml:space="preserve">Juliana Beltrán Díaz </v>
      </c>
      <c r="E86" s="6" t="str">
        <f>VLOOKUP(Tabla1[[#This Row],[ID_PARTIDO]],Original!$AT$1:$AY$46,3,FALSE)</f>
        <v>Maria Fernanda Tamayo Lopez</v>
      </c>
      <c r="F86" s="6" t="str">
        <f>VLOOKUP(Tabla1[[#This Row],[ID_PARTIDO]],Original!$AT$1:$AY$46,4,FALSE)</f>
        <v xml:space="preserve">Carlos Felipe Andrade Sáenz </v>
      </c>
      <c r="G86" s="6" t="str">
        <f>VLOOKUP(Tabla1[[#This Row],[ID_PARTIDO]],Original!$AT$1:$AY$46,5,FALSE)</f>
        <v>Tomas Barrios Guevara</v>
      </c>
      <c r="H86" t="s">
        <v>14</v>
      </c>
      <c r="I86" t="s">
        <v>7</v>
      </c>
      <c r="J86" t="s">
        <v>7</v>
      </c>
      <c r="K86" t="s">
        <v>14</v>
      </c>
      <c r="L86">
        <v>0</v>
      </c>
      <c r="M86">
        <v>1</v>
      </c>
    </row>
    <row r="87" spans="1:13">
      <c r="A87">
        <v>25</v>
      </c>
      <c r="B87">
        <v>1</v>
      </c>
      <c r="C87">
        <v>7</v>
      </c>
      <c r="D87" s="6" t="str">
        <f>VLOOKUP(Tabla1[[#This Row],[ID_PARTIDO]],Original!$AT$1:$AY$46,2,FALSE)</f>
        <v xml:space="preserve">Juliana Beltrán Díaz </v>
      </c>
      <c r="E87" s="6" t="str">
        <f>VLOOKUP(Tabla1[[#This Row],[ID_PARTIDO]],Original!$AT$1:$AY$46,3,FALSE)</f>
        <v>Maria Fernanda Tamayo Lopez</v>
      </c>
      <c r="F87" s="6" t="str">
        <f>VLOOKUP(Tabla1[[#This Row],[ID_PARTIDO]],Original!$AT$1:$AY$46,4,FALSE)</f>
        <v xml:space="preserve">Carlos Felipe Andrade Sáenz </v>
      </c>
      <c r="G87" s="6" t="str">
        <f>VLOOKUP(Tabla1[[#This Row],[ID_PARTIDO]],Original!$AT$1:$AY$46,5,FALSE)</f>
        <v>Tomas Barrios Guevara</v>
      </c>
      <c r="H87" t="s">
        <v>14</v>
      </c>
      <c r="I87" t="s">
        <v>7</v>
      </c>
      <c r="J87" t="s">
        <v>7</v>
      </c>
      <c r="K87" t="s">
        <v>14</v>
      </c>
      <c r="L87">
        <v>1</v>
      </c>
      <c r="M87">
        <v>0</v>
      </c>
    </row>
    <row r="88" spans="1:13">
      <c r="A88">
        <v>25</v>
      </c>
      <c r="B88">
        <v>1</v>
      </c>
      <c r="C88">
        <v>8</v>
      </c>
      <c r="D88" s="6" t="str">
        <f>VLOOKUP(Tabla1[[#This Row],[ID_PARTIDO]],Original!$AT$1:$AY$46,2,FALSE)</f>
        <v xml:space="preserve">Juliana Beltrán Díaz </v>
      </c>
      <c r="E88" s="6" t="str">
        <f>VLOOKUP(Tabla1[[#This Row],[ID_PARTIDO]],Original!$AT$1:$AY$46,3,FALSE)</f>
        <v>Maria Fernanda Tamayo Lopez</v>
      </c>
      <c r="F88" s="6" t="str">
        <f>VLOOKUP(Tabla1[[#This Row],[ID_PARTIDO]],Original!$AT$1:$AY$46,4,FALSE)</f>
        <v xml:space="preserve">Carlos Felipe Andrade Sáenz </v>
      </c>
      <c r="G88" s="6" t="str">
        <f>VLOOKUP(Tabla1[[#This Row],[ID_PARTIDO]],Original!$AT$1:$AY$46,5,FALSE)</f>
        <v>Tomas Barrios Guevara</v>
      </c>
      <c r="H88" t="s">
        <v>14</v>
      </c>
      <c r="I88" t="s">
        <v>7</v>
      </c>
      <c r="J88" t="s">
        <v>7</v>
      </c>
      <c r="K88" t="s">
        <v>14</v>
      </c>
      <c r="L88">
        <v>0</v>
      </c>
      <c r="M88">
        <v>1</v>
      </c>
    </row>
    <row r="89" spans="1:13">
      <c r="A89">
        <v>25</v>
      </c>
      <c r="B89">
        <v>1</v>
      </c>
      <c r="C89">
        <v>9</v>
      </c>
      <c r="D89" s="6" t="str">
        <f>VLOOKUP(Tabla1[[#This Row],[ID_PARTIDO]],Original!$AT$1:$AY$46,2,FALSE)</f>
        <v xml:space="preserve">Juliana Beltrán Díaz </v>
      </c>
      <c r="E89" s="6" t="str">
        <f>VLOOKUP(Tabla1[[#This Row],[ID_PARTIDO]],Original!$AT$1:$AY$46,3,FALSE)</f>
        <v>Maria Fernanda Tamayo Lopez</v>
      </c>
      <c r="F89" s="6" t="str">
        <f>VLOOKUP(Tabla1[[#This Row],[ID_PARTIDO]],Original!$AT$1:$AY$46,4,FALSE)</f>
        <v xml:space="preserve">Carlos Felipe Andrade Sáenz </v>
      </c>
      <c r="G89" s="6" t="str">
        <f>VLOOKUP(Tabla1[[#This Row],[ID_PARTIDO]],Original!$AT$1:$AY$46,5,FALSE)</f>
        <v>Tomas Barrios Guevara</v>
      </c>
      <c r="H89" t="s">
        <v>14</v>
      </c>
      <c r="I89" t="s">
        <v>7</v>
      </c>
      <c r="J89" t="s">
        <v>7</v>
      </c>
      <c r="K89" t="s">
        <v>14</v>
      </c>
      <c r="L89">
        <v>0</v>
      </c>
      <c r="M89">
        <v>1</v>
      </c>
    </row>
    <row r="90" spans="1:13">
      <c r="A90">
        <v>25</v>
      </c>
      <c r="B90">
        <v>1</v>
      </c>
      <c r="C90">
        <v>10</v>
      </c>
      <c r="D90" s="6" t="str">
        <f>VLOOKUP(Tabla1[[#This Row],[ID_PARTIDO]],Original!$AT$1:$AY$46,2,FALSE)</f>
        <v xml:space="preserve">Juliana Beltrán Díaz </v>
      </c>
      <c r="E90" s="6" t="str">
        <f>VLOOKUP(Tabla1[[#This Row],[ID_PARTIDO]],Original!$AT$1:$AY$46,3,FALSE)</f>
        <v>Maria Fernanda Tamayo Lopez</v>
      </c>
      <c r="F90" s="6" t="str">
        <f>VLOOKUP(Tabla1[[#This Row],[ID_PARTIDO]],Original!$AT$1:$AY$46,4,FALSE)</f>
        <v xml:space="preserve">Carlos Felipe Andrade Sáenz </v>
      </c>
      <c r="G90" s="6" t="str">
        <f>VLOOKUP(Tabla1[[#This Row],[ID_PARTIDO]],Original!$AT$1:$AY$46,5,FALSE)</f>
        <v>Tomas Barrios Guevara</v>
      </c>
      <c r="H90" t="s">
        <v>14</v>
      </c>
      <c r="I90" t="s">
        <v>7</v>
      </c>
      <c r="J90" t="s">
        <v>7</v>
      </c>
      <c r="K90" t="s">
        <v>14</v>
      </c>
      <c r="L90">
        <v>1</v>
      </c>
      <c r="M90">
        <v>0</v>
      </c>
    </row>
    <row r="91" spans="1:13">
      <c r="A91">
        <v>25</v>
      </c>
      <c r="B91">
        <v>1</v>
      </c>
      <c r="C91">
        <v>11</v>
      </c>
      <c r="D91" s="6" t="str">
        <f>VLOOKUP(Tabla1[[#This Row],[ID_PARTIDO]],Original!$AT$1:$AY$46,2,FALSE)</f>
        <v xml:space="preserve">Juliana Beltrán Díaz </v>
      </c>
      <c r="E91" s="6" t="str">
        <f>VLOOKUP(Tabla1[[#This Row],[ID_PARTIDO]],Original!$AT$1:$AY$46,3,FALSE)</f>
        <v>Maria Fernanda Tamayo Lopez</v>
      </c>
      <c r="F91" s="6" t="str">
        <f>VLOOKUP(Tabla1[[#This Row],[ID_PARTIDO]],Original!$AT$1:$AY$46,4,FALSE)</f>
        <v xml:space="preserve">Carlos Felipe Andrade Sáenz </v>
      </c>
      <c r="G91" s="6" t="str">
        <f>VLOOKUP(Tabla1[[#This Row],[ID_PARTIDO]],Original!$AT$1:$AY$46,5,FALSE)</f>
        <v>Tomas Barrios Guevara</v>
      </c>
      <c r="H91" t="s">
        <v>14</v>
      </c>
      <c r="I91" t="s">
        <v>7</v>
      </c>
      <c r="J91" t="s">
        <v>7</v>
      </c>
      <c r="K91" t="s">
        <v>14</v>
      </c>
      <c r="L91">
        <v>0</v>
      </c>
      <c r="M91">
        <v>1</v>
      </c>
    </row>
    <row r="92" spans="1:13">
      <c r="A92">
        <v>25</v>
      </c>
      <c r="B92">
        <v>1</v>
      </c>
      <c r="C92">
        <v>12</v>
      </c>
      <c r="D92" s="6" t="str">
        <f>VLOOKUP(Tabla1[[#This Row],[ID_PARTIDO]],Original!$AT$1:$AY$46,2,FALSE)</f>
        <v xml:space="preserve">Juliana Beltrán Díaz </v>
      </c>
      <c r="E92" s="6" t="str">
        <f>VLOOKUP(Tabla1[[#This Row],[ID_PARTIDO]],Original!$AT$1:$AY$46,3,FALSE)</f>
        <v>Maria Fernanda Tamayo Lopez</v>
      </c>
      <c r="F92" s="6" t="str">
        <f>VLOOKUP(Tabla1[[#This Row],[ID_PARTIDO]],Original!$AT$1:$AY$46,4,FALSE)</f>
        <v xml:space="preserve">Carlos Felipe Andrade Sáenz </v>
      </c>
      <c r="G92" s="6" t="str">
        <f>VLOOKUP(Tabla1[[#This Row],[ID_PARTIDO]],Original!$AT$1:$AY$46,5,FALSE)</f>
        <v>Tomas Barrios Guevara</v>
      </c>
      <c r="H92" t="s">
        <v>14</v>
      </c>
      <c r="I92" t="s">
        <v>7</v>
      </c>
      <c r="J92" t="s">
        <v>7</v>
      </c>
      <c r="K92" t="s">
        <v>14</v>
      </c>
      <c r="L92">
        <v>0</v>
      </c>
      <c r="M92">
        <v>1</v>
      </c>
    </row>
    <row r="93" spans="1:13">
      <c r="A93">
        <v>25</v>
      </c>
      <c r="B93">
        <v>1</v>
      </c>
      <c r="C93">
        <v>13</v>
      </c>
      <c r="D93" s="6" t="str">
        <f>VLOOKUP(Tabla1[[#This Row],[ID_PARTIDO]],Original!$AT$1:$AY$46,2,FALSE)</f>
        <v xml:space="preserve">Juliana Beltrán Díaz </v>
      </c>
      <c r="E93" s="6" t="str">
        <f>VLOOKUP(Tabla1[[#This Row],[ID_PARTIDO]],Original!$AT$1:$AY$46,3,FALSE)</f>
        <v>Maria Fernanda Tamayo Lopez</v>
      </c>
      <c r="F93" s="6" t="str">
        <f>VLOOKUP(Tabla1[[#This Row],[ID_PARTIDO]],Original!$AT$1:$AY$46,4,FALSE)</f>
        <v xml:space="preserve">Carlos Felipe Andrade Sáenz </v>
      </c>
      <c r="G93" s="6" t="str">
        <f>VLOOKUP(Tabla1[[#This Row],[ID_PARTIDO]],Original!$AT$1:$AY$46,5,FALSE)</f>
        <v>Tomas Barrios Guevara</v>
      </c>
      <c r="H93" t="s">
        <v>14</v>
      </c>
      <c r="I93" t="s">
        <v>7</v>
      </c>
      <c r="J93" t="s">
        <v>7</v>
      </c>
      <c r="K93" t="s">
        <v>14</v>
      </c>
      <c r="L93">
        <v>1</v>
      </c>
      <c r="M93">
        <v>0</v>
      </c>
    </row>
    <row r="94" spans="1:13">
      <c r="A94">
        <v>11</v>
      </c>
      <c r="B94">
        <v>1</v>
      </c>
      <c r="C94">
        <v>1</v>
      </c>
      <c r="D94" s="6" t="str">
        <f>VLOOKUP(Tabla1[[#This Row],[ID_PARTIDO]],Original!$AT$1:$AY$46,2,FALSE)</f>
        <v>Luis Mario Ramirez Muñoz</v>
      </c>
      <c r="E94" s="6" t="str">
        <f>VLOOKUP(Tabla1[[#This Row],[ID_PARTIDO]],Original!$AT$1:$AY$46,3,FALSE)</f>
        <v>Juan Pablo Benitez Bernal</v>
      </c>
      <c r="F94" s="6" t="str">
        <f>VLOOKUP(Tabla1[[#This Row],[ID_PARTIDO]],Original!$AT$1:$AY$46,4,FALSE)</f>
        <v>Isabella Buitrago Hurtado</v>
      </c>
      <c r="G94" s="6" t="str">
        <f>VLOOKUP(Tabla1[[#This Row],[ID_PARTIDO]],Original!$AT$1:$AY$46,5,FALSE)</f>
        <v>Valentina Jimenez Gomez</v>
      </c>
      <c r="H94" t="s">
        <v>14</v>
      </c>
      <c r="I94" t="s">
        <v>7</v>
      </c>
      <c r="J94" t="s">
        <v>14</v>
      </c>
      <c r="K94" t="s">
        <v>7</v>
      </c>
      <c r="L94">
        <v>0</v>
      </c>
      <c r="M94">
        <v>1</v>
      </c>
    </row>
    <row r="95" spans="1:13">
      <c r="A95">
        <v>11</v>
      </c>
      <c r="B95">
        <v>1</v>
      </c>
      <c r="C95">
        <v>2</v>
      </c>
      <c r="D95" s="6" t="str">
        <f>VLOOKUP(Tabla1[[#This Row],[ID_PARTIDO]],Original!$AT$1:$AY$46,2,FALSE)</f>
        <v>Luis Mario Ramirez Muñoz</v>
      </c>
      <c r="E95" s="6" t="str">
        <f>VLOOKUP(Tabla1[[#This Row],[ID_PARTIDO]],Original!$AT$1:$AY$46,3,FALSE)</f>
        <v>Juan Pablo Benitez Bernal</v>
      </c>
      <c r="F95" s="6" t="str">
        <f>VLOOKUP(Tabla1[[#This Row],[ID_PARTIDO]],Original!$AT$1:$AY$46,4,FALSE)</f>
        <v>Isabella Buitrago Hurtado</v>
      </c>
      <c r="G95" s="6" t="str">
        <f>VLOOKUP(Tabla1[[#This Row],[ID_PARTIDO]],Original!$AT$1:$AY$46,5,FALSE)</f>
        <v>Valentina Jimenez Gomez</v>
      </c>
      <c r="H95" t="s">
        <v>14</v>
      </c>
      <c r="I95" t="s">
        <v>7</v>
      </c>
      <c r="J95" t="s">
        <v>14</v>
      </c>
      <c r="K95" t="s">
        <v>7</v>
      </c>
      <c r="L95">
        <v>0</v>
      </c>
      <c r="M95">
        <v>1</v>
      </c>
    </row>
    <row r="96" spans="1:13">
      <c r="A96">
        <v>11</v>
      </c>
      <c r="B96">
        <v>1</v>
      </c>
      <c r="C96">
        <v>3</v>
      </c>
      <c r="D96" s="6" t="str">
        <f>VLOOKUP(Tabla1[[#This Row],[ID_PARTIDO]],Original!$AT$1:$AY$46,2,FALSE)</f>
        <v>Luis Mario Ramirez Muñoz</v>
      </c>
      <c r="E96" s="6" t="str">
        <f>VLOOKUP(Tabla1[[#This Row],[ID_PARTIDO]],Original!$AT$1:$AY$46,3,FALSE)</f>
        <v>Juan Pablo Benitez Bernal</v>
      </c>
      <c r="F96" s="6" t="str">
        <f>VLOOKUP(Tabla1[[#This Row],[ID_PARTIDO]],Original!$AT$1:$AY$46,4,FALSE)</f>
        <v>Isabella Buitrago Hurtado</v>
      </c>
      <c r="G96" s="6" t="str">
        <f>VLOOKUP(Tabla1[[#This Row],[ID_PARTIDO]],Original!$AT$1:$AY$46,5,FALSE)</f>
        <v>Valentina Jimenez Gomez</v>
      </c>
      <c r="H96" t="s">
        <v>14</v>
      </c>
      <c r="I96" t="s">
        <v>7</v>
      </c>
      <c r="J96" t="s">
        <v>14</v>
      </c>
      <c r="K96" t="s">
        <v>7</v>
      </c>
      <c r="L96">
        <v>1</v>
      </c>
      <c r="M96">
        <v>0</v>
      </c>
    </row>
    <row r="97" spans="1:13">
      <c r="A97">
        <v>11</v>
      </c>
      <c r="B97">
        <v>1</v>
      </c>
      <c r="C97">
        <v>4</v>
      </c>
      <c r="D97" s="6" t="str">
        <f>VLOOKUP(Tabla1[[#This Row],[ID_PARTIDO]],Original!$AT$1:$AY$46,2,FALSE)</f>
        <v>Luis Mario Ramirez Muñoz</v>
      </c>
      <c r="E97" s="6" t="str">
        <f>VLOOKUP(Tabla1[[#This Row],[ID_PARTIDO]],Original!$AT$1:$AY$46,3,FALSE)</f>
        <v>Juan Pablo Benitez Bernal</v>
      </c>
      <c r="F97" s="6" t="str">
        <f>VLOOKUP(Tabla1[[#This Row],[ID_PARTIDO]],Original!$AT$1:$AY$46,4,FALSE)</f>
        <v>Isabella Buitrago Hurtado</v>
      </c>
      <c r="G97" s="6" t="str">
        <f>VLOOKUP(Tabla1[[#This Row],[ID_PARTIDO]],Original!$AT$1:$AY$46,5,FALSE)</f>
        <v>Valentina Jimenez Gomez</v>
      </c>
      <c r="H97" t="s">
        <v>14</v>
      </c>
      <c r="I97" t="s">
        <v>7</v>
      </c>
      <c r="J97" t="s">
        <v>14</v>
      </c>
      <c r="K97" t="s">
        <v>7</v>
      </c>
      <c r="L97">
        <v>1</v>
      </c>
      <c r="M97">
        <v>0</v>
      </c>
    </row>
    <row r="98" spans="1:13">
      <c r="A98">
        <v>11</v>
      </c>
      <c r="B98">
        <v>1</v>
      </c>
      <c r="C98">
        <v>5</v>
      </c>
      <c r="D98" s="6" t="str">
        <f>VLOOKUP(Tabla1[[#This Row],[ID_PARTIDO]],Original!$AT$1:$AY$46,2,FALSE)</f>
        <v>Luis Mario Ramirez Muñoz</v>
      </c>
      <c r="E98" s="6" t="str">
        <f>VLOOKUP(Tabla1[[#This Row],[ID_PARTIDO]],Original!$AT$1:$AY$46,3,FALSE)</f>
        <v>Juan Pablo Benitez Bernal</v>
      </c>
      <c r="F98" s="6" t="str">
        <f>VLOOKUP(Tabla1[[#This Row],[ID_PARTIDO]],Original!$AT$1:$AY$46,4,FALSE)</f>
        <v>Isabella Buitrago Hurtado</v>
      </c>
      <c r="G98" s="6" t="str">
        <f>VLOOKUP(Tabla1[[#This Row],[ID_PARTIDO]],Original!$AT$1:$AY$46,5,FALSE)</f>
        <v>Valentina Jimenez Gomez</v>
      </c>
      <c r="H98" t="s">
        <v>14</v>
      </c>
      <c r="I98" t="s">
        <v>7</v>
      </c>
      <c r="J98" t="s">
        <v>14</v>
      </c>
      <c r="K98" t="s">
        <v>7</v>
      </c>
      <c r="L98">
        <v>1</v>
      </c>
      <c r="M98">
        <v>0</v>
      </c>
    </row>
    <row r="99" spans="1:13">
      <c r="A99">
        <v>11</v>
      </c>
      <c r="B99">
        <v>1</v>
      </c>
      <c r="C99">
        <v>6</v>
      </c>
      <c r="D99" s="6" t="str">
        <f>VLOOKUP(Tabla1[[#This Row],[ID_PARTIDO]],Original!$AT$1:$AY$46,2,FALSE)</f>
        <v>Luis Mario Ramirez Muñoz</v>
      </c>
      <c r="E99" s="6" t="str">
        <f>VLOOKUP(Tabla1[[#This Row],[ID_PARTIDO]],Original!$AT$1:$AY$46,3,FALSE)</f>
        <v>Juan Pablo Benitez Bernal</v>
      </c>
      <c r="F99" s="6" t="str">
        <f>VLOOKUP(Tabla1[[#This Row],[ID_PARTIDO]],Original!$AT$1:$AY$46,4,FALSE)</f>
        <v>Isabella Buitrago Hurtado</v>
      </c>
      <c r="G99" s="6" t="str">
        <f>VLOOKUP(Tabla1[[#This Row],[ID_PARTIDO]],Original!$AT$1:$AY$46,5,FALSE)</f>
        <v>Valentina Jimenez Gomez</v>
      </c>
      <c r="H99" t="s">
        <v>14</v>
      </c>
      <c r="I99" t="s">
        <v>7</v>
      </c>
      <c r="J99" t="s">
        <v>14</v>
      </c>
      <c r="K99" t="s">
        <v>7</v>
      </c>
      <c r="L99">
        <v>0</v>
      </c>
      <c r="M99">
        <v>1</v>
      </c>
    </row>
    <row r="100" spans="1:13">
      <c r="A100">
        <v>11</v>
      </c>
      <c r="B100">
        <v>1</v>
      </c>
      <c r="C100">
        <v>7</v>
      </c>
      <c r="D100" s="6" t="str">
        <f>VLOOKUP(Tabla1[[#This Row],[ID_PARTIDO]],Original!$AT$1:$AY$46,2,FALSE)</f>
        <v>Luis Mario Ramirez Muñoz</v>
      </c>
      <c r="E100" s="6" t="str">
        <f>VLOOKUP(Tabla1[[#This Row],[ID_PARTIDO]],Original!$AT$1:$AY$46,3,FALSE)</f>
        <v>Juan Pablo Benitez Bernal</v>
      </c>
      <c r="F100" s="6" t="str">
        <f>VLOOKUP(Tabla1[[#This Row],[ID_PARTIDO]],Original!$AT$1:$AY$46,4,FALSE)</f>
        <v>Isabella Buitrago Hurtado</v>
      </c>
      <c r="G100" s="6" t="str">
        <f>VLOOKUP(Tabla1[[#This Row],[ID_PARTIDO]],Original!$AT$1:$AY$46,5,FALSE)</f>
        <v>Valentina Jimenez Gomez</v>
      </c>
      <c r="H100" t="s">
        <v>14</v>
      </c>
      <c r="I100" t="s">
        <v>7</v>
      </c>
      <c r="J100" t="s">
        <v>14</v>
      </c>
      <c r="K100" t="s">
        <v>7</v>
      </c>
      <c r="L100">
        <v>1</v>
      </c>
      <c r="M100">
        <v>0</v>
      </c>
    </row>
    <row r="101" spans="1:13">
      <c r="A101">
        <v>11</v>
      </c>
      <c r="B101">
        <v>1</v>
      </c>
      <c r="C101">
        <v>8</v>
      </c>
      <c r="D101" s="6" t="str">
        <f>VLOOKUP(Tabla1[[#This Row],[ID_PARTIDO]],Original!$AT$1:$AY$46,2,FALSE)</f>
        <v>Luis Mario Ramirez Muñoz</v>
      </c>
      <c r="E101" s="6" t="str">
        <f>VLOOKUP(Tabla1[[#This Row],[ID_PARTIDO]],Original!$AT$1:$AY$46,3,FALSE)</f>
        <v>Juan Pablo Benitez Bernal</v>
      </c>
      <c r="F101" s="6" t="str">
        <f>VLOOKUP(Tabla1[[#This Row],[ID_PARTIDO]],Original!$AT$1:$AY$46,4,FALSE)</f>
        <v>Isabella Buitrago Hurtado</v>
      </c>
      <c r="G101" s="6" t="str">
        <f>VLOOKUP(Tabla1[[#This Row],[ID_PARTIDO]],Original!$AT$1:$AY$46,5,FALSE)</f>
        <v>Valentina Jimenez Gomez</v>
      </c>
      <c r="H101" t="s">
        <v>14</v>
      </c>
      <c r="I101" t="s">
        <v>7</v>
      </c>
      <c r="J101" t="s">
        <v>14</v>
      </c>
      <c r="K101" t="s">
        <v>7</v>
      </c>
      <c r="L101">
        <v>0</v>
      </c>
      <c r="M101">
        <v>1</v>
      </c>
    </row>
    <row r="102" spans="1:13">
      <c r="A102">
        <v>11</v>
      </c>
      <c r="B102">
        <v>1</v>
      </c>
      <c r="C102">
        <v>9</v>
      </c>
      <c r="D102" s="6" t="str">
        <f>VLOOKUP(Tabla1[[#This Row],[ID_PARTIDO]],Original!$AT$1:$AY$46,2,FALSE)</f>
        <v>Luis Mario Ramirez Muñoz</v>
      </c>
      <c r="E102" s="6" t="str">
        <f>VLOOKUP(Tabla1[[#This Row],[ID_PARTIDO]],Original!$AT$1:$AY$46,3,FALSE)</f>
        <v>Juan Pablo Benitez Bernal</v>
      </c>
      <c r="F102" s="6" t="str">
        <f>VLOOKUP(Tabla1[[#This Row],[ID_PARTIDO]],Original!$AT$1:$AY$46,4,FALSE)</f>
        <v>Isabella Buitrago Hurtado</v>
      </c>
      <c r="G102" s="6" t="str">
        <f>VLOOKUP(Tabla1[[#This Row],[ID_PARTIDO]],Original!$AT$1:$AY$46,5,FALSE)</f>
        <v>Valentina Jimenez Gomez</v>
      </c>
      <c r="H102" t="s">
        <v>14</v>
      </c>
      <c r="I102" t="s">
        <v>7</v>
      </c>
      <c r="J102" t="s">
        <v>14</v>
      </c>
      <c r="K102" t="s">
        <v>7</v>
      </c>
      <c r="L102">
        <v>1</v>
      </c>
      <c r="M102">
        <v>0</v>
      </c>
    </row>
    <row r="103" spans="1:13">
      <c r="A103">
        <v>11</v>
      </c>
      <c r="B103">
        <v>1</v>
      </c>
      <c r="C103">
        <v>10</v>
      </c>
      <c r="D103" s="6" t="str">
        <f>VLOOKUP(Tabla1[[#This Row],[ID_PARTIDO]],Original!$AT$1:$AY$46,2,FALSE)</f>
        <v>Luis Mario Ramirez Muñoz</v>
      </c>
      <c r="E103" s="6" t="str">
        <f>VLOOKUP(Tabla1[[#This Row],[ID_PARTIDO]],Original!$AT$1:$AY$46,3,FALSE)</f>
        <v>Juan Pablo Benitez Bernal</v>
      </c>
      <c r="F103" s="6" t="str">
        <f>VLOOKUP(Tabla1[[#This Row],[ID_PARTIDO]],Original!$AT$1:$AY$46,4,FALSE)</f>
        <v>Isabella Buitrago Hurtado</v>
      </c>
      <c r="G103" s="6" t="str">
        <f>VLOOKUP(Tabla1[[#This Row],[ID_PARTIDO]],Original!$AT$1:$AY$46,5,FALSE)</f>
        <v>Valentina Jimenez Gomez</v>
      </c>
      <c r="H103" t="s">
        <v>14</v>
      </c>
      <c r="I103" t="s">
        <v>7</v>
      </c>
      <c r="J103" t="s">
        <v>14</v>
      </c>
      <c r="K103" t="s">
        <v>7</v>
      </c>
      <c r="L103">
        <v>1</v>
      </c>
      <c r="M103">
        <v>0</v>
      </c>
    </row>
    <row r="104" spans="1:13">
      <c r="A104">
        <v>11</v>
      </c>
      <c r="B104">
        <v>1</v>
      </c>
      <c r="C104">
        <v>11</v>
      </c>
      <c r="D104" s="6" t="str">
        <f>VLOOKUP(Tabla1[[#This Row],[ID_PARTIDO]],Original!$AT$1:$AY$46,2,FALSE)</f>
        <v>Luis Mario Ramirez Muñoz</v>
      </c>
      <c r="E104" s="6" t="str">
        <f>VLOOKUP(Tabla1[[#This Row],[ID_PARTIDO]],Original!$AT$1:$AY$46,3,FALSE)</f>
        <v>Juan Pablo Benitez Bernal</v>
      </c>
      <c r="F104" s="6" t="str">
        <f>VLOOKUP(Tabla1[[#This Row],[ID_PARTIDO]],Original!$AT$1:$AY$46,4,FALSE)</f>
        <v>Isabella Buitrago Hurtado</v>
      </c>
      <c r="G104" s="6" t="str">
        <f>VLOOKUP(Tabla1[[#This Row],[ID_PARTIDO]],Original!$AT$1:$AY$46,5,FALSE)</f>
        <v>Valentina Jimenez Gomez</v>
      </c>
      <c r="H104" t="s">
        <v>14</v>
      </c>
      <c r="I104" t="s">
        <v>7</v>
      </c>
      <c r="J104" t="s">
        <v>14</v>
      </c>
      <c r="K104" t="s">
        <v>7</v>
      </c>
      <c r="L104">
        <v>0</v>
      </c>
      <c r="M104">
        <v>1</v>
      </c>
    </row>
    <row r="105" spans="1:13">
      <c r="A105">
        <v>11</v>
      </c>
      <c r="B105">
        <v>1</v>
      </c>
      <c r="C105">
        <v>12</v>
      </c>
      <c r="D105" s="6" t="str">
        <f>VLOOKUP(Tabla1[[#This Row],[ID_PARTIDO]],Original!$AT$1:$AY$46,2,FALSE)</f>
        <v>Luis Mario Ramirez Muñoz</v>
      </c>
      <c r="E105" s="6" t="str">
        <f>VLOOKUP(Tabla1[[#This Row],[ID_PARTIDO]],Original!$AT$1:$AY$46,3,FALSE)</f>
        <v>Juan Pablo Benitez Bernal</v>
      </c>
      <c r="F105" s="6" t="str">
        <f>VLOOKUP(Tabla1[[#This Row],[ID_PARTIDO]],Original!$AT$1:$AY$46,4,FALSE)</f>
        <v>Isabella Buitrago Hurtado</v>
      </c>
      <c r="G105" s="6" t="str">
        <f>VLOOKUP(Tabla1[[#This Row],[ID_PARTIDO]],Original!$AT$1:$AY$46,5,FALSE)</f>
        <v>Valentina Jimenez Gomez</v>
      </c>
      <c r="H105" t="s">
        <v>14</v>
      </c>
      <c r="I105" t="s">
        <v>7</v>
      </c>
      <c r="J105" t="s">
        <v>14</v>
      </c>
      <c r="K105" t="s">
        <v>7</v>
      </c>
      <c r="L105">
        <v>0</v>
      </c>
      <c r="M105">
        <v>1</v>
      </c>
    </row>
    <row r="106" spans="1:13">
      <c r="A106">
        <v>11</v>
      </c>
      <c r="B106">
        <v>1</v>
      </c>
      <c r="C106">
        <v>13</v>
      </c>
      <c r="D106" s="6" t="str">
        <f>VLOOKUP(Tabla1[[#This Row],[ID_PARTIDO]],Original!$AT$1:$AY$46,2,FALSE)</f>
        <v>Luis Mario Ramirez Muñoz</v>
      </c>
      <c r="E106" s="6" t="str">
        <f>VLOOKUP(Tabla1[[#This Row],[ID_PARTIDO]],Original!$AT$1:$AY$46,3,FALSE)</f>
        <v>Juan Pablo Benitez Bernal</v>
      </c>
      <c r="F106" s="6" t="str">
        <f>VLOOKUP(Tabla1[[#This Row],[ID_PARTIDO]],Original!$AT$1:$AY$46,4,FALSE)</f>
        <v>Isabella Buitrago Hurtado</v>
      </c>
      <c r="G106" s="6" t="str">
        <f>VLOOKUP(Tabla1[[#This Row],[ID_PARTIDO]],Original!$AT$1:$AY$46,5,FALSE)</f>
        <v>Valentina Jimenez Gomez</v>
      </c>
      <c r="H106" t="s">
        <v>14</v>
      </c>
      <c r="I106" t="s">
        <v>7</v>
      </c>
      <c r="J106" t="s">
        <v>14</v>
      </c>
      <c r="K106" t="s">
        <v>7</v>
      </c>
      <c r="L106">
        <v>1</v>
      </c>
      <c r="M106">
        <v>0</v>
      </c>
    </row>
    <row r="107" spans="1:13">
      <c r="A107">
        <v>21</v>
      </c>
      <c r="B107">
        <v>1</v>
      </c>
      <c r="C107">
        <v>1</v>
      </c>
      <c r="D107" s="6" t="str">
        <f>VLOOKUP(Tabla1[[#This Row],[ID_PARTIDO]],Original!$AT$1:$AY$46,2,FALSE)</f>
        <v xml:space="preserve">Daniel Gutierrez </v>
      </c>
      <c r="E107" s="6" t="str">
        <f>VLOOKUP(Tabla1[[#This Row],[ID_PARTIDO]],Original!$AT$1:$AY$46,3,FALSE)</f>
        <v xml:space="preserve">Juan Pablo Aponte Veloza </v>
      </c>
      <c r="F107" s="6" t="str">
        <f>VLOOKUP(Tabla1[[#This Row],[ID_PARTIDO]],Original!$AT$1:$AY$46,4,FALSE)</f>
        <v xml:space="preserve">Carlos Felipe Andrade Sáenz </v>
      </c>
      <c r="G107" s="6" t="str">
        <f>VLOOKUP(Tabla1[[#This Row],[ID_PARTIDO]],Original!$AT$1:$AY$46,5,FALSE)</f>
        <v>Jorge Enrique Lugo Lopez</v>
      </c>
      <c r="H107" t="s">
        <v>7</v>
      </c>
      <c r="I107" t="s">
        <v>14</v>
      </c>
      <c r="J107" t="s">
        <v>7</v>
      </c>
      <c r="K107" t="s">
        <v>14</v>
      </c>
      <c r="L107">
        <v>0</v>
      </c>
      <c r="M107">
        <v>1</v>
      </c>
    </row>
    <row r="108" spans="1:13">
      <c r="A108">
        <v>21</v>
      </c>
      <c r="B108">
        <v>1</v>
      </c>
      <c r="C108">
        <v>2</v>
      </c>
      <c r="D108" s="6" t="str">
        <f>VLOOKUP(Tabla1[[#This Row],[ID_PARTIDO]],Original!$AT$1:$AY$46,2,FALSE)</f>
        <v xml:space="preserve">Daniel Gutierrez </v>
      </c>
      <c r="E108" s="6" t="str">
        <f>VLOOKUP(Tabla1[[#This Row],[ID_PARTIDO]],Original!$AT$1:$AY$46,3,FALSE)</f>
        <v xml:space="preserve">Juan Pablo Aponte Veloza </v>
      </c>
      <c r="F108" s="6" t="str">
        <f>VLOOKUP(Tabla1[[#This Row],[ID_PARTIDO]],Original!$AT$1:$AY$46,4,FALSE)</f>
        <v xml:space="preserve">Carlos Felipe Andrade Sáenz </v>
      </c>
      <c r="G108" s="6" t="str">
        <f>VLOOKUP(Tabla1[[#This Row],[ID_PARTIDO]],Original!$AT$1:$AY$46,5,FALSE)</f>
        <v>Jorge Enrique Lugo Lopez</v>
      </c>
      <c r="H108" t="s">
        <v>7</v>
      </c>
      <c r="I108" t="s">
        <v>14</v>
      </c>
      <c r="J108" t="s">
        <v>7</v>
      </c>
      <c r="K108" t="s">
        <v>14</v>
      </c>
      <c r="L108">
        <v>0</v>
      </c>
      <c r="M108">
        <v>1</v>
      </c>
    </row>
    <row r="109" spans="1:13">
      <c r="A109">
        <v>21</v>
      </c>
      <c r="B109">
        <v>1</v>
      </c>
      <c r="C109">
        <v>3</v>
      </c>
      <c r="D109" s="6" t="str">
        <f>VLOOKUP(Tabla1[[#This Row],[ID_PARTIDO]],Original!$AT$1:$AY$46,2,FALSE)</f>
        <v xml:space="preserve">Daniel Gutierrez </v>
      </c>
      <c r="E109" s="6" t="str">
        <f>VLOOKUP(Tabla1[[#This Row],[ID_PARTIDO]],Original!$AT$1:$AY$46,3,FALSE)</f>
        <v xml:space="preserve">Juan Pablo Aponte Veloza </v>
      </c>
      <c r="F109" s="6" t="str">
        <f>VLOOKUP(Tabla1[[#This Row],[ID_PARTIDO]],Original!$AT$1:$AY$46,4,FALSE)</f>
        <v xml:space="preserve">Carlos Felipe Andrade Sáenz </v>
      </c>
      <c r="G109" s="6" t="str">
        <f>VLOOKUP(Tabla1[[#This Row],[ID_PARTIDO]],Original!$AT$1:$AY$46,5,FALSE)</f>
        <v>Jorge Enrique Lugo Lopez</v>
      </c>
      <c r="H109" t="s">
        <v>7</v>
      </c>
      <c r="I109" t="s">
        <v>14</v>
      </c>
      <c r="J109" t="s">
        <v>7</v>
      </c>
      <c r="K109" t="s">
        <v>14</v>
      </c>
      <c r="L109">
        <v>1</v>
      </c>
      <c r="M109">
        <v>0</v>
      </c>
    </row>
    <row r="110" spans="1:13">
      <c r="A110">
        <v>21</v>
      </c>
      <c r="B110">
        <v>1</v>
      </c>
      <c r="C110">
        <v>4</v>
      </c>
      <c r="D110" s="6" t="str">
        <f>VLOOKUP(Tabla1[[#This Row],[ID_PARTIDO]],Original!$AT$1:$AY$46,2,FALSE)</f>
        <v xml:space="preserve">Daniel Gutierrez </v>
      </c>
      <c r="E110" s="6" t="str">
        <f>VLOOKUP(Tabla1[[#This Row],[ID_PARTIDO]],Original!$AT$1:$AY$46,3,FALSE)</f>
        <v xml:space="preserve">Juan Pablo Aponte Veloza </v>
      </c>
      <c r="F110" s="6" t="str">
        <f>VLOOKUP(Tabla1[[#This Row],[ID_PARTIDO]],Original!$AT$1:$AY$46,4,FALSE)</f>
        <v xml:space="preserve">Carlos Felipe Andrade Sáenz </v>
      </c>
      <c r="G110" s="6" t="str">
        <f>VLOOKUP(Tabla1[[#This Row],[ID_PARTIDO]],Original!$AT$1:$AY$46,5,FALSE)</f>
        <v>Jorge Enrique Lugo Lopez</v>
      </c>
      <c r="H110" t="s">
        <v>7</v>
      </c>
      <c r="I110" t="s">
        <v>14</v>
      </c>
      <c r="J110" t="s">
        <v>7</v>
      </c>
      <c r="K110" t="s">
        <v>14</v>
      </c>
      <c r="L110">
        <v>0</v>
      </c>
      <c r="M110">
        <v>1</v>
      </c>
    </row>
    <row r="111" spans="1:13">
      <c r="A111">
        <v>21</v>
      </c>
      <c r="B111">
        <v>1</v>
      </c>
      <c r="C111">
        <v>5</v>
      </c>
      <c r="D111" s="6" t="str">
        <f>VLOOKUP(Tabla1[[#This Row],[ID_PARTIDO]],Original!$AT$1:$AY$46,2,FALSE)</f>
        <v xml:space="preserve">Daniel Gutierrez </v>
      </c>
      <c r="E111" s="6" t="str">
        <f>VLOOKUP(Tabla1[[#This Row],[ID_PARTIDO]],Original!$AT$1:$AY$46,3,FALSE)</f>
        <v xml:space="preserve">Juan Pablo Aponte Veloza </v>
      </c>
      <c r="F111" s="6" t="str">
        <f>VLOOKUP(Tabla1[[#This Row],[ID_PARTIDO]],Original!$AT$1:$AY$46,4,FALSE)</f>
        <v xml:space="preserve">Carlos Felipe Andrade Sáenz </v>
      </c>
      <c r="G111" s="6" t="str">
        <f>VLOOKUP(Tabla1[[#This Row],[ID_PARTIDO]],Original!$AT$1:$AY$46,5,FALSE)</f>
        <v>Jorge Enrique Lugo Lopez</v>
      </c>
      <c r="H111" t="s">
        <v>7</v>
      </c>
      <c r="I111" t="s">
        <v>14</v>
      </c>
      <c r="J111" t="s">
        <v>7</v>
      </c>
      <c r="K111" t="s">
        <v>14</v>
      </c>
      <c r="L111">
        <v>1</v>
      </c>
      <c r="M111">
        <v>0</v>
      </c>
    </row>
    <row r="112" spans="1:13">
      <c r="A112">
        <v>21</v>
      </c>
      <c r="B112">
        <v>1</v>
      </c>
      <c r="C112">
        <v>6</v>
      </c>
      <c r="D112" s="6" t="str">
        <f>VLOOKUP(Tabla1[[#This Row],[ID_PARTIDO]],Original!$AT$1:$AY$46,2,FALSE)</f>
        <v xml:space="preserve">Daniel Gutierrez </v>
      </c>
      <c r="E112" s="6" t="str">
        <f>VLOOKUP(Tabla1[[#This Row],[ID_PARTIDO]],Original!$AT$1:$AY$46,3,FALSE)</f>
        <v xml:space="preserve">Juan Pablo Aponte Veloza </v>
      </c>
      <c r="F112" s="6" t="str">
        <f>VLOOKUP(Tabla1[[#This Row],[ID_PARTIDO]],Original!$AT$1:$AY$46,4,FALSE)</f>
        <v xml:space="preserve">Carlos Felipe Andrade Sáenz </v>
      </c>
      <c r="G112" s="6" t="str">
        <f>VLOOKUP(Tabla1[[#This Row],[ID_PARTIDO]],Original!$AT$1:$AY$46,5,FALSE)</f>
        <v>Jorge Enrique Lugo Lopez</v>
      </c>
      <c r="H112" t="s">
        <v>7</v>
      </c>
      <c r="I112" t="s">
        <v>14</v>
      </c>
      <c r="J112" t="s">
        <v>7</v>
      </c>
      <c r="K112" t="s">
        <v>14</v>
      </c>
      <c r="L112">
        <v>0</v>
      </c>
      <c r="M112">
        <v>1</v>
      </c>
    </row>
    <row r="113" spans="1:13">
      <c r="A113">
        <v>21</v>
      </c>
      <c r="B113">
        <v>1</v>
      </c>
      <c r="C113">
        <v>7</v>
      </c>
      <c r="D113" s="6" t="str">
        <f>VLOOKUP(Tabla1[[#This Row],[ID_PARTIDO]],Original!$AT$1:$AY$46,2,FALSE)</f>
        <v xml:space="preserve">Daniel Gutierrez </v>
      </c>
      <c r="E113" s="6" t="str">
        <f>VLOOKUP(Tabla1[[#This Row],[ID_PARTIDO]],Original!$AT$1:$AY$46,3,FALSE)</f>
        <v xml:space="preserve">Juan Pablo Aponte Veloza </v>
      </c>
      <c r="F113" s="6" t="str">
        <f>VLOOKUP(Tabla1[[#This Row],[ID_PARTIDO]],Original!$AT$1:$AY$46,4,FALSE)</f>
        <v xml:space="preserve">Carlos Felipe Andrade Sáenz </v>
      </c>
      <c r="G113" s="6" t="str">
        <f>VLOOKUP(Tabla1[[#This Row],[ID_PARTIDO]],Original!$AT$1:$AY$46,5,FALSE)</f>
        <v>Jorge Enrique Lugo Lopez</v>
      </c>
      <c r="H113" t="s">
        <v>7</v>
      </c>
      <c r="I113" t="s">
        <v>14</v>
      </c>
      <c r="J113" t="s">
        <v>7</v>
      </c>
      <c r="K113" t="s">
        <v>14</v>
      </c>
      <c r="L113">
        <v>0</v>
      </c>
      <c r="M113">
        <v>1</v>
      </c>
    </row>
    <row r="114" spans="1:13">
      <c r="A114">
        <v>21</v>
      </c>
      <c r="B114">
        <v>1</v>
      </c>
      <c r="C114">
        <v>8</v>
      </c>
      <c r="D114" s="6" t="str">
        <f>VLOOKUP(Tabla1[[#This Row],[ID_PARTIDO]],Original!$AT$1:$AY$46,2,FALSE)</f>
        <v xml:space="preserve">Daniel Gutierrez </v>
      </c>
      <c r="E114" s="6" t="str">
        <f>VLOOKUP(Tabla1[[#This Row],[ID_PARTIDO]],Original!$AT$1:$AY$46,3,FALSE)</f>
        <v xml:space="preserve">Juan Pablo Aponte Veloza </v>
      </c>
      <c r="F114" s="6" t="str">
        <f>VLOOKUP(Tabla1[[#This Row],[ID_PARTIDO]],Original!$AT$1:$AY$46,4,FALSE)</f>
        <v xml:space="preserve">Carlos Felipe Andrade Sáenz </v>
      </c>
      <c r="G114" s="6" t="str">
        <f>VLOOKUP(Tabla1[[#This Row],[ID_PARTIDO]],Original!$AT$1:$AY$46,5,FALSE)</f>
        <v>Jorge Enrique Lugo Lopez</v>
      </c>
      <c r="H114" t="s">
        <v>7</v>
      </c>
      <c r="I114" t="s">
        <v>14</v>
      </c>
      <c r="J114" t="s">
        <v>7</v>
      </c>
      <c r="K114" t="s">
        <v>14</v>
      </c>
      <c r="L114">
        <v>0</v>
      </c>
      <c r="M114">
        <v>1</v>
      </c>
    </row>
    <row r="115" spans="1:13">
      <c r="A115">
        <v>21</v>
      </c>
      <c r="B115">
        <v>1</v>
      </c>
      <c r="C115">
        <v>9</v>
      </c>
      <c r="D115" s="6" t="str">
        <f>VLOOKUP(Tabla1[[#This Row],[ID_PARTIDO]],Original!$AT$1:$AY$46,2,FALSE)</f>
        <v xml:space="preserve">Daniel Gutierrez </v>
      </c>
      <c r="E115" s="6" t="str">
        <f>VLOOKUP(Tabla1[[#This Row],[ID_PARTIDO]],Original!$AT$1:$AY$46,3,FALSE)</f>
        <v xml:space="preserve">Juan Pablo Aponte Veloza </v>
      </c>
      <c r="F115" s="6" t="str">
        <f>VLOOKUP(Tabla1[[#This Row],[ID_PARTIDO]],Original!$AT$1:$AY$46,4,FALSE)</f>
        <v xml:space="preserve">Carlos Felipe Andrade Sáenz </v>
      </c>
      <c r="G115" s="6" t="str">
        <f>VLOOKUP(Tabla1[[#This Row],[ID_PARTIDO]],Original!$AT$1:$AY$46,5,FALSE)</f>
        <v>Jorge Enrique Lugo Lopez</v>
      </c>
      <c r="H115" t="s">
        <v>7</v>
      </c>
      <c r="I115" t="s">
        <v>14</v>
      </c>
      <c r="J115" t="s">
        <v>7</v>
      </c>
      <c r="K115" t="s">
        <v>14</v>
      </c>
      <c r="L115">
        <v>0</v>
      </c>
      <c r="M115">
        <v>1</v>
      </c>
    </row>
    <row r="116" spans="1:13">
      <c r="A116">
        <v>33</v>
      </c>
      <c r="B116">
        <v>1</v>
      </c>
      <c r="C116">
        <v>1</v>
      </c>
      <c r="D116" s="6" t="str">
        <f>VLOOKUP(Tabla1[[#This Row],[ID_PARTIDO]],Original!$AT$1:$AY$46,2,FALSE)</f>
        <v>David Santiago Medina Buitrago</v>
      </c>
      <c r="E116" s="6" t="str">
        <f>VLOOKUP(Tabla1[[#This Row],[ID_PARTIDO]],Original!$AT$1:$AY$46,3,FALSE)</f>
        <v>Jaime Andres Castillo Alvarez</v>
      </c>
      <c r="F116" s="6" t="str">
        <f>VLOOKUP(Tabla1[[#This Row],[ID_PARTIDO]],Original!$AT$1:$AY$46,4,FALSE)</f>
        <v xml:space="preserve">David Santiago Murcia Barrera </v>
      </c>
      <c r="G116" s="6" t="str">
        <f>VLOOKUP(Tabla1[[#This Row],[ID_PARTIDO]],Original!$AT$1:$AY$46,5,FALSE)</f>
        <v>Valentina Alejandra Lopez Romero</v>
      </c>
      <c r="H116" t="s">
        <v>7</v>
      </c>
      <c r="I116" t="s">
        <v>14</v>
      </c>
      <c r="J116" t="s">
        <v>14</v>
      </c>
      <c r="K116" t="s">
        <v>7</v>
      </c>
      <c r="L116">
        <v>1</v>
      </c>
      <c r="M116">
        <v>0</v>
      </c>
    </row>
    <row r="117" spans="1:13">
      <c r="A117">
        <v>33</v>
      </c>
      <c r="B117">
        <v>1</v>
      </c>
      <c r="C117">
        <v>2</v>
      </c>
      <c r="D117" s="6" t="str">
        <f>VLOOKUP(Tabla1[[#This Row],[ID_PARTIDO]],Original!$AT$1:$AY$46,2,FALSE)</f>
        <v>David Santiago Medina Buitrago</v>
      </c>
      <c r="E117" s="6" t="str">
        <f>VLOOKUP(Tabla1[[#This Row],[ID_PARTIDO]],Original!$AT$1:$AY$46,3,FALSE)</f>
        <v>Jaime Andres Castillo Alvarez</v>
      </c>
      <c r="F117" s="6" t="str">
        <f>VLOOKUP(Tabla1[[#This Row],[ID_PARTIDO]],Original!$AT$1:$AY$46,4,FALSE)</f>
        <v xml:space="preserve">David Santiago Murcia Barrera </v>
      </c>
      <c r="G117" s="6" t="str">
        <f>VLOOKUP(Tabla1[[#This Row],[ID_PARTIDO]],Original!$AT$1:$AY$46,5,FALSE)</f>
        <v>Valentina Alejandra Lopez Romero</v>
      </c>
      <c r="H117" t="s">
        <v>7</v>
      </c>
      <c r="I117" t="s">
        <v>14</v>
      </c>
      <c r="J117" t="s">
        <v>14</v>
      </c>
      <c r="K117" t="s">
        <v>7</v>
      </c>
      <c r="L117">
        <v>1</v>
      </c>
      <c r="M117">
        <v>0</v>
      </c>
    </row>
    <row r="118" spans="1:13">
      <c r="A118">
        <v>33</v>
      </c>
      <c r="B118">
        <v>1</v>
      </c>
      <c r="C118">
        <v>3</v>
      </c>
      <c r="D118" s="6" t="str">
        <f>VLOOKUP(Tabla1[[#This Row],[ID_PARTIDO]],Original!$AT$1:$AY$46,2,FALSE)</f>
        <v>David Santiago Medina Buitrago</v>
      </c>
      <c r="E118" s="6" t="str">
        <f>VLOOKUP(Tabla1[[#This Row],[ID_PARTIDO]],Original!$AT$1:$AY$46,3,FALSE)</f>
        <v>Jaime Andres Castillo Alvarez</v>
      </c>
      <c r="F118" s="6" t="str">
        <f>VLOOKUP(Tabla1[[#This Row],[ID_PARTIDO]],Original!$AT$1:$AY$46,4,FALSE)</f>
        <v xml:space="preserve">David Santiago Murcia Barrera </v>
      </c>
      <c r="G118" s="6" t="str">
        <f>VLOOKUP(Tabla1[[#This Row],[ID_PARTIDO]],Original!$AT$1:$AY$46,5,FALSE)</f>
        <v>Valentina Alejandra Lopez Romero</v>
      </c>
      <c r="H118" t="s">
        <v>7</v>
      </c>
      <c r="I118" t="s">
        <v>14</v>
      </c>
      <c r="J118" t="s">
        <v>14</v>
      </c>
      <c r="K118" t="s">
        <v>7</v>
      </c>
      <c r="L118">
        <v>0</v>
      </c>
      <c r="M118">
        <v>1</v>
      </c>
    </row>
    <row r="119" spans="1:13">
      <c r="A119">
        <v>33</v>
      </c>
      <c r="B119">
        <v>1</v>
      </c>
      <c r="C119">
        <v>4</v>
      </c>
      <c r="D119" s="6" t="str">
        <f>VLOOKUP(Tabla1[[#This Row],[ID_PARTIDO]],Original!$AT$1:$AY$46,2,FALSE)</f>
        <v>David Santiago Medina Buitrago</v>
      </c>
      <c r="E119" s="6" t="str">
        <f>VLOOKUP(Tabla1[[#This Row],[ID_PARTIDO]],Original!$AT$1:$AY$46,3,FALSE)</f>
        <v>Jaime Andres Castillo Alvarez</v>
      </c>
      <c r="F119" s="6" t="str">
        <f>VLOOKUP(Tabla1[[#This Row],[ID_PARTIDO]],Original!$AT$1:$AY$46,4,FALSE)</f>
        <v xml:space="preserve">David Santiago Murcia Barrera </v>
      </c>
      <c r="G119" s="6" t="str">
        <f>VLOOKUP(Tabla1[[#This Row],[ID_PARTIDO]],Original!$AT$1:$AY$46,5,FALSE)</f>
        <v>Valentina Alejandra Lopez Romero</v>
      </c>
      <c r="H119" t="s">
        <v>7</v>
      </c>
      <c r="I119" t="s">
        <v>14</v>
      </c>
      <c r="J119" t="s">
        <v>14</v>
      </c>
      <c r="K119" t="s">
        <v>7</v>
      </c>
      <c r="L119">
        <v>0</v>
      </c>
      <c r="M119">
        <v>1</v>
      </c>
    </row>
    <row r="120" spans="1:13">
      <c r="A120">
        <v>33</v>
      </c>
      <c r="B120">
        <v>1</v>
      </c>
      <c r="C120">
        <v>5</v>
      </c>
      <c r="D120" s="6" t="str">
        <f>VLOOKUP(Tabla1[[#This Row],[ID_PARTIDO]],Original!$AT$1:$AY$46,2,FALSE)</f>
        <v>David Santiago Medina Buitrago</v>
      </c>
      <c r="E120" s="6" t="str">
        <f>VLOOKUP(Tabla1[[#This Row],[ID_PARTIDO]],Original!$AT$1:$AY$46,3,FALSE)</f>
        <v>Jaime Andres Castillo Alvarez</v>
      </c>
      <c r="F120" s="6" t="str">
        <f>VLOOKUP(Tabla1[[#This Row],[ID_PARTIDO]],Original!$AT$1:$AY$46,4,FALSE)</f>
        <v xml:space="preserve">David Santiago Murcia Barrera </v>
      </c>
      <c r="G120" s="6" t="str">
        <f>VLOOKUP(Tabla1[[#This Row],[ID_PARTIDO]],Original!$AT$1:$AY$46,5,FALSE)</f>
        <v>Valentina Alejandra Lopez Romero</v>
      </c>
      <c r="H120" t="s">
        <v>7</v>
      </c>
      <c r="I120" t="s">
        <v>14</v>
      </c>
      <c r="J120" t="s">
        <v>14</v>
      </c>
      <c r="K120" t="s">
        <v>7</v>
      </c>
      <c r="L120">
        <v>1</v>
      </c>
      <c r="M120">
        <v>0</v>
      </c>
    </row>
    <row r="121" spans="1:13">
      <c r="A121">
        <v>33</v>
      </c>
      <c r="B121">
        <v>1</v>
      </c>
      <c r="C121">
        <v>6</v>
      </c>
      <c r="D121" s="6" t="str">
        <f>VLOOKUP(Tabla1[[#This Row],[ID_PARTIDO]],Original!$AT$1:$AY$46,2,FALSE)</f>
        <v>David Santiago Medina Buitrago</v>
      </c>
      <c r="E121" s="6" t="str">
        <f>VLOOKUP(Tabla1[[#This Row],[ID_PARTIDO]],Original!$AT$1:$AY$46,3,FALSE)</f>
        <v>Jaime Andres Castillo Alvarez</v>
      </c>
      <c r="F121" s="6" t="str">
        <f>VLOOKUP(Tabla1[[#This Row],[ID_PARTIDO]],Original!$AT$1:$AY$46,4,FALSE)</f>
        <v xml:space="preserve">David Santiago Murcia Barrera </v>
      </c>
      <c r="G121" s="6" t="str">
        <f>VLOOKUP(Tabla1[[#This Row],[ID_PARTIDO]],Original!$AT$1:$AY$46,5,FALSE)</f>
        <v>Valentina Alejandra Lopez Romero</v>
      </c>
      <c r="H121" t="s">
        <v>7</v>
      </c>
      <c r="I121" t="s">
        <v>14</v>
      </c>
      <c r="J121" t="s">
        <v>14</v>
      </c>
      <c r="K121" t="s">
        <v>7</v>
      </c>
      <c r="L121">
        <v>1</v>
      </c>
      <c r="M121">
        <v>0</v>
      </c>
    </row>
    <row r="122" spans="1:13">
      <c r="A122">
        <v>33</v>
      </c>
      <c r="B122">
        <v>1</v>
      </c>
      <c r="C122">
        <v>7</v>
      </c>
      <c r="D122" s="6" t="str">
        <f>VLOOKUP(Tabla1[[#This Row],[ID_PARTIDO]],Original!$AT$1:$AY$46,2,FALSE)</f>
        <v>David Santiago Medina Buitrago</v>
      </c>
      <c r="E122" s="6" t="str">
        <f>VLOOKUP(Tabla1[[#This Row],[ID_PARTIDO]],Original!$AT$1:$AY$46,3,FALSE)</f>
        <v>Jaime Andres Castillo Alvarez</v>
      </c>
      <c r="F122" s="6" t="str">
        <f>VLOOKUP(Tabla1[[#This Row],[ID_PARTIDO]],Original!$AT$1:$AY$46,4,FALSE)</f>
        <v xml:space="preserve">David Santiago Murcia Barrera </v>
      </c>
      <c r="G122" s="6" t="str">
        <f>VLOOKUP(Tabla1[[#This Row],[ID_PARTIDO]],Original!$AT$1:$AY$46,5,FALSE)</f>
        <v>Valentina Alejandra Lopez Romero</v>
      </c>
      <c r="H122" t="s">
        <v>7</v>
      </c>
      <c r="I122" t="s">
        <v>14</v>
      </c>
      <c r="J122" t="s">
        <v>14</v>
      </c>
      <c r="K122" t="s">
        <v>7</v>
      </c>
      <c r="L122">
        <v>0</v>
      </c>
      <c r="M122">
        <v>1</v>
      </c>
    </row>
    <row r="123" spans="1:13">
      <c r="A123">
        <v>33</v>
      </c>
      <c r="B123">
        <v>1</v>
      </c>
      <c r="C123">
        <v>8</v>
      </c>
      <c r="D123" s="6" t="str">
        <f>VLOOKUP(Tabla1[[#This Row],[ID_PARTIDO]],Original!$AT$1:$AY$46,2,FALSE)</f>
        <v>David Santiago Medina Buitrago</v>
      </c>
      <c r="E123" s="6" t="str">
        <f>VLOOKUP(Tabla1[[#This Row],[ID_PARTIDO]],Original!$AT$1:$AY$46,3,FALSE)</f>
        <v>Jaime Andres Castillo Alvarez</v>
      </c>
      <c r="F123" s="6" t="str">
        <f>VLOOKUP(Tabla1[[#This Row],[ID_PARTIDO]],Original!$AT$1:$AY$46,4,FALSE)</f>
        <v xml:space="preserve">David Santiago Murcia Barrera </v>
      </c>
      <c r="G123" s="6" t="str">
        <f>VLOOKUP(Tabla1[[#This Row],[ID_PARTIDO]],Original!$AT$1:$AY$46,5,FALSE)</f>
        <v>Valentina Alejandra Lopez Romero</v>
      </c>
      <c r="H123" t="s">
        <v>7</v>
      </c>
      <c r="I123" t="s">
        <v>14</v>
      </c>
      <c r="J123" t="s">
        <v>14</v>
      </c>
      <c r="K123" t="s">
        <v>7</v>
      </c>
      <c r="L123">
        <v>0</v>
      </c>
      <c r="M123">
        <v>1</v>
      </c>
    </row>
    <row r="124" spans="1:13">
      <c r="A124">
        <v>33</v>
      </c>
      <c r="B124">
        <v>1</v>
      </c>
      <c r="C124">
        <v>9</v>
      </c>
      <c r="D124" s="6" t="str">
        <f>VLOOKUP(Tabla1[[#This Row],[ID_PARTIDO]],Original!$AT$1:$AY$46,2,FALSE)</f>
        <v>David Santiago Medina Buitrago</v>
      </c>
      <c r="E124" s="6" t="str">
        <f>VLOOKUP(Tabla1[[#This Row],[ID_PARTIDO]],Original!$AT$1:$AY$46,3,FALSE)</f>
        <v>Jaime Andres Castillo Alvarez</v>
      </c>
      <c r="F124" s="6" t="str">
        <f>VLOOKUP(Tabla1[[#This Row],[ID_PARTIDO]],Original!$AT$1:$AY$46,4,FALSE)</f>
        <v xml:space="preserve">David Santiago Murcia Barrera </v>
      </c>
      <c r="G124" s="6" t="str">
        <f>VLOOKUP(Tabla1[[#This Row],[ID_PARTIDO]],Original!$AT$1:$AY$46,5,FALSE)</f>
        <v>Valentina Alejandra Lopez Romero</v>
      </c>
      <c r="H124" t="s">
        <v>7</v>
      </c>
      <c r="I124" t="s">
        <v>14</v>
      </c>
      <c r="J124" t="s">
        <v>14</v>
      </c>
      <c r="K124" t="s">
        <v>7</v>
      </c>
      <c r="L124">
        <v>1</v>
      </c>
      <c r="M124">
        <v>0</v>
      </c>
    </row>
    <row r="125" spans="1:13">
      <c r="A125">
        <v>33</v>
      </c>
      <c r="B125">
        <v>1</v>
      </c>
      <c r="C125">
        <v>10</v>
      </c>
      <c r="D125" s="6" t="str">
        <f>VLOOKUP(Tabla1[[#This Row],[ID_PARTIDO]],Original!$AT$1:$AY$46,2,FALSE)</f>
        <v>David Santiago Medina Buitrago</v>
      </c>
      <c r="E125" s="6" t="str">
        <f>VLOOKUP(Tabla1[[#This Row],[ID_PARTIDO]],Original!$AT$1:$AY$46,3,FALSE)</f>
        <v>Jaime Andres Castillo Alvarez</v>
      </c>
      <c r="F125" s="6" t="str">
        <f>VLOOKUP(Tabla1[[#This Row],[ID_PARTIDO]],Original!$AT$1:$AY$46,4,FALSE)</f>
        <v xml:space="preserve">David Santiago Murcia Barrera </v>
      </c>
      <c r="G125" s="6" t="str">
        <f>VLOOKUP(Tabla1[[#This Row],[ID_PARTIDO]],Original!$AT$1:$AY$46,5,FALSE)</f>
        <v>Valentina Alejandra Lopez Romero</v>
      </c>
      <c r="H125" t="s">
        <v>7</v>
      </c>
      <c r="I125" t="s">
        <v>14</v>
      </c>
      <c r="J125" t="s">
        <v>14</v>
      </c>
      <c r="K125" t="s">
        <v>7</v>
      </c>
      <c r="L125">
        <v>0</v>
      </c>
      <c r="M125">
        <v>1</v>
      </c>
    </row>
    <row r="126" spans="1:13">
      <c r="A126">
        <v>33</v>
      </c>
      <c r="B126">
        <v>1</v>
      </c>
      <c r="C126">
        <v>11</v>
      </c>
      <c r="D126" s="6" t="str">
        <f>VLOOKUP(Tabla1[[#This Row],[ID_PARTIDO]],Original!$AT$1:$AY$46,2,FALSE)</f>
        <v>David Santiago Medina Buitrago</v>
      </c>
      <c r="E126" s="6" t="str">
        <f>VLOOKUP(Tabla1[[#This Row],[ID_PARTIDO]],Original!$AT$1:$AY$46,3,FALSE)</f>
        <v>Jaime Andres Castillo Alvarez</v>
      </c>
      <c r="F126" s="6" t="str">
        <f>VLOOKUP(Tabla1[[#This Row],[ID_PARTIDO]],Original!$AT$1:$AY$46,4,FALSE)</f>
        <v xml:space="preserve">David Santiago Murcia Barrera </v>
      </c>
      <c r="G126" s="6" t="str">
        <f>VLOOKUP(Tabla1[[#This Row],[ID_PARTIDO]],Original!$AT$1:$AY$46,5,FALSE)</f>
        <v>Valentina Alejandra Lopez Romero</v>
      </c>
      <c r="H126" t="s">
        <v>7</v>
      </c>
      <c r="I126" t="s">
        <v>14</v>
      </c>
      <c r="J126" t="s">
        <v>14</v>
      </c>
      <c r="K126" t="s">
        <v>7</v>
      </c>
      <c r="L126">
        <v>1</v>
      </c>
      <c r="M126">
        <v>0</v>
      </c>
    </row>
    <row r="127" spans="1:13">
      <c r="A127">
        <v>33</v>
      </c>
      <c r="B127">
        <v>1</v>
      </c>
      <c r="C127">
        <v>12</v>
      </c>
      <c r="D127" s="6" t="str">
        <f>VLOOKUP(Tabla1[[#This Row],[ID_PARTIDO]],Original!$AT$1:$AY$46,2,FALSE)</f>
        <v>David Santiago Medina Buitrago</v>
      </c>
      <c r="E127" s="6" t="str">
        <f>VLOOKUP(Tabla1[[#This Row],[ID_PARTIDO]],Original!$AT$1:$AY$46,3,FALSE)</f>
        <v>Jaime Andres Castillo Alvarez</v>
      </c>
      <c r="F127" s="6" t="str">
        <f>VLOOKUP(Tabla1[[#This Row],[ID_PARTIDO]],Original!$AT$1:$AY$46,4,FALSE)</f>
        <v xml:space="preserve">David Santiago Murcia Barrera </v>
      </c>
      <c r="G127" s="6" t="str">
        <f>VLOOKUP(Tabla1[[#This Row],[ID_PARTIDO]],Original!$AT$1:$AY$46,5,FALSE)</f>
        <v>Valentina Alejandra Lopez Romero</v>
      </c>
      <c r="H127" t="s">
        <v>7</v>
      </c>
      <c r="I127" t="s">
        <v>14</v>
      </c>
      <c r="J127" t="s">
        <v>14</v>
      </c>
      <c r="K127" t="s">
        <v>7</v>
      </c>
      <c r="L127">
        <v>1</v>
      </c>
      <c r="M127">
        <v>0</v>
      </c>
    </row>
    <row r="128" spans="1:13">
      <c r="A128">
        <v>5</v>
      </c>
      <c r="B128">
        <v>1</v>
      </c>
      <c r="C128">
        <v>1</v>
      </c>
      <c r="D128" s="6" t="str">
        <f>VLOOKUP(Tabla1[[#This Row],[ID_PARTIDO]],Original!$AT$1:$AY$46,2,FALSE)</f>
        <v>Jorge Enrique Lugo Lopez</v>
      </c>
      <c r="E128" s="6" t="str">
        <f>VLOOKUP(Tabla1[[#This Row],[ID_PARTIDO]],Original!$AT$1:$AY$46,3,FALSE)</f>
        <v>Isabella Buitrago Hurtado</v>
      </c>
      <c r="F128" s="6" t="str">
        <f>VLOOKUP(Tabla1[[#This Row],[ID_PARTIDO]],Original!$AT$1:$AY$46,4,FALSE)</f>
        <v xml:space="preserve">Daniel Gutierrez </v>
      </c>
      <c r="G128" s="6" t="str">
        <f>VLOOKUP(Tabla1[[#This Row],[ID_PARTIDO]],Original!$AT$1:$AY$46,5,FALSE)</f>
        <v>César Camilo Díaz Cufiño</v>
      </c>
      <c r="H128" t="s">
        <v>7</v>
      </c>
      <c r="I128" t="s">
        <v>14</v>
      </c>
      <c r="J128" t="s">
        <v>14</v>
      </c>
      <c r="K128" t="s">
        <v>7</v>
      </c>
      <c r="L128">
        <v>0</v>
      </c>
      <c r="M128">
        <v>1</v>
      </c>
    </row>
    <row r="129" spans="1:13">
      <c r="A129">
        <v>5</v>
      </c>
      <c r="B129">
        <v>1</v>
      </c>
      <c r="C129">
        <v>2</v>
      </c>
      <c r="D129" s="6" t="str">
        <f>VLOOKUP(Tabla1[[#This Row],[ID_PARTIDO]],Original!$AT$1:$AY$46,2,FALSE)</f>
        <v>Jorge Enrique Lugo Lopez</v>
      </c>
      <c r="E129" s="6" t="str">
        <f>VLOOKUP(Tabla1[[#This Row],[ID_PARTIDO]],Original!$AT$1:$AY$46,3,FALSE)</f>
        <v>Isabella Buitrago Hurtado</v>
      </c>
      <c r="F129" s="6" t="str">
        <f>VLOOKUP(Tabla1[[#This Row],[ID_PARTIDO]],Original!$AT$1:$AY$46,4,FALSE)</f>
        <v xml:space="preserve">Daniel Gutierrez </v>
      </c>
      <c r="G129" s="6" t="str">
        <f>VLOOKUP(Tabla1[[#This Row],[ID_PARTIDO]],Original!$AT$1:$AY$46,5,FALSE)</f>
        <v>César Camilo Díaz Cufiño</v>
      </c>
      <c r="H129" t="s">
        <v>7</v>
      </c>
      <c r="I129" t="s">
        <v>14</v>
      </c>
      <c r="J129" t="s">
        <v>14</v>
      </c>
      <c r="K129" t="s">
        <v>7</v>
      </c>
      <c r="L129">
        <v>1</v>
      </c>
      <c r="M129">
        <v>0</v>
      </c>
    </row>
    <row r="130" spans="1:13">
      <c r="A130">
        <v>5</v>
      </c>
      <c r="B130">
        <v>1</v>
      </c>
      <c r="C130">
        <v>3</v>
      </c>
      <c r="D130" s="6" t="str">
        <f>VLOOKUP(Tabla1[[#This Row],[ID_PARTIDO]],Original!$AT$1:$AY$46,2,FALSE)</f>
        <v>Jorge Enrique Lugo Lopez</v>
      </c>
      <c r="E130" s="6" t="str">
        <f>VLOOKUP(Tabla1[[#This Row],[ID_PARTIDO]],Original!$AT$1:$AY$46,3,FALSE)</f>
        <v>Isabella Buitrago Hurtado</v>
      </c>
      <c r="F130" s="6" t="str">
        <f>VLOOKUP(Tabla1[[#This Row],[ID_PARTIDO]],Original!$AT$1:$AY$46,4,FALSE)</f>
        <v xml:space="preserve">Daniel Gutierrez </v>
      </c>
      <c r="G130" s="6" t="str">
        <f>VLOOKUP(Tabla1[[#This Row],[ID_PARTIDO]],Original!$AT$1:$AY$46,5,FALSE)</f>
        <v>César Camilo Díaz Cufiño</v>
      </c>
      <c r="H130" t="s">
        <v>7</v>
      </c>
      <c r="I130" t="s">
        <v>14</v>
      </c>
      <c r="J130" t="s">
        <v>14</v>
      </c>
      <c r="K130" t="s">
        <v>7</v>
      </c>
      <c r="L130">
        <v>1</v>
      </c>
      <c r="M130">
        <v>0</v>
      </c>
    </row>
    <row r="131" spans="1:13">
      <c r="A131">
        <v>5</v>
      </c>
      <c r="B131">
        <v>1</v>
      </c>
      <c r="C131">
        <v>4</v>
      </c>
      <c r="D131" s="6" t="str">
        <f>VLOOKUP(Tabla1[[#This Row],[ID_PARTIDO]],Original!$AT$1:$AY$46,2,FALSE)</f>
        <v>Jorge Enrique Lugo Lopez</v>
      </c>
      <c r="E131" s="6" t="str">
        <f>VLOOKUP(Tabla1[[#This Row],[ID_PARTIDO]],Original!$AT$1:$AY$46,3,FALSE)</f>
        <v>Isabella Buitrago Hurtado</v>
      </c>
      <c r="F131" s="6" t="str">
        <f>VLOOKUP(Tabla1[[#This Row],[ID_PARTIDO]],Original!$AT$1:$AY$46,4,FALSE)</f>
        <v xml:space="preserve">Daniel Gutierrez </v>
      </c>
      <c r="G131" s="6" t="str">
        <f>VLOOKUP(Tabla1[[#This Row],[ID_PARTIDO]],Original!$AT$1:$AY$46,5,FALSE)</f>
        <v>César Camilo Díaz Cufiño</v>
      </c>
      <c r="H131" t="s">
        <v>7</v>
      </c>
      <c r="I131" t="s">
        <v>14</v>
      </c>
      <c r="J131" t="s">
        <v>14</v>
      </c>
      <c r="K131" t="s">
        <v>7</v>
      </c>
      <c r="L131">
        <v>1</v>
      </c>
      <c r="M131">
        <v>0</v>
      </c>
    </row>
    <row r="132" spans="1:13">
      <c r="A132">
        <v>5</v>
      </c>
      <c r="B132">
        <v>1</v>
      </c>
      <c r="C132">
        <v>5</v>
      </c>
      <c r="D132" s="6" t="str">
        <f>VLOOKUP(Tabla1[[#This Row],[ID_PARTIDO]],Original!$AT$1:$AY$46,2,FALSE)</f>
        <v>Jorge Enrique Lugo Lopez</v>
      </c>
      <c r="E132" s="6" t="str">
        <f>VLOOKUP(Tabla1[[#This Row],[ID_PARTIDO]],Original!$AT$1:$AY$46,3,FALSE)</f>
        <v>Isabella Buitrago Hurtado</v>
      </c>
      <c r="F132" s="6" t="str">
        <f>VLOOKUP(Tabla1[[#This Row],[ID_PARTIDO]],Original!$AT$1:$AY$46,4,FALSE)</f>
        <v xml:space="preserve">Daniel Gutierrez </v>
      </c>
      <c r="G132" s="6" t="str">
        <f>VLOOKUP(Tabla1[[#This Row],[ID_PARTIDO]],Original!$AT$1:$AY$46,5,FALSE)</f>
        <v>César Camilo Díaz Cufiño</v>
      </c>
      <c r="H132" t="s">
        <v>7</v>
      </c>
      <c r="I132" t="s">
        <v>14</v>
      </c>
      <c r="J132" t="s">
        <v>14</v>
      </c>
      <c r="K132" t="s">
        <v>7</v>
      </c>
      <c r="L132">
        <v>0</v>
      </c>
      <c r="M132">
        <v>1</v>
      </c>
    </row>
    <row r="133" spans="1:13">
      <c r="A133">
        <v>5</v>
      </c>
      <c r="B133">
        <v>1</v>
      </c>
      <c r="C133">
        <v>6</v>
      </c>
      <c r="D133" s="6" t="str">
        <f>VLOOKUP(Tabla1[[#This Row],[ID_PARTIDO]],Original!$AT$1:$AY$46,2,FALSE)</f>
        <v>Jorge Enrique Lugo Lopez</v>
      </c>
      <c r="E133" s="6" t="str">
        <f>VLOOKUP(Tabla1[[#This Row],[ID_PARTIDO]],Original!$AT$1:$AY$46,3,FALSE)</f>
        <v>Isabella Buitrago Hurtado</v>
      </c>
      <c r="F133" s="6" t="str">
        <f>VLOOKUP(Tabla1[[#This Row],[ID_PARTIDO]],Original!$AT$1:$AY$46,4,FALSE)</f>
        <v xml:space="preserve">Daniel Gutierrez </v>
      </c>
      <c r="G133" s="6" t="str">
        <f>VLOOKUP(Tabla1[[#This Row],[ID_PARTIDO]],Original!$AT$1:$AY$46,5,FALSE)</f>
        <v>César Camilo Díaz Cufiño</v>
      </c>
      <c r="H133" t="s">
        <v>7</v>
      </c>
      <c r="I133" t="s">
        <v>14</v>
      </c>
      <c r="J133" t="s">
        <v>14</v>
      </c>
      <c r="K133" t="s">
        <v>7</v>
      </c>
      <c r="L133">
        <v>0</v>
      </c>
      <c r="M133">
        <v>1</v>
      </c>
    </row>
    <row r="134" spans="1:13">
      <c r="A134">
        <v>5</v>
      </c>
      <c r="B134">
        <v>1</v>
      </c>
      <c r="C134">
        <v>7</v>
      </c>
      <c r="D134" s="6" t="str">
        <f>VLOOKUP(Tabla1[[#This Row],[ID_PARTIDO]],Original!$AT$1:$AY$46,2,FALSE)</f>
        <v>Jorge Enrique Lugo Lopez</v>
      </c>
      <c r="E134" s="6" t="str">
        <f>VLOOKUP(Tabla1[[#This Row],[ID_PARTIDO]],Original!$AT$1:$AY$46,3,FALSE)</f>
        <v>Isabella Buitrago Hurtado</v>
      </c>
      <c r="F134" s="6" t="str">
        <f>VLOOKUP(Tabla1[[#This Row],[ID_PARTIDO]],Original!$AT$1:$AY$46,4,FALSE)</f>
        <v xml:space="preserve">Daniel Gutierrez </v>
      </c>
      <c r="G134" s="6" t="str">
        <f>VLOOKUP(Tabla1[[#This Row],[ID_PARTIDO]],Original!$AT$1:$AY$46,5,FALSE)</f>
        <v>César Camilo Díaz Cufiño</v>
      </c>
      <c r="H134" t="s">
        <v>7</v>
      </c>
      <c r="I134" t="s">
        <v>14</v>
      </c>
      <c r="J134" t="s">
        <v>14</v>
      </c>
      <c r="K134" t="s">
        <v>7</v>
      </c>
      <c r="L134">
        <v>1</v>
      </c>
      <c r="M134">
        <v>0</v>
      </c>
    </row>
    <row r="135" spans="1:13">
      <c r="A135">
        <v>5</v>
      </c>
      <c r="B135">
        <v>1</v>
      </c>
      <c r="C135">
        <v>8</v>
      </c>
      <c r="D135" s="6" t="str">
        <f>VLOOKUP(Tabla1[[#This Row],[ID_PARTIDO]],Original!$AT$1:$AY$46,2,FALSE)</f>
        <v>Jorge Enrique Lugo Lopez</v>
      </c>
      <c r="E135" s="6" t="str">
        <f>VLOOKUP(Tabla1[[#This Row],[ID_PARTIDO]],Original!$AT$1:$AY$46,3,FALSE)</f>
        <v>Isabella Buitrago Hurtado</v>
      </c>
      <c r="F135" s="6" t="str">
        <f>VLOOKUP(Tabla1[[#This Row],[ID_PARTIDO]],Original!$AT$1:$AY$46,4,FALSE)</f>
        <v xml:space="preserve">Daniel Gutierrez </v>
      </c>
      <c r="G135" s="6" t="str">
        <f>VLOOKUP(Tabla1[[#This Row],[ID_PARTIDO]],Original!$AT$1:$AY$46,5,FALSE)</f>
        <v>César Camilo Díaz Cufiño</v>
      </c>
      <c r="H135" t="s">
        <v>7</v>
      </c>
      <c r="I135" t="s">
        <v>14</v>
      </c>
      <c r="J135" t="s">
        <v>14</v>
      </c>
      <c r="K135" t="s">
        <v>7</v>
      </c>
      <c r="L135">
        <v>0</v>
      </c>
      <c r="M135">
        <v>1</v>
      </c>
    </row>
    <row r="136" spans="1:13">
      <c r="A136">
        <v>5</v>
      </c>
      <c r="B136">
        <v>1</v>
      </c>
      <c r="C136">
        <v>9</v>
      </c>
      <c r="D136" s="6" t="str">
        <f>VLOOKUP(Tabla1[[#This Row],[ID_PARTIDO]],Original!$AT$1:$AY$46,2,FALSE)</f>
        <v>Jorge Enrique Lugo Lopez</v>
      </c>
      <c r="E136" s="6" t="str">
        <f>VLOOKUP(Tabla1[[#This Row],[ID_PARTIDO]],Original!$AT$1:$AY$46,3,FALSE)</f>
        <v>Isabella Buitrago Hurtado</v>
      </c>
      <c r="F136" s="6" t="str">
        <f>VLOOKUP(Tabla1[[#This Row],[ID_PARTIDO]],Original!$AT$1:$AY$46,4,FALSE)</f>
        <v xml:space="preserve">Daniel Gutierrez </v>
      </c>
      <c r="G136" s="6" t="str">
        <f>VLOOKUP(Tabla1[[#This Row],[ID_PARTIDO]],Original!$AT$1:$AY$46,5,FALSE)</f>
        <v>César Camilo Díaz Cufiño</v>
      </c>
      <c r="H136" t="s">
        <v>7</v>
      </c>
      <c r="I136" t="s">
        <v>14</v>
      </c>
      <c r="J136" t="s">
        <v>14</v>
      </c>
      <c r="K136" t="s">
        <v>7</v>
      </c>
      <c r="L136">
        <v>1</v>
      </c>
      <c r="M136">
        <v>0</v>
      </c>
    </row>
    <row r="137" spans="1:13">
      <c r="A137">
        <v>5</v>
      </c>
      <c r="B137">
        <v>1</v>
      </c>
      <c r="C137">
        <v>10</v>
      </c>
      <c r="D137" s="6" t="str">
        <f>VLOOKUP(Tabla1[[#This Row],[ID_PARTIDO]],Original!$AT$1:$AY$46,2,FALSE)</f>
        <v>Jorge Enrique Lugo Lopez</v>
      </c>
      <c r="E137" s="6" t="str">
        <f>VLOOKUP(Tabla1[[#This Row],[ID_PARTIDO]],Original!$AT$1:$AY$46,3,FALSE)</f>
        <v>Isabella Buitrago Hurtado</v>
      </c>
      <c r="F137" s="6" t="str">
        <f>VLOOKUP(Tabla1[[#This Row],[ID_PARTIDO]],Original!$AT$1:$AY$46,4,FALSE)</f>
        <v xml:space="preserve">Daniel Gutierrez </v>
      </c>
      <c r="G137" s="6" t="str">
        <f>VLOOKUP(Tabla1[[#This Row],[ID_PARTIDO]],Original!$AT$1:$AY$46,5,FALSE)</f>
        <v>César Camilo Díaz Cufiño</v>
      </c>
      <c r="H137" t="s">
        <v>7</v>
      </c>
      <c r="I137" t="s">
        <v>14</v>
      </c>
      <c r="J137" t="s">
        <v>14</v>
      </c>
      <c r="K137" t="s">
        <v>7</v>
      </c>
      <c r="L137">
        <v>1</v>
      </c>
      <c r="M137">
        <v>0</v>
      </c>
    </row>
    <row r="138" spans="1:13">
      <c r="A138">
        <v>5</v>
      </c>
      <c r="B138">
        <v>1</v>
      </c>
      <c r="C138">
        <v>11</v>
      </c>
      <c r="D138" s="6" t="str">
        <f>VLOOKUP(Tabla1[[#This Row],[ID_PARTIDO]],Original!$AT$1:$AY$46,2,FALSE)</f>
        <v>Jorge Enrique Lugo Lopez</v>
      </c>
      <c r="E138" s="6" t="str">
        <f>VLOOKUP(Tabla1[[#This Row],[ID_PARTIDO]],Original!$AT$1:$AY$46,3,FALSE)</f>
        <v>Isabella Buitrago Hurtado</v>
      </c>
      <c r="F138" s="6" t="str">
        <f>VLOOKUP(Tabla1[[#This Row],[ID_PARTIDO]],Original!$AT$1:$AY$46,4,FALSE)</f>
        <v xml:space="preserve">Daniel Gutierrez </v>
      </c>
      <c r="G138" s="6" t="str">
        <f>VLOOKUP(Tabla1[[#This Row],[ID_PARTIDO]],Original!$AT$1:$AY$46,5,FALSE)</f>
        <v>César Camilo Díaz Cufiño</v>
      </c>
      <c r="H138" t="s">
        <v>7</v>
      </c>
      <c r="I138" t="s">
        <v>14</v>
      </c>
      <c r="J138" t="s">
        <v>14</v>
      </c>
      <c r="K138" t="s">
        <v>7</v>
      </c>
      <c r="L138">
        <v>0</v>
      </c>
      <c r="M138">
        <v>1</v>
      </c>
    </row>
    <row r="139" spans="1:13">
      <c r="A139">
        <v>5</v>
      </c>
      <c r="B139">
        <v>1</v>
      </c>
      <c r="C139">
        <v>12</v>
      </c>
      <c r="D139" s="6" t="str">
        <f>VLOOKUP(Tabla1[[#This Row],[ID_PARTIDO]],Original!$AT$1:$AY$46,2,FALSE)</f>
        <v>Jorge Enrique Lugo Lopez</v>
      </c>
      <c r="E139" s="6" t="str">
        <f>VLOOKUP(Tabla1[[#This Row],[ID_PARTIDO]],Original!$AT$1:$AY$46,3,FALSE)</f>
        <v>Isabella Buitrago Hurtado</v>
      </c>
      <c r="F139" s="6" t="str">
        <f>VLOOKUP(Tabla1[[#This Row],[ID_PARTIDO]],Original!$AT$1:$AY$46,4,FALSE)</f>
        <v xml:space="preserve">Daniel Gutierrez </v>
      </c>
      <c r="G139" s="6" t="str">
        <f>VLOOKUP(Tabla1[[#This Row],[ID_PARTIDO]],Original!$AT$1:$AY$46,5,FALSE)</f>
        <v>César Camilo Díaz Cufiño</v>
      </c>
      <c r="H139" t="s">
        <v>7</v>
      </c>
      <c r="I139" t="s">
        <v>14</v>
      </c>
      <c r="J139" t="s">
        <v>14</v>
      </c>
      <c r="K139" t="s">
        <v>7</v>
      </c>
      <c r="L139">
        <v>0</v>
      </c>
      <c r="M139">
        <v>1</v>
      </c>
    </row>
    <row r="140" spans="1:13">
      <c r="A140">
        <v>5</v>
      </c>
      <c r="B140">
        <v>1</v>
      </c>
      <c r="C140">
        <v>13</v>
      </c>
      <c r="D140" s="6" t="str">
        <f>VLOOKUP(Tabla1[[#This Row],[ID_PARTIDO]],Original!$AT$1:$AY$46,2,FALSE)</f>
        <v>Jorge Enrique Lugo Lopez</v>
      </c>
      <c r="E140" s="6" t="str">
        <f>VLOOKUP(Tabla1[[#This Row],[ID_PARTIDO]],Original!$AT$1:$AY$46,3,FALSE)</f>
        <v>Isabella Buitrago Hurtado</v>
      </c>
      <c r="F140" s="6" t="str">
        <f>VLOOKUP(Tabla1[[#This Row],[ID_PARTIDO]],Original!$AT$1:$AY$46,4,FALSE)</f>
        <v xml:space="preserve">Daniel Gutierrez </v>
      </c>
      <c r="G140" s="6" t="str">
        <f>VLOOKUP(Tabla1[[#This Row],[ID_PARTIDO]],Original!$AT$1:$AY$46,5,FALSE)</f>
        <v>César Camilo Díaz Cufiño</v>
      </c>
      <c r="H140" t="s">
        <v>7</v>
      </c>
      <c r="I140" t="s">
        <v>14</v>
      </c>
      <c r="J140" t="s">
        <v>14</v>
      </c>
      <c r="K140" t="s">
        <v>7</v>
      </c>
      <c r="L140">
        <v>1</v>
      </c>
      <c r="M140">
        <v>0</v>
      </c>
    </row>
    <row r="141" spans="1:13">
      <c r="A141">
        <v>31</v>
      </c>
      <c r="B141">
        <v>1</v>
      </c>
      <c r="C141">
        <v>1</v>
      </c>
      <c r="D141" s="6" t="str">
        <f>VLOOKUP(Tabla1[[#This Row],[ID_PARTIDO]],Original!$AT$1:$AY$46,2,FALSE)</f>
        <v xml:space="preserve">David Santiago Murcia Barrera </v>
      </c>
      <c r="E141" s="6" t="str">
        <f>VLOOKUP(Tabla1[[#This Row],[ID_PARTIDO]],Original!$AT$1:$AY$46,3,FALSE)</f>
        <v>Isabella Buitrago Hurtado</v>
      </c>
      <c r="F141" s="6" t="str">
        <f>VLOOKUP(Tabla1[[#This Row],[ID_PARTIDO]],Original!$AT$1:$AY$46,4,FALSE)</f>
        <v>Juan Pablo Benitez Bernal</v>
      </c>
      <c r="G141" s="6" t="str">
        <f>VLOOKUP(Tabla1[[#This Row],[ID_PARTIDO]],Original!$AT$1:$AY$46,5,FALSE)</f>
        <v>Samuel Andrés Rodríguez Ulloa</v>
      </c>
      <c r="H141" t="s">
        <v>14</v>
      </c>
      <c r="I141" t="s">
        <v>7</v>
      </c>
      <c r="J141" t="s">
        <v>14</v>
      </c>
      <c r="K141" t="s">
        <v>7</v>
      </c>
      <c r="L141">
        <v>0</v>
      </c>
      <c r="M141">
        <v>1</v>
      </c>
    </row>
    <row r="142" spans="1:13">
      <c r="A142">
        <v>31</v>
      </c>
      <c r="B142">
        <v>1</v>
      </c>
      <c r="C142">
        <v>2</v>
      </c>
      <c r="D142" s="6" t="str">
        <f>VLOOKUP(Tabla1[[#This Row],[ID_PARTIDO]],Original!$AT$1:$AY$46,2,FALSE)</f>
        <v xml:space="preserve">David Santiago Murcia Barrera </v>
      </c>
      <c r="E142" s="6" t="str">
        <f>VLOOKUP(Tabla1[[#This Row],[ID_PARTIDO]],Original!$AT$1:$AY$46,3,FALSE)</f>
        <v>Isabella Buitrago Hurtado</v>
      </c>
      <c r="F142" s="6" t="str">
        <f>VLOOKUP(Tabla1[[#This Row],[ID_PARTIDO]],Original!$AT$1:$AY$46,4,FALSE)</f>
        <v>Juan Pablo Benitez Bernal</v>
      </c>
      <c r="G142" s="6" t="str">
        <f>VLOOKUP(Tabla1[[#This Row],[ID_PARTIDO]],Original!$AT$1:$AY$46,5,FALSE)</f>
        <v>Samuel Andrés Rodríguez Ulloa</v>
      </c>
      <c r="H142" t="s">
        <v>14</v>
      </c>
      <c r="I142" t="s">
        <v>7</v>
      </c>
      <c r="J142" t="s">
        <v>14</v>
      </c>
      <c r="K142" t="s">
        <v>7</v>
      </c>
      <c r="L142">
        <v>1</v>
      </c>
      <c r="M142">
        <v>0</v>
      </c>
    </row>
    <row r="143" spans="1:13">
      <c r="A143">
        <v>31</v>
      </c>
      <c r="B143">
        <v>1</v>
      </c>
      <c r="C143">
        <v>3</v>
      </c>
      <c r="D143" s="6" t="str">
        <f>VLOOKUP(Tabla1[[#This Row],[ID_PARTIDO]],Original!$AT$1:$AY$46,2,FALSE)</f>
        <v xml:space="preserve">David Santiago Murcia Barrera </v>
      </c>
      <c r="E143" s="6" t="str">
        <f>VLOOKUP(Tabla1[[#This Row],[ID_PARTIDO]],Original!$AT$1:$AY$46,3,FALSE)</f>
        <v>Isabella Buitrago Hurtado</v>
      </c>
      <c r="F143" s="6" t="str">
        <f>VLOOKUP(Tabla1[[#This Row],[ID_PARTIDO]],Original!$AT$1:$AY$46,4,FALSE)</f>
        <v>Juan Pablo Benitez Bernal</v>
      </c>
      <c r="G143" s="6" t="str">
        <f>VLOOKUP(Tabla1[[#This Row],[ID_PARTIDO]],Original!$AT$1:$AY$46,5,FALSE)</f>
        <v>Samuel Andrés Rodríguez Ulloa</v>
      </c>
      <c r="H143" t="s">
        <v>14</v>
      </c>
      <c r="I143" t="s">
        <v>7</v>
      </c>
      <c r="J143" t="s">
        <v>14</v>
      </c>
      <c r="K143" t="s">
        <v>7</v>
      </c>
      <c r="L143">
        <v>0</v>
      </c>
      <c r="M143">
        <v>1</v>
      </c>
    </row>
    <row r="144" spans="1:13">
      <c r="A144">
        <v>31</v>
      </c>
      <c r="B144">
        <v>1</v>
      </c>
      <c r="C144">
        <v>4</v>
      </c>
      <c r="D144" s="6" t="str">
        <f>VLOOKUP(Tabla1[[#This Row],[ID_PARTIDO]],Original!$AT$1:$AY$46,2,FALSE)</f>
        <v xml:space="preserve">David Santiago Murcia Barrera </v>
      </c>
      <c r="E144" s="6" t="str">
        <f>VLOOKUP(Tabla1[[#This Row],[ID_PARTIDO]],Original!$AT$1:$AY$46,3,FALSE)</f>
        <v>Isabella Buitrago Hurtado</v>
      </c>
      <c r="F144" s="6" t="str">
        <f>VLOOKUP(Tabla1[[#This Row],[ID_PARTIDO]],Original!$AT$1:$AY$46,4,FALSE)</f>
        <v>Juan Pablo Benitez Bernal</v>
      </c>
      <c r="G144" s="6" t="str">
        <f>VLOOKUP(Tabla1[[#This Row],[ID_PARTIDO]],Original!$AT$1:$AY$46,5,FALSE)</f>
        <v>Samuel Andrés Rodríguez Ulloa</v>
      </c>
      <c r="H144" t="s">
        <v>14</v>
      </c>
      <c r="I144" t="s">
        <v>7</v>
      </c>
      <c r="J144" t="s">
        <v>14</v>
      </c>
      <c r="K144" t="s">
        <v>7</v>
      </c>
      <c r="L144">
        <v>0</v>
      </c>
      <c r="M144">
        <v>1</v>
      </c>
    </row>
    <row r="145" spans="1:13">
      <c r="A145">
        <v>31</v>
      </c>
      <c r="B145">
        <v>1</v>
      </c>
      <c r="C145">
        <v>5</v>
      </c>
      <c r="D145" s="6" t="str">
        <f>VLOOKUP(Tabla1[[#This Row],[ID_PARTIDO]],Original!$AT$1:$AY$46,2,FALSE)</f>
        <v xml:space="preserve">David Santiago Murcia Barrera </v>
      </c>
      <c r="E145" s="6" t="str">
        <f>VLOOKUP(Tabla1[[#This Row],[ID_PARTIDO]],Original!$AT$1:$AY$46,3,FALSE)</f>
        <v>Isabella Buitrago Hurtado</v>
      </c>
      <c r="F145" s="6" t="str">
        <f>VLOOKUP(Tabla1[[#This Row],[ID_PARTIDO]],Original!$AT$1:$AY$46,4,FALSE)</f>
        <v>Juan Pablo Benitez Bernal</v>
      </c>
      <c r="G145" s="6" t="str">
        <f>VLOOKUP(Tabla1[[#This Row],[ID_PARTIDO]],Original!$AT$1:$AY$46,5,FALSE)</f>
        <v>Samuel Andrés Rodríguez Ulloa</v>
      </c>
      <c r="H145" t="s">
        <v>14</v>
      </c>
      <c r="I145" t="s">
        <v>7</v>
      </c>
      <c r="J145" t="s">
        <v>14</v>
      </c>
      <c r="K145" t="s">
        <v>7</v>
      </c>
      <c r="L145">
        <v>0</v>
      </c>
      <c r="M145">
        <v>1</v>
      </c>
    </row>
    <row r="146" spans="1:13">
      <c r="A146">
        <v>31</v>
      </c>
      <c r="B146">
        <v>1</v>
      </c>
      <c r="C146">
        <v>6</v>
      </c>
      <c r="D146" s="6" t="str">
        <f>VLOOKUP(Tabla1[[#This Row],[ID_PARTIDO]],Original!$AT$1:$AY$46,2,FALSE)</f>
        <v xml:space="preserve">David Santiago Murcia Barrera </v>
      </c>
      <c r="E146" s="6" t="str">
        <f>VLOOKUP(Tabla1[[#This Row],[ID_PARTIDO]],Original!$AT$1:$AY$46,3,FALSE)</f>
        <v>Isabella Buitrago Hurtado</v>
      </c>
      <c r="F146" s="6" t="str">
        <f>VLOOKUP(Tabla1[[#This Row],[ID_PARTIDO]],Original!$AT$1:$AY$46,4,FALSE)</f>
        <v>Juan Pablo Benitez Bernal</v>
      </c>
      <c r="G146" s="6" t="str">
        <f>VLOOKUP(Tabla1[[#This Row],[ID_PARTIDO]],Original!$AT$1:$AY$46,5,FALSE)</f>
        <v>Samuel Andrés Rodríguez Ulloa</v>
      </c>
      <c r="H146" t="s">
        <v>14</v>
      </c>
      <c r="I146" t="s">
        <v>7</v>
      </c>
      <c r="J146" t="s">
        <v>14</v>
      </c>
      <c r="K146" t="s">
        <v>7</v>
      </c>
      <c r="L146">
        <v>0</v>
      </c>
      <c r="M146">
        <v>1</v>
      </c>
    </row>
    <row r="147" spans="1:13">
      <c r="A147">
        <v>31</v>
      </c>
      <c r="B147">
        <v>1</v>
      </c>
      <c r="C147">
        <v>7</v>
      </c>
      <c r="D147" s="6" t="str">
        <f>VLOOKUP(Tabla1[[#This Row],[ID_PARTIDO]],Original!$AT$1:$AY$46,2,FALSE)</f>
        <v xml:space="preserve">David Santiago Murcia Barrera </v>
      </c>
      <c r="E147" s="6" t="str">
        <f>VLOOKUP(Tabla1[[#This Row],[ID_PARTIDO]],Original!$AT$1:$AY$46,3,FALSE)</f>
        <v>Isabella Buitrago Hurtado</v>
      </c>
      <c r="F147" s="6" t="str">
        <f>VLOOKUP(Tabla1[[#This Row],[ID_PARTIDO]],Original!$AT$1:$AY$46,4,FALSE)</f>
        <v>Juan Pablo Benitez Bernal</v>
      </c>
      <c r="G147" s="6" t="str">
        <f>VLOOKUP(Tabla1[[#This Row],[ID_PARTIDO]],Original!$AT$1:$AY$46,5,FALSE)</f>
        <v>Samuel Andrés Rodríguez Ulloa</v>
      </c>
      <c r="H147" t="s">
        <v>14</v>
      </c>
      <c r="I147" t="s">
        <v>7</v>
      </c>
      <c r="J147" t="s">
        <v>14</v>
      </c>
      <c r="K147" t="s">
        <v>7</v>
      </c>
      <c r="L147">
        <v>0</v>
      </c>
      <c r="M147">
        <v>1</v>
      </c>
    </row>
    <row r="148" spans="1:13">
      <c r="A148">
        <v>31</v>
      </c>
      <c r="B148">
        <v>1</v>
      </c>
      <c r="C148">
        <v>8</v>
      </c>
      <c r="D148" s="6" t="str">
        <f>VLOOKUP(Tabla1[[#This Row],[ID_PARTIDO]],Original!$AT$1:$AY$46,2,FALSE)</f>
        <v xml:space="preserve">David Santiago Murcia Barrera </v>
      </c>
      <c r="E148" s="6" t="str">
        <f>VLOOKUP(Tabla1[[#This Row],[ID_PARTIDO]],Original!$AT$1:$AY$46,3,FALSE)</f>
        <v>Isabella Buitrago Hurtado</v>
      </c>
      <c r="F148" s="6" t="str">
        <f>VLOOKUP(Tabla1[[#This Row],[ID_PARTIDO]],Original!$AT$1:$AY$46,4,FALSE)</f>
        <v>Juan Pablo Benitez Bernal</v>
      </c>
      <c r="G148" s="6" t="str">
        <f>VLOOKUP(Tabla1[[#This Row],[ID_PARTIDO]],Original!$AT$1:$AY$46,5,FALSE)</f>
        <v>Samuel Andrés Rodríguez Ulloa</v>
      </c>
      <c r="H148" t="s">
        <v>14</v>
      </c>
      <c r="I148" t="s">
        <v>7</v>
      </c>
      <c r="J148" t="s">
        <v>14</v>
      </c>
      <c r="K148" t="s">
        <v>7</v>
      </c>
      <c r="L148">
        <v>0</v>
      </c>
      <c r="M148">
        <v>1</v>
      </c>
    </row>
    <row r="149" spans="1:13">
      <c r="A149">
        <v>13</v>
      </c>
      <c r="B149">
        <v>1</v>
      </c>
      <c r="C149">
        <v>1</v>
      </c>
      <c r="D149" s="6" t="str">
        <f>VLOOKUP(Tabla1[[#This Row],[ID_PARTIDO]],Original!$AT$1:$AY$46,2,FALSE)</f>
        <v xml:space="preserve">juan miguel venegas garzón </v>
      </c>
      <c r="E149" s="6" t="str">
        <f>VLOOKUP(Tabla1[[#This Row],[ID_PARTIDO]],Original!$AT$1:$AY$46,3,FALSE)</f>
        <v>Fermin Alejandro Escalona Guillen</v>
      </c>
      <c r="F149" s="6" t="str">
        <f>VLOOKUP(Tabla1[[#This Row],[ID_PARTIDO]],Original!$AT$1:$AY$46,4,FALSE)</f>
        <v xml:space="preserve">Juan Pablo Vargas Jiménez </v>
      </c>
      <c r="G149" s="6" t="str">
        <f>VLOOKUP(Tabla1[[#This Row],[ID_PARTIDO]],Original!$AT$1:$AY$46,5,FALSE)</f>
        <v>Juan Pablo Benitez Bernal</v>
      </c>
      <c r="H149" t="s">
        <v>14</v>
      </c>
      <c r="I149" t="s">
        <v>7</v>
      </c>
      <c r="J149" s="9" t="s">
        <v>7</v>
      </c>
      <c r="K149" s="9" t="s">
        <v>14</v>
      </c>
      <c r="L149">
        <v>0</v>
      </c>
      <c r="M149">
        <v>1</v>
      </c>
    </row>
    <row r="150" spans="1:13">
      <c r="A150">
        <v>13</v>
      </c>
      <c r="B150">
        <v>1</v>
      </c>
      <c r="C150">
        <v>2</v>
      </c>
      <c r="D150" s="6" t="str">
        <f>VLOOKUP(Tabla1[[#This Row],[ID_PARTIDO]],Original!$AT$1:$AY$46,2,FALSE)</f>
        <v xml:space="preserve">juan miguel venegas garzón </v>
      </c>
      <c r="E150" s="6" t="str">
        <f>VLOOKUP(Tabla1[[#This Row],[ID_PARTIDO]],Original!$AT$1:$AY$46,3,FALSE)</f>
        <v>Fermin Alejandro Escalona Guillen</v>
      </c>
      <c r="F150" s="6" t="str">
        <f>VLOOKUP(Tabla1[[#This Row],[ID_PARTIDO]],Original!$AT$1:$AY$46,4,FALSE)</f>
        <v xml:space="preserve">Juan Pablo Vargas Jiménez </v>
      </c>
      <c r="G150" s="6" t="str">
        <f>VLOOKUP(Tabla1[[#This Row],[ID_PARTIDO]],Original!$AT$1:$AY$46,5,FALSE)</f>
        <v>Juan Pablo Benitez Bernal</v>
      </c>
      <c r="H150" t="s">
        <v>14</v>
      </c>
      <c r="I150" t="s">
        <v>7</v>
      </c>
      <c r="J150" t="s">
        <v>7</v>
      </c>
      <c r="K150" t="s">
        <v>14</v>
      </c>
      <c r="L150">
        <v>0</v>
      </c>
      <c r="M150">
        <v>1</v>
      </c>
    </row>
    <row r="151" spans="1:13">
      <c r="A151">
        <v>13</v>
      </c>
      <c r="B151">
        <v>1</v>
      </c>
      <c r="C151">
        <v>3</v>
      </c>
      <c r="D151" s="6" t="str">
        <f>VLOOKUP(Tabla1[[#This Row],[ID_PARTIDO]],Original!$AT$1:$AY$46,2,FALSE)</f>
        <v xml:space="preserve">juan miguel venegas garzón </v>
      </c>
      <c r="E151" s="6" t="str">
        <f>VLOOKUP(Tabla1[[#This Row],[ID_PARTIDO]],Original!$AT$1:$AY$46,3,FALSE)</f>
        <v>Fermin Alejandro Escalona Guillen</v>
      </c>
      <c r="F151" s="6" t="str">
        <f>VLOOKUP(Tabla1[[#This Row],[ID_PARTIDO]],Original!$AT$1:$AY$46,4,FALSE)</f>
        <v xml:space="preserve">Juan Pablo Vargas Jiménez </v>
      </c>
      <c r="G151" s="6" t="str">
        <f>VLOOKUP(Tabla1[[#This Row],[ID_PARTIDO]],Original!$AT$1:$AY$46,5,FALSE)</f>
        <v>Juan Pablo Benitez Bernal</v>
      </c>
      <c r="H151" t="s">
        <v>14</v>
      </c>
      <c r="I151" t="s">
        <v>7</v>
      </c>
      <c r="J151" t="s">
        <v>7</v>
      </c>
      <c r="K151" t="s">
        <v>14</v>
      </c>
      <c r="L151">
        <v>0</v>
      </c>
      <c r="M151">
        <v>1</v>
      </c>
    </row>
    <row r="152" spans="1:13">
      <c r="A152">
        <v>13</v>
      </c>
      <c r="B152">
        <v>1</v>
      </c>
      <c r="C152">
        <v>4</v>
      </c>
      <c r="D152" s="6" t="str">
        <f>VLOOKUP(Tabla1[[#This Row],[ID_PARTIDO]],Original!$AT$1:$AY$46,2,FALSE)</f>
        <v xml:space="preserve">juan miguel venegas garzón </v>
      </c>
      <c r="E152" s="6" t="str">
        <f>VLOOKUP(Tabla1[[#This Row],[ID_PARTIDO]],Original!$AT$1:$AY$46,3,FALSE)</f>
        <v>Fermin Alejandro Escalona Guillen</v>
      </c>
      <c r="F152" s="6" t="str">
        <f>VLOOKUP(Tabla1[[#This Row],[ID_PARTIDO]],Original!$AT$1:$AY$46,4,FALSE)</f>
        <v xml:space="preserve">Juan Pablo Vargas Jiménez </v>
      </c>
      <c r="G152" s="6" t="str">
        <f>VLOOKUP(Tabla1[[#This Row],[ID_PARTIDO]],Original!$AT$1:$AY$46,5,FALSE)</f>
        <v>Juan Pablo Benitez Bernal</v>
      </c>
      <c r="H152" t="s">
        <v>14</v>
      </c>
      <c r="I152" t="s">
        <v>7</v>
      </c>
      <c r="J152" t="s">
        <v>7</v>
      </c>
      <c r="K152" t="s">
        <v>14</v>
      </c>
      <c r="L152">
        <v>1</v>
      </c>
      <c r="M152">
        <v>0</v>
      </c>
    </row>
    <row r="153" spans="1:13">
      <c r="A153">
        <v>13</v>
      </c>
      <c r="B153">
        <v>1</v>
      </c>
      <c r="C153">
        <v>5</v>
      </c>
      <c r="D153" s="6" t="str">
        <f>VLOOKUP(Tabla1[[#This Row],[ID_PARTIDO]],Original!$AT$1:$AY$46,2,FALSE)</f>
        <v xml:space="preserve">juan miguel venegas garzón </v>
      </c>
      <c r="E153" s="6" t="str">
        <f>VLOOKUP(Tabla1[[#This Row],[ID_PARTIDO]],Original!$AT$1:$AY$46,3,FALSE)</f>
        <v>Fermin Alejandro Escalona Guillen</v>
      </c>
      <c r="F153" s="6" t="str">
        <f>VLOOKUP(Tabla1[[#This Row],[ID_PARTIDO]],Original!$AT$1:$AY$46,4,FALSE)</f>
        <v xml:space="preserve">Juan Pablo Vargas Jiménez </v>
      </c>
      <c r="G153" s="6" t="str">
        <f>VLOOKUP(Tabla1[[#This Row],[ID_PARTIDO]],Original!$AT$1:$AY$46,5,FALSE)</f>
        <v>Juan Pablo Benitez Bernal</v>
      </c>
      <c r="H153" t="s">
        <v>14</v>
      </c>
      <c r="I153" t="s">
        <v>7</v>
      </c>
      <c r="J153" t="s">
        <v>7</v>
      </c>
      <c r="K153" t="s">
        <v>14</v>
      </c>
      <c r="L153">
        <v>1</v>
      </c>
      <c r="M153">
        <v>0</v>
      </c>
    </row>
    <row r="154" spans="1:13">
      <c r="A154">
        <v>13</v>
      </c>
      <c r="B154">
        <v>1</v>
      </c>
      <c r="C154">
        <v>6</v>
      </c>
      <c r="D154" s="6" t="str">
        <f>VLOOKUP(Tabla1[[#This Row],[ID_PARTIDO]],Original!$AT$1:$AY$46,2,FALSE)</f>
        <v xml:space="preserve">juan miguel venegas garzón </v>
      </c>
      <c r="E154" s="6" t="str">
        <f>VLOOKUP(Tabla1[[#This Row],[ID_PARTIDO]],Original!$AT$1:$AY$46,3,FALSE)</f>
        <v>Fermin Alejandro Escalona Guillen</v>
      </c>
      <c r="F154" s="6" t="str">
        <f>VLOOKUP(Tabla1[[#This Row],[ID_PARTIDO]],Original!$AT$1:$AY$46,4,FALSE)</f>
        <v xml:space="preserve">Juan Pablo Vargas Jiménez </v>
      </c>
      <c r="G154" s="6" t="str">
        <f>VLOOKUP(Tabla1[[#This Row],[ID_PARTIDO]],Original!$AT$1:$AY$46,5,FALSE)</f>
        <v>Juan Pablo Benitez Bernal</v>
      </c>
      <c r="H154" t="s">
        <v>14</v>
      </c>
      <c r="I154" t="s">
        <v>7</v>
      </c>
      <c r="J154" t="s">
        <v>7</v>
      </c>
      <c r="K154" t="s">
        <v>14</v>
      </c>
      <c r="L154">
        <v>0</v>
      </c>
      <c r="M154">
        <v>1</v>
      </c>
    </row>
    <row r="155" spans="1:13">
      <c r="A155">
        <v>13</v>
      </c>
      <c r="B155">
        <v>1</v>
      </c>
      <c r="C155">
        <v>7</v>
      </c>
      <c r="D155" s="6" t="str">
        <f>VLOOKUP(Tabla1[[#This Row],[ID_PARTIDO]],Original!$AT$1:$AY$46,2,FALSE)</f>
        <v xml:space="preserve">juan miguel venegas garzón </v>
      </c>
      <c r="E155" s="6" t="str">
        <f>VLOOKUP(Tabla1[[#This Row],[ID_PARTIDO]],Original!$AT$1:$AY$46,3,FALSE)</f>
        <v>Fermin Alejandro Escalona Guillen</v>
      </c>
      <c r="F155" s="6" t="str">
        <f>VLOOKUP(Tabla1[[#This Row],[ID_PARTIDO]],Original!$AT$1:$AY$46,4,FALSE)</f>
        <v xml:space="preserve">Juan Pablo Vargas Jiménez </v>
      </c>
      <c r="G155" s="6" t="str">
        <f>VLOOKUP(Tabla1[[#This Row],[ID_PARTIDO]],Original!$AT$1:$AY$46,5,FALSE)</f>
        <v>Juan Pablo Benitez Bernal</v>
      </c>
      <c r="H155" t="s">
        <v>14</v>
      </c>
      <c r="I155" t="s">
        <v>7</v>
      </c>
      <c r="J155" t="s">
        <v>7</v>
      </c>
      <c r="K155" t="s">
        <v>14</v>
      </c>
      <c r="L155">
        <v>1</v>
      </c>
      <c r="M155">
        <v>0</v>
      </c>
    </row>
    <row r="156" spans="1:13">
      <c r="A156">
        <v>13</v>
      </c>
      <c r="B156">
        <v>1</v>
      </c>
      <c r="C156">
        <v>8</v>
      </c>
      <c r="D156" s="6" t="str">
        <f>VLOOKUP(Tabla1[[#This Row],[ID_PARTIDO]],Original!$AT$1:$AY$46,2,FALSE)</f>
        <v xml:space="preserve">juan miguel venegas garzón </v>
      </c>
      <c r="E156" s="6" t="str">
        <f>VLOOKUP(Tabla1[[#This Row],[ID_PARTIDO]],Original!$AT$1:$AY$46,3,FALSE)</f>
        <v>Fermin Alejandro Escalona Guillen</v>
      </c>
      <c r="F156" s="6" t="str">
        <f>VLOOKUP(Tabla1[[#This Row],[ID_PARTIDO]],Original!$AT$1:$AY$46,4,FALSE)</f>
        <v xml:space="preserve">Juan Pablo Vargas Jiménez </v>
      </c>
      <c r="G156" s="6" t="str">
        <f>VLOOKUP(Tabla1[[#This Row],[ID_PARTIDO]],Original!$AT$1:$AY$46,5,FALSE)</f>
        <v>Juan Pablo Benitez Bernal</v>
      </c>
      <c r="H156" t="s">
        <v>14</v>
      </c>
      <c r="I156" t="s">
        <v>7</v>
      </c>
      <c r="J156" t="s">
        <v>7</v>
      </c>
      <c r="K156" t="s">
        <v>14</v>
      </c>
      <c r="L156">
        <v>1</v>
      </c>
      <c r="M156">
        <v>0</v>
      </c>
    </row>
    <row r="157" spans="1:13">
      <c r="A157">
        <v>13</v>
      </c>
      <c r="B157">
        <v>1</v>
      </c>
      <c r="C157">
        <v>9</v>
      </c>
      <c r="D157" s="6" t="str">
        <f>VLOOKUP(Tabla1[[#This Row],[ID_PARTIDO]],Original!$AT$1:$AY$46,2,FALSE)</f>
        <v xml:space="preserve">juan miguel venegas garzón </v>
      </c>
      <c r="E157" s="6" t="str">
        <f>VLOOKUP(Tabla1[[#This Row],[ID_PARTIDO]],Original!$AT$1:$AY$46,3,FALSE)</f>
        <v>Fermin Alejandro Escalona Guillen</v>
      </c>
      <c r="F157" s="6" t="str">
        <f>VLOOKUP(Tabla1[[#This Row],[ID_PARTIDO]],Original!$AT$1:$AY$46,4,FALSE)</f>
        <v xml:space="preserve">Juan Pablo Vargas Jiménez </v>
      </c>
      <c r="G157" s="6" t="str">
        <f>VLOOKUP(Tabla1[[#This Row],[ID_PARTIDO]],Original!$AT$1:$AY$46,5,FALSE)</f>
        <v>Juan Pablo Benitez Bernal</v>
      </c>
      <c r="H157" t="s">
        <v>14</v>
      </c>
      <c r="I157" t="s">
        <v>7</v>
      </c>
      <c r="J157" t="s">
        <v>7</v>
      </c>
      <c r="K157" t="s">
        <v>14</v>
      </c>
      <c r="L157">
        <v>0</v>
      </c>
      <c r="M157">
        <v>1</v>
      </c>
    </row>
    <row r="158" spans="1:13">
      <c r="A158">
        <v>13</v>
      </c>
      <c r="B158">
        <v>1</v>
      </c>
      <c r="C158">
        <v>10</v>
      </c>
      <c r="D158" s="6" t="str">
        <f>VLOOKUP(Tabla1[[#This Row],[ID_PARTIDO]],Original!$AT$1:$AY$46,2,FALSE)</f>
        <v xml:space="preserve">juan miguel venegas garzón </v>
      </c>
      <c r="E158" s="6" t="str">
        <f>VLOOKUP(Tabla1[[#This Row],[ID_PARTIDO]],Original!$AT$1:$AY$46,3,FALSE)</f>
        <v>Fermin Alejandro Escalona Guillen</v>
      </c>
      <c r="F158" s="6" t="str">
        <f>VLOOKUP(Tabla1[[#This Row],[ID_PARTIDO]],Original!$AT$1:$AY$46,4,FALSE)</f>
        <v xml:space="preserve">Juan Pablo Vargas Jiménez </v>
      </c>
      <c r="G158" s="6" t="str">
        <f>VLOOKUP(Tabla1[[#This Row],[ID_PARTIDO]],Original!$AT$1:$AY$46,5,FALSE)</f>
        <v>Juan Pablo Benitez Bernal</v>
      </c>
      <c r="H158" t="s">
        <v>14</v>
      </c>
      <c r="I158" t="s">
        <v>7</v>
      </c>
      <c r="J158" t="s">
        <v>7</v>
      </c>
      <c r="K158" t="s">
        <v>14</v>
      </c>
      <c r="L158">
        <v>0</v>
      </c>
      <c r="M158">
        <v>1</v>
      </c>
    </row>
    <row r="159" spans="1:13">
      <c r="A159">
        <v>13</v>
      </c>
      <c r="B159">
        <v>1</v>
      </c>
      <c r="C159">
        <v>11</v>
      </c>
      <c r="D159" s="6" t="str">
        <f>VLOOKUP(Tabla1[[#This Row],[ID_PARTIDO]],Original!$AT$1:$AY$46,2,FALSE)</f>
        <v xml:space="preserve">juan miguel venegas garzón </v>
      </c>
      <c r="E159" s="6" t="str">
        <f>VLOOKUP(Tabla1[[#This Row],[ID_PARTIDO]],Original!$AT$1:$AY$46,3,FALSE)</f>
        <v>Fermin Alejandro Escalona Guillen</v>
      </c>
      <c r="F159" s="6" t="str">
        <f>VLOOKUP(Tabla1[[#This Row],[ID_PARTIDO]],Original!$AT$1:$AY$46,4,FALSE)</f>
        <v xml:space="preserve">Juan Pablo Vargas Jiménez </v>
      </c>
      <c r="G159" s="6" t="str">
        <f>VLOOKUP(Tabla1[[#This Row],[ID_PARTIDO]],Original!$AT$1:$AY$46,5,FALSE)</f>
        <v>Juan Pablo Benitez Bernal</v>
      </c>
      <c r="H159" t="s">
        <v>14</v>
      </c>
      <c r="I159" t="s">
        <v>7</v>
      </c>
      <c r="J159" t="s">
        <v>7</v>
      </c>
      <c r="K159" t="s">
        <v>14</v>
      </c>
      <c r="L159">
        <v>0</v>
      </c>
      <c r="M159">
        <v>1</v>
      </c>
    </row>
    <row r="160" spans="1:13">
      <c r="A160">
        <v>17</v>
      </c>
      <c r="B160">
        <v>1</v>
      </c>
      <c r="C160">
        <v>1</v>
      </c>
      <c r="D160" s="6" t="str">
        <f>VLOOKUP(Tabla1[[#This Row],[ID_PARTIDO]],Original!$AT$1:$AY$46,2,FALSE)</f>
        <v>Nikol sofia avendaño</v>
      </c>
      <c r="E160" s="6" t="str">
        <f>VLOOKUP(Tabla1[[#This Row],[ID_PARTIDO]],Original!$AT$1:$AY$46,3,FALSE)</f>
        <v>Fermin Alejandro Escalona Guillen</v>
      </c>
      <c r="F160" s="6" t="str">
        <f>VLOOKUP(Tabla1[[#This Row],[ID_PARTIDO]],Original!$AT$1:$AY$46,4,FALSE)</f>
        <v>Andrea Julieth Sosa Rodriguez</v>
      </c>
      <c r="G160" s="6" t="str">
        <f>VLOOKUP(Tabla1[[#This Row],[ID_PARTIDO]],Original!$AT$1:$AY$46,5,FALSE)</f>
        <v xml:space="preserve">Juan Pablo Vargas Jiménez </v>
      </c>
      <c r="H160" t="s">
        <v>7</v>
      </c>
      <c r="I160" t="s">
        <v>14</v>
      </c>
      <c r="J160" t="s">
        <v>14</v>
      </c>
      <c r="K160" t="s">
        <v>7</v>
      </c>
      <c r="L160">
        <v>1</v>
      </c>
      <c r="M160">
        <v>0</v>
      </c>
    </row>
    <row r="161" spans="1:13">
      <c r="A161">
        <v>17</v>
      </c>
      <c r="B161">
        <v>1</v>
      </c>
      <c r="C161">
        <v>2</v>
      </c>
      <c r="D161" s="6" t="str">
        <f>VLOOKUP(Tabla1[[#This Row],[ID_PARTIDO]],Original!$AT$1:$AY$46,2,FALSE)</f>
        <v>Nikol sofia avendaño</v>
      </c>
      <c r="E161" s="6" t="str">
        <f>VLOOKUP(Tabla1[[#This Row],[ID_PARTIDO]],Original!$AT$1:$AY$46,3,FALSE)</f>
        <v>Fermin Alejandro Escalona Guillen</v>
      </c>
      <c r="F161" s="6" t="str">
        <f>VLOOKUP(Tabla1[[#This Row],[ID_PARTIDO]],Original!$AT$1:$AY$46,4,FALSE)</f>
        <v>Andrea Julieth Sosa Rodriguez</v>
      </c>
      <c r="G161" s="6" t="str">
        <f>VLOOKUP(Tabla1[[#This Row],[ID_PARTIDO]],Original!$AT$1:$AY$46,5,FALSE)</f>
        <v xml:space="preserve">Juan Pablo Vargas Jiménez </v>
      </c>
      <c r="H161" t="s">
        <v>7</v>
      </c>
      <c r="I161" t="s">
        <v>14</v>
      </c>
      <c r="J161" t="s">
        <v>14</v>
      </c>
      <c r="K161" t="s">
        <v>7</v>
      </c>
      <c r="L161">
        <v>0</v>
      </c>
      <c r="M161">
        <v>1</v>
      </c>
    </row>
    <row r="162" spans="1:13">
      <c r="A162">
        <v>17</v>
      </c>
      <c r="B162">
        <v>1</v>
      </c>
      <c r="C162">
        <v>3</v>
      </c>
      <c r="D162" s="6" t="str">
        <f>VLOOKUP(Tabla1[[#This Row],[ID_PARTIDO]],Original!$AT$1:$AY$46,2,FALSE)</f>
        <v>Nikol sofia avendaño</v>
      </c>
      <c r="E162" s="6" t="str">
        <f>VLOOKUP(Tabla1[[#This Row],[ID_PARTIDO]],Original!$AT$1:$AY$46,3,FALSE)</f>
        <v>Fermin Alejandro Escalona Guillen</v>
      </c>
      <c r="F162" s="6" t="str">
        <f>VLOOKUP(Tabla1[[#This Row],[ID_PARTIDO]],Original!$AT$1:$AY$46,4,FALSE)</f>
        <v>Andrea Julieth Sosa Rodriguez</v>
      </c>
      <c r="G162" s="6" t="str">
        <f>VLOOKUP(Tabla1[[#This Row],[ID_PARTIDO]],Original!$AT$1:$AY$46,5,FALSE)</f>
        <v xml:space="preserve">Juan Pablo Vargas Jiménez </v>
      </c>
      <c r="H162" t="s">
        <v>7</v>
      </c>
      <c r="I162" t="s">
        <v>14</v>
      </c>
      <c r="J162" t="s">
        <v>14</v>
      </c>
      <c r="K162" t="s">
        <v>7</v>
      </c>
      <c r="L162">
        <v>0</v>
      </c>
      <c r="M162">
        <v>1</v>
      </c>
    </row>
    <row r="163" spans="1:13">
      <c r="A163">
        <v>17</v>
      </c>
      <c r="B163">
        <v>1</v>
      </c>
      <c r="C163">
        <v>4</v>
      </c>
      <c r="D163" s="6" t="str">
        <f>VLOOKUP(Tabla1[[#This Row],[ID_PARTIDO]],Original!$AT$1:$AY$46,2,FALSE)</f>
        <v>Nikol sofia avendaño</v>
      </c>
      <c r="E163" s="6" t="str">
        <f>VLOOKUP(Tabla1[[#This Row],[ID_PARTIDO]],Original!$AT$1:$AY$46,3,FALSE)</f>
        <v>Fermin Alejandro Escalona Guillen</v>
      </c>
      <c r="F163" s="6" t="str">
        <f>VLOOKUP(Tabla1[[#This Row],[ID_PARTIDO]],Original!$AT$1:$AY$46,4,FALSE)</f>
        <v>Andrea Julieth Sosa Rodriguez</v>
      </c>
      <c r="G163" s="6" t="str">
        <f>VLOOKUP(Tabla1[[#This Row],[ID_PARTIDO]],Original!$AT$1:$AY$46,5,FALSE)</f>
        <v xml:space="preserve">Juan Pablo Vargas Jiménez </v>
      </c>
      <c r="H163" t="s">
        <v>7</v>
      </c>
      <c r="I163" t="s">
        <v>14</v>
      </c>
      <c r="J163" t="s">
        <v>14</v>
      </c>
      <c r="K163" t="s">
        <v>7</v>
      </c>
      <c r="L163">
        <v>1</v>
      </c>
      <c r="M163">
        <v>0</v>
      </c>
    </row>
    <row r="164" spans="1:13">
      <c r="A164">
        <v>17</v>
      </c>
      <c r="B164">
        <v>1</v>
      </c>
      <c r="C164">
        <v>5</v>
      </c>
      <c r="D164" s="6" t="str">
        <f>VLOOKUP(Tabla1[[#This Row],[ID_PARTIDO]],Original!$AT$1:$AY$46,2,FALSE)</f>
        <v>Nikol sofia avendaño</v>
      </c>
      <c r="E164" s="6" t="str">
        <f>VLOOKUP(Tabla1[[#This Row],[ID_PARTIDO]],Original!$AT$1:$AY$46,3,FALSE)</f>
        <v>Fermin Alejandro Escalona Guillen</v>
      </c>
      <c r="F164" s="6" t="str">
        <f>VLOOKUP(Tabla1[[#This Row],[ID_PARTIDO]],Original!$AT$1:$AY$46,4,FALSE)</f>
        <v>Andrea Julieth Sosa Rodriguez</v>
      </c>
      <c r="G164" s="6" t="str">
        <f>VLOOKUP(Tabla1[[#This Row],[ID_PARTIDO]],Original!$AT$1:$AY$46,5,FALSE)</f>
        <v xml:space="preserve">Juan Pablo Vargas Jiménez </v>
      </c>
      <c r="H164" t="s">
        <v>7</v>
      </c>
      <c r="I164" t="s">
        <v>14</v>
      </c>
      <c r="J164" t="s">
        <v>14</v>
      </c>
      <c r="K164" t="s">
        <v>7</v>
      </c>
      <c r="L164">
        <v>0</v>
      </c>
      <c r="M164">
        <v>1</v>
      </c>
    </row>
    <row r="165" spans="1:13">
      <c r="A165">
        <v>17</v>
      </c>
      <c r="B165">
        <v>1</v>
      </c>
      <c r="C165">
        <v>6</v>
      </c>
      <c r="D165" s="6" t="str">
        <f>VLOOKUP(Tabla1[[#This Row],[ID_PARTIDO]],Original!$AT$1:$AY$46,2,FALSE)</f>
        <v>Nikol sofia avendaño</v>
      </c>
      <c r="E165" s="6" t="str">
        <f>VLOOKUP(Tabla1[[#This Row],[ID_PARTIDO]],Original!$AT$1:$AY$46,3,FALSE)</f>
        <v>Fermin Alejandro Escalona Guillen</v>
      </c>
      <c r="F165" s="6" t="str">
        <f>VLOOKUP(Tabla1[[#This Row],[ID_PARTIDO]],Original!$AT$1:$AY$46,4,FALSE)</f>
        <v>Andrea Julieth Sosa Rodriguez</v>
      </c>
      <c r="G165" s="6" t="str">
        <f>VLOOKUP(Tabla1[[#This Row],[ID_PARTIDO]],Original!$AT$1:$AY$46,5,FALSE)</f>
        <v xml:space="preserve">Juan Pablo Vargas Jiménez </v>
      </c>
      <c r="H165" t="s">
        <v>7</v>
      </c>
      <c r="I165" t="s">
        <v>14</v>
      </c>
      <c r="J165" t="s">
        <v>14</v>
      </c>
      <c r="K165" t="s">
        <v>7</v>
      </c>
      <c r="L165">
        <v>1</v>
      </c>
      <c r="M165">
        <v>0</v>
      </c>
    </row>
    <row r="166" spans="1:13">
      <c r="A166">
        <v>17</v>
      </c>
      <c r="B166">
        <v>1</v>
      </c>
      <c r="C166">
        <v>7</v>
      </c>
      <c r="D166" s="6" t="str">
        <f>VLOOKUP(Tabla1[[#This Row],[ID_PARTIDO]],Original!$AT$1:$AY$46,2,FALSE)</f>
        <v>Nikol sofia avendaño</v>
      </c>
      <c r="E166" s="6" t="str">
        <f>VLOOKUP(Tabla1[[#This Row],[ID_PARTIDO]],Original!$AT$1:$AY$46,3,FALSE)</f>
        <v>Fermin Alejandro Escalona Guillen</v>
      </c>
      <c r="F166" s="6" t="str">
        <f>VLOOKUP(Tabla1[[#This Row],[ID_PARTIDO]],Original!$AT$1:$AY$46,4,FALSE)</f>
        <v>Andrea Julieth Sosa Rodriguez</v>
      </c>
      <c r="G166" s="6" t="str">
        <f>VLOOKUP(Tabla1[[#This Row],[ID_PARTIDO]],Original!$AT$1:$AY$46,5,FALSE)</f>
        <v xml:space="preserve">Juan Pablo Vargas Jiménez </v>
      </c>
      <c r="H166" t="s">
        <v>7</v>
      </c>
      <c r="I166" t="s">
        <v>14</v>
      </c>
      <c r="J166" t="s">
        <v>14</v>
      </c>
      <c r="K166" t="s">
        <v>7</v>
      </c>
      <c r="L166">
        <v>1</v>
      </c>
      <c r="M166">
        <v>0</v>
      </c>
    </row>
    <row r="167" spans="1:13">
      <c r="A167">
        <v>17</v>
      </c>
      <c r="B167">
        <v>1</v>
      </c>
      <c r="C167">
        <v>8</v>
      </c>
      <c r="D167" s="6" t="str">
        <f>VLOOKUP(Tabla1[[#This Row],[ID_PARTIDO]],Original!$AT$1:$AY$46,2,FALSE)</f>
        <v>Nikol sofia avendaño</v>
      </c>
      <c r="E167" s="6" t="str">
        <f>VLOOKUP(Tabla1[[#This Row],[ID_PARTIDO]],Original!$AT$1:$AY$46,3,FALSE)</f>
        <v>Fermin Alejandro Escalona Guillen</v>
      </c>
      <c r="F167" s="6" t="str">
        <f>VLOOKUP(Tabla1[[#This Row],[ID_PARTIDO]],Original!$AT$1:$AY$46,4,FALSE)</f>
        <v>Andrea Julieth Sosa Rodriguez</v>
      </c>
      <c r="G167" s="6" t="str">
        <f>VLOOKUP(Tabla1[[#This Row],[ID_PARTIDO]],Original!$AT$1:$AY$46,5,FALSE)</f>
        <v xml:space="preserve">Juan Pablo Vargas Jiménez </v>
      </c>
      <c r="H167" t="s">
        <v>7</v>
      </c>
      <c r="I167" t="s">
        <v>14</v>
      </c>
      <c r="J167" t="s">
        <v>14</v>
      </c>
      <c r="K167" t="s">
        <v>7</v>
      </c>
      <c r="L167">
        <v>0</v>
      </c>
      <c r="M167">
        <v>1</v>
      </c>
    </row>
    <row r="168" spans="1:13">
      <c r="A168">
        <v>17</v>
      </c>
      <c r="B168">
        <v>1</v>
      </c>
      <c r="C168">
        <v>9</v>
      </c>
      <c r="D168" s="6" t="str">
        <f>VLOOKUP(Tabla1[[#This Row],[ID_PARTIDO]],Original!$AT$1:$AY$46,2,FALSE)</f>
        <v>Nikol sofia avendaño</v>
      </c>
      <c r="E168" s="6" t="str">
        <f>VLOOKUP(Tabla1[[#This Row],[ID_PARTIDO]],Original!$AT$1:$AY$46,3,FALSE)</f>
        <v>Fermin Alejandro Escalona Guillen</v>
      </c>
      <c r="F168" s="6" t="str">
        <f>VLOOKUP(Tabla1[[#This Row],[ID_PARTIDO]],Original!$AT$1:$AY$46,4,FALSE)</f>
        <v>Andrea Julieth Sosa Rodriguez</v>
      </c>
      <c r="G168" s="6" t="str">
        <f>VLOOKUP(Tabla1[[#This Row],[ID_PARTIDO]],Original!$AT$1:$AY$46,5,FALSE)</f>
        <v xml:space="preserve">Juan Pablo Vargas Jiménez </v>
      </c>
      <c r="H168" t="s">
        <v>7</v>
      </c>
      <c r="I168" t="s">
        <v>14</v>
      </c>
      <c r="J168" t="s">
        <v>14</v>
      </c>
      <c r="K168" t="s">
        <v>7</v>
      </c>
      <c r="L168">
        <v>1</v>
      </c>
      <c r="M168">
        <v>0</v>
      </c>
    </row>
    <row r="169" spans="1:13">
      <c r="A169">
        <v>17</v>
      </c>
      <c r="B169">
        <v>1</v>
      </c>
      <c r="C169">
        <v>10</v>
      </c>
      <c r="D169" s="6" t="str">
        <f>VLOOKUP(Tabla1[[#This Row],[ID_PARTIDO]],Original!$AT$1:$AY$46,2,FALSE)</f>
        <v>Nikol sofia avendaño</v>
      </c>
      <c r="E169" s="6" t="str">
        <f>VLOOKUP(Tabla1[[#This Row],[ID_PARTIDO]],Original!$AT$1:$AY$46,3,FALSE)</f>
        <v>Fermin Alejandro Escalona Guillen</v>
      </c>
      <c r="F169" s="6" t="str">
        <f>VLOOKUP(Tabla1[[#This Row],[ID_PARTIDO]],Original!$AT$1:$AY$46,4,FALSE)</f>
        <v>Andrea Julieth Sosa Rodriguez</v>
      </c>
      <c r="G169" s="6" t="str">
        <f>VLOOKUP(Tabla1[[#This Row],[ID_PARTIDO]],Original!$AT$1:$AY$46,5,FALSE)</f>
        <v xml:space="preserve">Juan Pablo Vargas Jiménez </v>
      </c>
      <c r="H169" t="s">
        <v>7</v>
      </c>
      <c r="I169" t="s">
        <v>14</v>
      </c>
      <c r="J169" t="s">
        <v>14</v>
      </c>
      <c r="K169" t="s">
        <v>7</v>
      </c>
      <c r="L169">
        <v>1</v>
      </c>
      <c r="M169">
        <v>0</v>
      </c>
    </row>
    <row r="170" spans="1:13">
      <c r="A170">
        <v>17</v>
      </c>
      <c r="B170">
        <v>1</v>
      </c>
      <c r="C170">
        <v>11</v>
      </c>
      <c r="D170" s="6" t="str">
        <f>VLOOKUP(Tabla1[[#This Row],[ID_PARTIDO]],Original!$AT$1:$AY$46,2,FALSE)</f>
        <v>Nikol sofia avendaño</v>
      </c>
      <c r="E170" s="6" t="str">
        <f>VLOOKUP(Tabla1[[#This Row],[ID_PARTIDO]],Original!$AT$1:$AY$46,3,FALSE)</f>
        <v>Fermin Alejandro Escalona Guillen</v>
      </c>
      <c r="F170" s="6" t="str">
        <f>VLOOKUP(Tabla1[[#This Row],[ID_PARTIDO]],Original!$AT$1:$AY$46,4,FALSE)</f>
        <v>Andrea Julieth Sosa Rodriguez</v>
      </c>
      <c r="G170" s="6" t="str">
        <f>VLOOKUP(Tabla1[[#This Row],[ID_PARTIDO]],Original!$AT$1:$AY$46,5,FALSE)</f>
        <v xml:space="preserve">Juan Pablo Vargas Jiménez </v>
      </c>
      <c r="H170" t="s">
        <v>7</v>
      </c>
      <c r="I170" t="s">
        <v>14</v>
      </c>
      <c r="J170" t="s">
        <v>14</v>
      </c>
      <c r="K170" t="s">
        <v>7</v>
      </c>
      <c r="L170">
        <v>0</v>
      </c>
      <c r="M170">
        <v>1</v>
      </c>
    </row>
    <row r="171" spans="1:13">
      <c r="A171">
        <v>17</v>
      </c>
      <c r="B171">
        <v>1</v>
      </c>
      <c r="C171">
        <v>12</v>
      </c>
      <c r="D171" s="6" t="str">
        <f>VLOOKUP(Tabla1[[#This Row],[ID_PARTIDO]],Original!$AT$1:$AY$46,2,FALSE)</f>
        <v>Nikol sofia avendaño</v>
      </c>
      <c r="E171" s="6" t="str">
        <f>VLOOKUP(Tabla1[[#This Row],[ID_PARTIDO]],Original!$AT$1:$AY$46,3,FALSE)</f>
        <v>Fermin Alejandro Escalona Guillen</v>
      </c>
      <c r="F171" s="6" t="str">
        <f>VLOOKUP(Tabla1[[#This Row],[ID_PARTIDO]],Original!$AT$1:$AY$46,4,FALSE)</f>
        <v>Andrea Julieth Sosa Rodriguez</v>
      </c>
      <c r="G171" s="6" t="str">
        <f>VLOOKUP(Tabla1[[#This Row],[ID_PARTIDO]],Original!$AT$1:$AY$46,5,FALSE)</f>
        <v xml:space="preserve">Juan Pablo Vargas Jiménez </v>
      </c>
      <c r="H171" t="s">
        <v>7</v>
      </c>
      <c r="I171" t="s">
        <v>14</v>
      </c>
      <c r="J171" t="s">
        <v>14</v>
      </c>
      <c r="K171" t="s">
        <v>7</v>
      </c>
      <c r="L171">
        <v>0</v>
      </c>
      <c r="M171">
        <v>1</v>
      </c>
    </row>
    <row r="172" spans="1:13">
      <c r="A172">
        <v>19</v>
      </c>
      <c r="B172">
        <v>1</v>
      </c>
      <c r="C172">
        <v>1</v>
      </c>
      <c r="D172" s="6" t="str">
        <f>VLOOKUP(Tabla1[[#This Row],[ID_PARTIDO]],Original!$AT$1:$AY$46,2,FALSE)</f>
        <v>David Santiago Medina Buitrago</v>
      </c>
      <c r="E172" s="6" t="str">
        <f>VLOOKUP(Tabla1[[#This Row],[ID_PARTIDO]],Original!$AT$1:$AY$46,3,FALSE)</f>
        <v>Fermin Alejandro Escalona Guillen</v>
      </c>
      <c r="F172" s="6" t="str">
        <f>VLOOKUP(Tabla1[[#This Row],[ID_PARTIDO]],Original!$AT$1:$AY$46,4,FALSE)</f>
        <v xml:space="preserve">Carlos Felipe Andrade Sáenz </v>
      </c>
      <c r="G172" s="6" t="str">
        <f>VLOOKUP(Tabla1[[#This Row],[ID_PARTIDO]],Original!$AT$1:$AY$46,5,FALSE)</f>
        <v xml:space="preserve">María José Cifuentes </v>
      </c>
      <c r="H172" t="s">
        <v>7</v>
      </c>
      <c r="I172" t="s">
        <v>14</v>
      </c>
      <c r="J172" t="s">
        <v>7</v>
      </c>
      <c r="K172" t="s">
        <v>14</v>
      </c>
      <c r="L172">
        <v>0</v>
      </c>
      <c r="M172">
        <v>1</v>
      </c>
    </row>
    <row r="173" spans="1:13">
      <c r="A173">
        <v>19</v>
      </c>
      <c r="B173">
        <v>1</v>
      </c>
      <c r="C173">
        <v>2</v>
      </c>
      <c r="D173" s="6" t="str">
        <f>VLOOKUP(Tabla1[[#This Row],[ID_PARTIDO]],Original!$AT$1:$AY$46,2,FALSE)</f>
        <v>David Santiago Medina Buitrago</v>
      </c>
      <c r="E173" s="6" t="str">
        <f>VLOOKUP(Tabla1[[#This Row],[ID_PARTIDO]],Original!$AT$1:$AY$46,3,FALSE)</f>
        <v>Fermin Alejandro Escalona Guillen</v>
      </c>
      <c r="F173" s="6" t="str">
        <f>VLOOKUP(Tabla1[[#This Row],[ID_PARTIDO]],Original!$AT$1:$AY$46,4,FALSE)</f>
        <v xml:space="preserve">Carlos Felipe Andrade Sáenz </v>
      </c>
      <c r="G173" s="6" t="str">
        <f>VLOOKUP(Tabla1[[#This Row],[ID_PARTIDO]],Original!$AT$1:$AY$46,5,FALSE)</f>
        <v xml:space="preserve">María José Cifuentes </v>
      </c>
      <c r="H173" t="s">
        <v>7</v>
      </c>
      <c r="I173" t="s">
        <v>14</v>
      </c>
      <c r="J173" t="s">
        <v>7</v>
      </c>
      <c r="K173" t="s">
        <v>14</v>
      </c>
      <c r="L173">
        <v>1</v>
      </c>
      <c r="M173">
        <v>0</v>
      </c>
    </row>
    <row r="174" spans="1:13">
      <c r="A174">
        <v>19</v>
      </c>
      <c r="B174">
        <v>1</v>
      </c>
      <c r="C174">
        <v>3</v>
      </c>
      <c r="D174" s="6" t="str">
        <f>VLOOKUP(Tabla1[[#This Row],[ID_PARTIDO]],Original!$AT$1:$AY$46,2,FALSE)</f>
        <v>David Santiago Medina Buitrago</v>
      </c>
      <c r="E174" s="6" t="str">
        <f>VLOOKUP(Tabla1[[#This Row],[ID_PARTIDO]],Original!$AT$1:$AY$46,3,FALSE)</f>
        <v>Fermin Alejandro Escalona Guillen</v>
      </c>
      <c r="F174" s="6" t="str">
        <f>VLOOKUP(Tabla1[[#This Row],[ID_PARTIDO]],Original!$AT$1:$AY$46,4,FALSE)</f>
        <v xml:space="preserve">Carlos Felipe Andrade Sáenz </v>
      </c>
      <c r="G174" s="6" t="str">
        <f>VLOOKUP(Tabla1[[#This Row],[ID_PARTIDO]],Original!$AT$1:$AY$46,5,FALSE)</f>
        <v xml:space="preserve">María José Cifuentes </v>
      </c>
      <c r="H174" t="s">
        <v>7</v>
      </c>
      <c r="I174" t="s">
        <v>14</v>
      </c>
      <c r="J174" t="s">
        <v>7</v>
      </c>
      <c r="K174" t="s">
        <v>14</v>
      </c>
      <c r="L174">
        <v>0</v>
      </c>
      <c r="M174">
        <v>1</v>
      </c>
    </row>
    <row r="175" spans="1:13">
      <c r="A175">
        <v>19</v>
      </c>
      <c r="B175">
        <v>1</v>
      </c>
      <c r="C175">
        <v>4</v>
      </c>
      <c r="D175" s="6" t="str">
        <f>VLOOKUP(Tabla1[[#This Row],[ID_PARTIDO]],Original!$AT$1:$AY$46,2,FALSE)</f>
        <v>David Santiago Medina Buitrago</v>
      </c>
      <c r="E175" s="6" t="str">
        <f>VLOOKUP(Tabla1[[#This Row],[ID_PARTIDO]],Original!$AT$1:$AY$46,3,FALSE)</f>
        <v>Fermin Alejandro Escalona Guillen</v>
      </c>
      <c r="F175" s="6" t="str">
        <f>VLOOKUP(Tabla1[[#This Row],[ID_PARTIDO]],Original!$AT$1:$AY$46,4,FALSE)</f>
        <v xml:space="preserve">Carlos Felipe Andrade Sáenz </v>
      </c>
      <c r="G175" s="6" t="str">
        <f>VLOOKUP(Tabla1[[#This Row],[ID_PARTIDO]],Original!$AT$1:$AY$46,5,FALSE)</f>
        <v xml:space="preserve">María José Cifuentes </v>
      </c>
      <c r="H175" t="s">
        <v>7</v>
      </c>
      <c r="I175" t="s">
        <v>14</v>
      </c>
      <c r="J175" t="s">
        <v>7</v>
      </c>
      <c r="K175" t="s">
        <v>14</v>
      </c>
      <c r="L175">
        <v>1</v>
      </c>
      <c r="M175">
        <v>0</v>
      </c>
    </row>
    <row r="176" spans="1:13">
      <c r="A176">
        <v>19</v>
      </c>
      <c r="B176">
        <v>1</v>
      </c>
      <c r="C176">
        <v>5</v>
      </c>
      <c r="D176" s="6" t="str">
        <f>VLOOKUP(Tabla1[[#This Row],[ID_PARTIDO]],Original!$AT$1:$AY$46,2,FALSE)</f>
        <v>David Santiago Medina Buitrago</v>
      </c>
      <c r="E176" s="6" t="str">
        <f>VLOOKUP(Tabla1[[#This Row],[ID_PARTIDO]],Original!$AT$1:$AY$46,3,FALSE)</f>
        <v>Fermin Alejandro Escalona Guillen</v>
      </c>
      <c r="F176" s="6" t="str">
        <f>VLOOKUP(Tabla1[[#This Row],[ID_PARTIDO]],Original!$AT$1:$AY$46,4,FALSE)</f>
        <v xml:space="preserve">Carlos Felipe Andrade Sáenz </v>
      </c>
      <c r="G176" s="6" t="str">
        <f>VLOOKUP(Tabla1[[#This Row],[ID_PARTIDO]],Original!$AT$1:$AY$46,5,FALSE)</f>
        <v xml:space="preserve">María José Cifuentes </v>
      </c>
      <c r="H176" t="s">
        <v>7</v>
      </c>
      <c r="I176" t="s">
        <v>14</v>
      </c>
      <c r="J176" t="s">
        <v>7</v>
      </c>
      <c r="K176" t="s">
        <v>14</v>
      </c>
      <c r="L176">
        <v>1</v>
      </c>
      <c r="M176">
        <v>0</v>
      </c>
    </row>
    <row r="177" spans="1:13">
      <c r="A177">
        <v>19</v>
      </c>
      <c r="B177">
        <v>1</v>
      </c>
      <c r="C177">
        <v>6</v>
      </c>
      <c r="D177" s="6" t="str">
        <f>VLOOKUP(Tabla1[[#This Row],[ID_PARTIDO]],Original!$AT$1:$AY$46,2,FALSE)</f>
        <v>David Santiago Medina Buitrago</v>
      </c>
      <c r="E177" s="6" t="str">
        <f>VLOOKUP(Tabla1[[#This Row],[ID_PARTIDO]],Original!$AT$1:$AY$46,3,FALSE)</f>
        <v>Fermin Alejandro Escalona Guillen</v>
      </c>
      <c r="F177" s="6" t="str">
        <f>VLOOKUP(Tabla1[[#This Row],[ID_PARTIDO]],Original!$AT$1:$AY$46,4,FALSE)</f>
        <v xml:space="preserve">Carlos Felipe Andrade Sáenz </v>
      </c>
      <c r="G177" s="6" t="str">
        <f>VLOOKUP(Tabla1[[#This Row],[ID_PARTIDO]],Original!$AT$1:$AY$46,5,FALSE)</f>
        <v xml:space="preserve">María José Cifuentes </v>
      </c>
      <c r="H177" t="s">
        <v>7</v>
      </c>
      <c r="I177" t="s">
        <v>14</v>
      </c>
      <c r="J177" t="s">
        <v>7</v>
      </c>
      <c r="K177" t="s">
        <v>14</v>
      </c>
      <c r="L177">
        <v>0</v>
      </c>
      <c r="M177">
        <v>1</v>
      </c>
    </row>
    <row r="178" spans="1:13">
      <c r="A178">
        <v>19</v>
      </c>
      <c r="B178">
        <v>1</v>
      </c>
      <c r="C178">
        <v>7</v>
      </c>
      <c r="D178" s="6" t="str">
        <f>VLOOKUP(Tabla1[[#This Row],[ID_PARTIDO]],Original!$AT$1:$AY$46,2,FALSE)</f>
        <v>David Santiago Medina Buitrago</v>
      </c>
      <c r="E178" s="6" t="str">
        <f>VLOOKUP(Tabla1[[#This Row],[ID_PARTIDO]],Original!$AT$1:$AY$46,3,FALSE)</f>
        <v>Fermin Alejandro Escalona Guillen</v>
      </c>
      <c r="F178" s="6" t="str">
        <f>VLOOKUP(Tabla1[[#This Row],[ID_PARTIDO]],Original!$AT$1:$AY$46,4,FALSE)</f>
        <v xml:space="preserve">Carlos Felipe Andrade Sáenz </v>
      </c>
      <c r="G178" s="6" t="str">
        <f>VLOOKUP(Tabla1[[#This Row],[ID_PARTIDO]],Original!$AT$1:$AY$46,5,FALSE)</f>
        <v xml:space="preserve">María José Cifuentes </v>
      </c>
      <c r="H178" t="s">
        <v>7</v>
      </c>
      <c r="I178" t="s">
        <v>14</v>
      </c>
      <c r="J178" t="s">
        <v>7</v>
      </c>
      <c r="K178" t="s">
        <v>14</v>
      </c>
      <c r="L178">
        <v>1</v>
      </c>
      <c r="M178">
        <v>0</v>
      </c>
    </row>
    <row r="179" spans="1:13">
      <c r="A179">
        <v>19</v>
      </c>
      <c r="B179">
        <v>1</v>
      </c>
      <c r="C179">
        <v>8</v>
      </c>
      <c r="D179" s="6" t="str">
        <f>VLOOKUP(Tabla1[[#This Row],[ID_PARTIDO]],Original!$AT$1:$AY$46,2,FALSE)</f>
        <v>David Santiago Medina Buitrago</v>
      </c>
      <c r="E179" s="6" t="str">
        <f>VLOOKUP(Tabla1[[#This Row],[ID_PARTIDO]],Original!$AT$1:$AY$46,3,FALSE)</f>
        <v>Fermin Alejandro Escalona Guillen</v>
      </c>
      <c r="F179" s="6" t="str">
        <f>VLOOKUP(Tabla1[[#This Row],[ID_PARTIDO]],Original!$AT$1:$AY$46,4,FALSE)</f>
        <v xml:space="preserve">Carlos Felipe Andrade Sáenz </v>
      </c>
      <c r="G179" s="6" t="str">
        <f>VLOOKUP(Tabla1[[#This Row],[ID_PARTIDO]],Original!$AT$1:$AY$46,5,FALSE)</f>
        <v xml:space="preserve">María José Cifuentes </v>
      </c>
      <c r="H179" t="s">
        <v>7</v>
      </c>
      <c r="I179" t="s">
        <v>14</v>
      </c>
      <c r="J179" t="s">
        <v>7</v>
      </c>
      <c r="K179" t="s">
        <v>14</v>
      </c>
      <c r="L179">
        <v>1</v>
      </c>
      <c r="M179">
        <v>0</v>
      </c>
    </row>
    <row r="180" spans="1:13">
      <c r="A180">
        <v>19</v>
      </c>
      <c r="B180">
        <v>1</v>
      </c>
      <c r="C180">
        <v>9</v>
      </c>
      <c r="D180" s="6" t="str">
        <f>VLOOKUP(Tabla1[[#This Row],[ID_PARTIDO]],Original!$AT$1:$AY$46,2,FALSE)</f>
        <v>David Santiago Medina Buitrago</v>
      </c>
      <c r="E180" s="6" t="str">
        <f>VLOOKUP(Tabla1[[#This Row],[ID_PARTIDO]],Original!$AT$1:$AY$46,3,FALSE)</f>
        <v>Fermin Alejandro Escalona Guillen</v>
      </c>
      <c r="F180" s="6" t="str">
        <f>VLOOKUP(Tabla1[[#This Row],[ID_PARTIDO]],Original!$AT$1:$AY$46,4,FALSE)</f>
        <v xml:space="preserve">Carlos Felipe Andrade Sáenz </v>
      </c>
      <c r="G180" s="6" t="str">
        <f>VLOOKUP(Tabla1[[#This Row],[ID_PARTIDO]],Original!$AT$1:$AY$46,5,FALSE)</f>
        <v xml:space="preserve">María José Cifuentes </v>
      </c>
      <c r="H180" t="s">
        <v>7</v>
      </c>
      <c r="I180" t="s">
        <v>14</v>
      </c>
      <c r="J180" t="s">
        <v>7</v>
      </c>
      <c r="K180" t="s">
        <v>14</v>
      </c>
      <c r="L180">
        <v>1</v>
      </c>
      <c r="M180">
        <v>0</v>
      </c>
    </row>
    <row r="181" spans="1:13">
      <c r="A181">
        <v>19</v>
      </c>
      <c r="B181">
        <v>1</v>
      </c>
      <c r="C181">
        <v>10</v>
      </c>
      <c r="D181" s="6" t="str">
        <f>VLOOKUP(Tabla1[[#This Row],[ID_PARTIDO]],Original!$AT$1:$AY$46,2,FALSE)</f>
        <v>David Santiago Medina Buitrago</v>
      </c>
      <c r="E181" s="6" t="str">
        <f>VLOOKUP(Tabla1[[#This Row],[ID_PARTIDO]],Original!$AT$1:$AY$46,3,FALSE)</f>
        <v>Fermin Alejandro Escalona Guillen</v>
      </c>
      <c r="F181" s="6" t="str">
        <f>VLOOKUP(Tabla1[[#This Row],[ID_PARTIDO]],Original!$AT$1:$AY$46,4,FALSE)</f>
        <v xml:space="preserve">Carlos Felipe Andrade Sáenz </v>
      </c>
      <c r="G181" s="6" t="str">
        <f>VLOOKUP(Tabla1[[#This Row],[ID_PARTIDO]],Original!$AT$1:$AY$46,5,FALSE)</f>
        <v xml:space="preserve">María José Cifuentes </v>
      </c>
      <c r="H181" t="s">
        <v>7</v>
      </c>
      <c r="I181" t="s">
        <v>14</v>
      </c>
      <c r="J181" t="s">
        <v>7</v>
      </c>
      <c r="K181" t="s">
        <v>14</v>
      </c>
      <c r="L181">
        <v>0</v>
      </c>
      <c r="M181">
        <v>1</v>
      </c>
    </row>
    <row r="182" spans="1:13">
      <c r="A182">
        <v>19</v>
      </c>
      <c r="B182">
        <v>1</v>
      </c>
      <c r="C182">
        <v>11</v>
      </c>
      <c r="D182" s="6" t="str">
        <f>VLOOKUP(Tabla1[[#This Row],[ID_PARTIDO]],Original!$AT$1:$AY$46,2,FALSE)</f>
        <v>David Santiago Medina Buitrago</v>
      </c>
      <c r="E182" s="6" t="str">
        <f>VLOOKUP(Tabla1[[#This Row],[ID_PARTIDO]],Original!$AT$1:$AY$46,3,FALSE)</f>
        <v>Fermin Alejandro Escalona Guillen</v>
      </c>
      <c r="F182" s="6" t="str">
        <f>VLOOKUP(Tabla1[[#This Row],[ID_PARTIDO]],Original!$AT$1:$AY$46,4,FALSE)</f>
        <v xml:space="preserve">Carlos Felipe Andrade Sáenz </v>
      </c>
      <c r="G182" s="6" t="str">
        <f>VLOOKUP(Tabla1[[#This Row],[ID_PARTIDO]],Original!$AT$1:$AY$46,5,FALSE)</f>
        <v xml:space="preserve">María José Cifuentes </v>
      </c>
      <c r="H182" t="s">
        <v>7</v>
      </c>
      <c r="I182" t="s">
        <v>14</v>
      </c>
      <c r="J182" t="s">
        <v>7</v>
      </c>
      <c r="K182" t="s">
        <v>14</v>
      </c>
      <c r="L182">
        <v>1</v>
      </c>
      <c r="M182">
        <v>0</v>
      </c>
    </row>
    <row r="183" spans="1:13">
      <c r="A183">
        <v>41</v>
      </c>
      <c r="B183">
        <v>1</v>
      </c>
      <c r="C183">
        <v>1</v>
      </c>
      <c r="D183" s="6" t="str">
        <f>VLOOKUP(Tabla1[[#This Row],[ID_PARTIDO]],Original!$AT$1:$AY$46,2,FALSE)</f>
        <v>Valentina Alejandra Lopez Romero</v>
      </c>
      <c r="E183" s="6" t="str">
        <f>VLOOKUP(Tabla1[[#This Row],[ID_PARTIDO]],Original!$AT$1:$AY$46,3,FALSE)</f>
        <v xml:space="preserve">David Santiago Murcia Barrera </v>
      </c>
      <c r="F183" s="6" t="str">
        <f>VLOOKUP(Tabla1[[#This Row],[ID_PARTIDO]],Original!$AT$1:$AY$46,4,FALSE)</f>
        <v>Nicole Lizarazo</v>
      </c>
      <c r="G183" s="6" t="str">
        <f>VLOOKUP(Tabla1[[#This Row],[ID_PARTIDO]],Original!$AT$1:$AY$46,5,FALSE)</f>
        <v>Cristian Stevan Soto Zapata</v>
      </c>
      <c r="H183" t="s">
        <v>7</v>
      </c>
      <c r="I183" t="s">
        <v>14</v>
      </c>
      <c r="J183" t="s">
        <v>7</v>
      </c>
      <c r="K183" t="s">
        <v>14</v>
      </c>
      <c r="L183">
        <v>0</v>
      </c>
      <c r="M183">
        <v>1</v>
      </c>
    </row>
    <row r="184" spans="1:13">
      <c r="A184">
        <v>41</v>
      </c>
      <c r="B184">
        <v>1</v>
      </c>
      <c r="C184">
        <v>2</v>
      </c>
      <c r="D184" s="6" t="str">
        <f>VLOOKUP(Tabla1[[#This Row],[ID_PARTIDO]],Original!$AT$1:$AY$46,2,FALSE)</f>
        <v>Valentina Alejandra Lopez Romero</v>
      </c>
      <c r="E184" s="6" t="str">
        <f>VLOOKUP(Tabla1[[#This Row],[ID_PARTIDO]],Original!$AT$1:$AY$46,3,FALSE)</f>
        <v xml:space="preserve">David Santiago Murcia Barrera </v>
      </c>
      <c r="F184" s="6" t="str">
        <f>VLOOKUP(Tabla1[[#This Row],[ID_PARTIDO]],Original!$AT$1:$AY$46,4,FALSE)</f>
        <v>Nicole Lizarazo</v>
      </c>
      <c r="G184" s="6" t="str">
        <f>VLOOKUP(Tabla1[[#This Row],[ID_PARTIDO]],Original!$AT$1:$AY$46,5,FALSE)</f>
        <v>Cristian Stevan Soto Zapata</v>
      </c>
      <c r="H184" t="s">
        <v>7</v>
      </c>
      <c r="I184" t="s">
        <v>14</v>
      </c>
      <c r="J184" t="s">
        <v>7</v>
      </c>
      <c r="K184" t="s">
        <v>14</v>
      </c>
      <c r="L184">
        <v>1</v>
      </c>
      <c r="M184">
        <v>0</v>
      </c>
    </row>
    <row r="185" spans="1:13">
      <c r="A185">
        <v>41</v>
      </c>
      <c r="B185">
        <v>1</v>
      </c>
      <c r="C185">
        <v>3</v>
      </c>
      <c r="D185" s="6" t="str">
        <f>VLOOKUP(Tabla1[[#This Row],[ID_PARTIDO]],Original!$AT$1:$AY$46,2,FALSE)</f>
        <v>Valentina Alejandra Lopez Romero</v>
      </c>
      <c r="E185" s="6" t="str">
        <f>VLOOKUP(Tabla1[[#This Row],[ID_PARTIDO]],Original!$AT$1:$AY$46,3,FALSE)</f>
        <v xml:space="preserve">David Santiago Murcia Barrera </v>
      </c>
      <c r="F185" s="6" t="str">
        <f>VLOOKUP(Tabla1[[#This Row],[ID_PARTIDO]],Original!$AT$1:$AY$46,4,FALSE)</f>
        <v>Nicole Lizarazo</v>
      </c>
      <c r="G185" s="6" t="str">
        <f>VLOOKUP(Tabla1[[#This Row],[ID_PARTIDO]],Original!$AT$1:$AY$46,5,FALSE)</f>
        <v>Cristian Stevan Soto Zapata</v>
      </c>
      <c r="H185" t="s">
        <v>7</v>
      </c>
      <c r="I185" t="s">
        <v>14</v>
      </c>
      <c r="J185" t="s">
        <v>7</v>
      </c>
      <c r="K185" t="s">
        <v>14</v>
      </c>
      <c r="L185">
        <v>0</v>
      </c>
      <c r="M185">
        <v>1</v>
      </c>
    </row>
    <row r="186" spans="1:13">
      <c r="A186">
        <v>41</v>
      </c>
      <c r="B186">
        <v>1</v>
      </c>
      <c r="C186">
        <v>4</v>
      </c>
      <c r="D186" s="6" t="str">
        <f>VLOOKUP(Tabla1[[#This Row],[ID_PARTIDO]],Original!$AT$1:$AY$46,2,FALSE)</f>
        <v>Valentina Alejandra Lopez Romero</v>
      </c>
      <c r="E186" s="6" t="str">
        <f>VLOOKUP(Tabla1[[#This Row],[ID_PARTIDO]],Original!$AT$1:$AY$46,3,FALSE)</f>
        <v xml:space="preserve">David Santiago Murcia Barrera </v>
      </c>
      <c r="F186" s="6" t="str">
        <f>VLOOKUP(Tabla1[[#This Row],[ID_PARTIDO]],Original!$AT$1:$AY$46,4,FALSE)</f>
        <v>Nicole Lizarazo</v>
      </c>
      <c r="G186" s="6" t="str">
        <f>VLOOKUP(Tabla1[[#This Row],[ID_PARTIDO]],Original!$AT$1:$AY$46,5,FALSE)</f>
        <v>Cristian Stevan Soto Zapata</v>
      </c>
      <c r="H186" t="s">
        <v>7</v>
      </c>
      <c r="I186" t="s">
        <v>14</v>
      </c>
      <c r="J186" t="s">
        <v>7</v>
      </c>
      <c r="K186" t="s">
        <v>14</v>
      </c>
      <c r="L186">
        <v>0</v>
      </c>
      <c r="M186">
        <v>1</v>
      </c>
    </row>
    <row r="187" spans="1:13">
      <c r="A187">
        <v>41</v>
      </c>
      <c r="B187">
        <v>1</v>
      </c>
      <c r="C187">
        <v>5</v>
      </c>
      <c r="D187" s="6" t="str">
        <f>VLOOKUP(Tabla1[[#This Row],[ID_PARTIDO]],Original!$AT$1:$AY$46,2,FALSE)</f>
        <v>Valentina Alejandra Lopez Romero</v>
      </c>
      <c r="E187" s="6" t="str">
        <f>VLOOKUP(Tabla1[[#This Row],[ID_PARTIDO]],Original!$AT$1:$AY$46,3,FALSE)</f>
        <v xml:space="preserve">David Santiago Murcia Barrera </v>
      </c>
      <c r="F187" s="6" t="str">
        <f>VLOOKUP(Tabla1[[#This Row],[ID_PARTIDO]],Original!$AT$1:$AY$46,4,FALSE)</f>
        <v>Nicole Lizarazo</v>
      </c>
      <c r="G187" s="6" t="str">
        <f>VLOOKUP(Tabla1[[#This Row],[ID_PARTIDO]],Original!$AT$1:$AY$46,5,FALSE)</f>
        <v>Cristian Stevan Soto Zapata</v>
      </c>
      <c r="H187" t="s">
        <v>7</v>
      </c>
      <c r="I187" t="s">
        <v>14</v>
      </c>
      <c r="J187" t="s">
        <v>7</v>
      </c>
      <c r="K187" t="s">
        <v>14</v>
      </c>
      <c r="L187">
        <v>1</v>
      </c>
      <c r="M187">
        <v>0</v>
      </c>
    </row>
    <row r="188" spans="1:13">
      <c r="A188">
        <v>41</v>
      </c>
      <c r="B188">
        <v>1</v>
      </c>
      <c r="C188">
        <v>6</v>
      </c>
      <c r="D188" s="6" t="str">
        <f>VLOOKUP(Tabla1[[#This Row],[ID_PARTIDO]],Original!$AT$1:$AY$46,2,FALSE)</f>
        <v>Valentina Alejandra Lopez Romero</v>
      </c>
      <c r="E188" s="6" t="str">
        <f>VLOOKUP(Tabla1[[#This Row],[ID_PARTIDO]],Original!$AT$1:$AY$46,3,FALSE)</f>
        <v xml:space="preserve">David Santiago Murcia Barrera </v>
      </c>
      <c r="F188" s="6" t="str">
        <f>VLOOKUP(Tabla1[[#This Row],[ID_PARTIDO]],Original!$AT$1:$AY$46,4,FALSE)</f>
        <v>Nicole Lizarazo</v>
      </c>
      <c r="G188" s="6" t="str">
        <f>VLOOKUP(Tabla1[[#This Row],[ID_PARTIDO]],Original!$AT$1:$AY$46,5,FALSE)</f>
        <v>Cristian Stevan Soto Zapata</v>
      </c>
      <c r="H188" t="s">
        <v>7</v>
      </c>
      <c r="I188" t="s">
        <v>14</v>
      </c>
      <c r="J188" t="s">
        <v>7</v>
      </c>
      <c r="K188" t="s">
        <v>14</v>
      </c>
      <c r="L188">
        <v>0</v>
      </c>
      <c r="M188">
        <v>1</v>
      </c>
    </row>
    <row r="189" spans="1:13">
      <c r="A189">
        <v>41</v>
      </c>
      <c r="B189">
        <v>1</v>
      </c>
      <c r="C189">
        <v>7</v>
      </c>
      <c r="D189" s="6" t="str">
        <f>VLOOKUP(Tabla1[[#This Row],[ID_PARTIDO]],Original!$AT$1:$AY$46,2,FALSE)</f>
        <v>Valentina Alejandra Lopez Romero</v>
      </c>
      <c r="E189" s="6" t="str">
        <f>VLOOKUP(Tabla1[[#This Row],[ID_PARTIDO]],Original!$AT$1:$AY$46,3,FALSE)</f>
        <v xml:space="preserve">David Santiago Murcia Barrera </v>
      </c>
      <c r="F189" s="6" t="str">
        <f>VLOOKUP(Tabla1[[#This Row],[ID_PARTIDO]],Original!$AT$1:$AY$46,4,FALSE)</f>
        <v>Nicole Lizarazo</v>
      </c>
      <c r="G189" s="6" t="str">
        <f>VLOOKUP(Tabla1[[#This Row],[ID_PARTIDO]],Original!$AT$1:$AY$46,5,FALSE)</f>
        <v>Cristian Stevan Soto Zapata</v>
      </c>
      <c r="H189" t="s">
        <v>7</v>
      </c>
      <c r="I189" t="s">
        <v>14</v>
      </c>
      <c r="J189" t="s">
        <v>7</v>
      </c>
      <c r="K189" t="s">
        <v>14</v>
      </c>
      <c r="L189">
        <v>1</v>
      </c>
      <c r="M189">
        <v>0</v>
      </c>
    </row>
    <row r="190" spans="1:13">
      <c r="A190">
        <v>41</v>
      </c>
      <c r="B190">
        <v>1</v>
      </c>
      <c r="C190">
        <v>8</v>
      </c>
      <c r="D190" s="6" t="str">
        <f>VLOOKUP(Tabla1[[#This Row],[ID_PARTIDO]],Original!$AT$1:$AY$46,2,FALSE)</f>
        <v>Valentina Alejandra Lopez Romero</v>
      </c>
      <c r="E190" s="6" t="str">
        <f>VLOOKUP(Tabla1[[#This Row],[ID_PARTIDO]],Original!$AT$1:$AY$46,3,FALSE)</f>
        <v xml:space="preserve">David Santiago Murcia Barrera </v>
      </c>
      <c r="F190" s="6" t="str">
        <f>VLOOKUP(Tabla1[[#This Row],[ID_PARTIDO]],Original!$AT$1:$AY$46,4,FALSE)</f>
        <v>Nicole Lizarazo</v>
      </c>
      <c r="G190" s="6" t="str">
        <f>VLOOKUP(Tabla1[[#This Row],[ID_PARTIDO]],Original!$AT$1:$AY$46,5,FALSE)</f>
        <v>Cristian Stevan Soto Zapata</v>
      </c>
      <c r="H190" t="s">
        <v>7</v>
      </c>
      <c r="I190" t="s">
        <v>14</v>
      </c>
      <c r="J190" t="s">
        <v>7</v>
      </c>
      <c r="K190" t="s">
        <v>14</v>
      </c>
      <c r="L190">
        <v>0</v>
      </c>
      <c r="M190">
        <v>1</v>
      </c>
    </row>
    <row r="191" spans="1:13">
      <c r="A191">
        <v>41</v>
      </c>
      <c r="B191">
        <v>1</v>
      </c>
      <c r="C191">
        <v>9</v>
      </c>
      <c r="D191" s="6" t="str">
        <f>VLOOKUP(Tabla1[[#This Row],[ID_PARTIDO]],Original!$AT$1:$AY$46,2,FALSE)</f>
        <v>Valentina Alejandra Lopez Romero</v>
      </c>
      <c r="E191" s="6" t="str">
        <f>VLOOKUP(Tabla1[[#This Row],[ID_PARTIDO]],Original!$AT$1:$AY$46,3,FALSE)</f>
        <v xml:space="preserve">David Santiago Murcia Barrera </v>
      </c>
      <c r="F191" s="6" t="str">
        <f>VLOOKUP(Tabla1[[#This Row],[ID_PARTIDO]],Original!$AT$1:$AY$46,4,FALSE)</f>
        <v>Nicole Lizarazo</v>
      </c>
      <c r="G191" s="6" t="str">
        <f>VLOOKUP(Tabla1[[#This Row],[ID_PARTIDO]],Original!$AT$1:$AY$46,5,FALSE)</f>
        <v>Cristian Stevan Soto Zapata</v>
      </c>
      <c r="H191" t="s">
        <v>7</v>
      </c>
      <c r="I191" t="s">
        <v>14</v>
      </c>
      <c r="J191" t="s">
        <v>7</v>
      </c>
      <c r="K191" t="s">
        <v>14</v>
      </c>
      <c r="L191">
        <v>0</v>
      </c>
      <c r="M191">
        <v>1</v>
      </c>
    </row>
    <row r="192" spans="1:13">
      <c r="A192">
        <v>41</v>
      </c>
      <c r="B192">
        <v>1</v>
      </c>
      <c r="C192">
        <v>10</v>
      </c>
      <c r="D192" s="6" t="str">
        <f>VLOOKUP(Tabla1[[#This Row],[ID_PARTIDO]],Original!$AT$1:$AY$46,2,FALSE)</f>
        <v>Valentina Alejandra Lopez Romero</v>
      </c>
      <c r="E192" s="6" t="str">
        <f>VLOOKUP(Tabla1[[#This Row],[ID_PARTIDO]],Original!$AT$1:$AY$46,3,FALSE)</f>
        <v xml:space="preserve">David Santiago Murcia Barrera </v>
      </c>
      <c r="F192" s="6" t="str">
        <f>VLOOKUP(Tabla1[[#This Row],[ID_PARTIDO]],Original!$AT$1:$AY$46,4,FALSE)</f>
        <v>Nicole Lizarazo</v>
      </c>
      <c r="G192" s="6" t="str">
        <f>VLOOKUP(Tabla1[[#This Row],[ID_PARTIDO]],Original!$AT$1:$AY$46,5,FALSE)</f>
        <v>Cristian Stevan Soto Zapata</v>
      </c>
      <c r="H192" t="s">
        <v>7</v>
      </c>
      <c r="I192" t="s">
        <v>14</v>
      </c>
      <c r="J192" t="s">
        <v>7</v>
      </c>
      <c r="K192" t="s">
        <v>14</v>
      </c>
      <c r="L192">
        <v>1</v>
      </c>
      <c r="M192">
        <v>0</v>
      </c>
    </row>
    <row r="193" spans="1:13">
      <c r="A193">
        <v>41</v>
      </c>
      <c r="B193">
        <v>1</v>
      </c>
      <c r="C193">
        <v>11</v>
      </c>
      <c r="D193" s="6" t="str">
        <f>VLOOKUP(Tabla1[[#This Row],[ID_PARTIDO]],Original!$AT$1:$AY$46,2,FALSE)</f>
        <v>Valentina Alejandra Lopez Romero</v>
      </c>
      <c r="E193" s="6" t="str">
        <f>VLOOKUP(Tabla1[[#This Row],[ID_PARTIDO]],Original!$AT$1:$AY$46,3,FALSE)</f>
        <v xml:space="preserve">David Santiago Murcia Barrera </v>
      </c>
      <c r="F193" s="6" t="str">
        <f>VLOOKUP(Tabla1[[#This Row],[ID_PARTIDO]],Original!$AT$1:$AY$46,4,FALSE)</f>
        <v>Nicole Lizarazo</v>
      </c>
      <c r="G193" s="6" t="str">
        <f>VLOOKUP(Tabla1[[#This Row],[ID_PARTIDO]],Original!$AT$1:$AY$46,5,FALSE)</f>
        <v>Cristian Stevan Soto Zapata</v>
      </c>
      <c r="H193" t="s">
        <v>7</v>
      </c>
      <c r="I193" t="s">
        <v>14</v>
      </c>
      <c r="J193" t="s">
        <v>7</v>
      </c>
      <c r="K193" t="s">
        <v>14</v>
      </c>
      <c r="L193">
        <v>1</v>
      </c>
      <c r="M193">
        <v>0</v>
      </c>
    </row>
    <row r="194" spans="1:13">
      <c r="A194">
        <v>41</v>
      </c>
      <c r="B194">
        <v>1</v>
      </c>
      <c r="C194">
        <v>12</v>
      </c>
      <c r="D194" s="6" t="str">
        <f>VLOOKUP(Tabla1[[#This Row],[ID_PARTIDO]],Original!$AT$1:$AY$46,2,FALSE)</f>
        <v>Valentina Alejandra Lopez Romero</v>
      </c>
      <c r="E194" s="6" t="str">
        <f>VLOOKUP(Tabla1[[#This Row],[ID_PARTIDO]],Original!$AT$1:$AY$46,3,FALSE)</f>
        <v xml:space="preserve">David Santiago Murcia Barrera </v>
      </c>
      <c r="F194" s="6" t="str">
        <f>VLOOKUP(Tabla1[[#This Row],[ID_PARTIDO]],Original!$AT$1:$AY$46,4,FALSE)</f>
        <v>Nicole Lizarazo</v>
      </c>
      <c r="G194" s="6" t="str">
        <f>VLOOKUP(Tabla1[[#This Row],[ID_PARTIDO]],Original!$AT$1:$AY$46,5,FALSE)</f>
        <v>Cristian Stevan Soto Zapata</v>
      </c>
      <c r="H194" t="s">
        <v>7</v>
      </c>
      <c r="I194" t="s">
        <v>14</v>
      </c>
      <c r="J194" t="s">
        <v>7</v>
      </c>
      <c r="K194" t="s">
        <v>14</v>
      </c>
      <c r="L194">
        <v>0</v>
      </c>
      <c r="M194">
        <v>1</v>
      </c>
    </row>
    <row r="195" spans="1:13">
      <c r="A195">
        <v>7</v>
      </c>
      <c r="B195">
        <v>1</v>
      </c>
      <c r="C195">
        <v>1</v>
      </c>
      <c r="D195" s="6" t="str">
        <f>VLOOKUP(Tabla1[[#This Row],[ID_PARTIDO]],Original!$AT$1:$AY$46,2,FALSE)</f>
        <v>Jaime Andres Castillo Alvarez</v>
      </c>
      <c r="E195" s="6" t="str">
        <f>VLOOKUP(Tabla1[[#This Row],[ID_PARTIDO]],Original!$AT$1:$AY$46,3,FALSE)</f>
        <v xml:space="preserve">Daniel Gutierrez </v>
      </c>
      <c r="F195" s="6" t="str">
        <f>VLOOKUP(Tabla1[[#This Row],[ID_PARTIDO]],Original!$AT$1:$AY$46,4,FALSE)</f>
        <v>Tomas Barrios Guevara</v>
      </c>
      <c r="G195" s="6" t="str">
        <f>VLOOKUP(Tabla1[[#This Row],[ID_PARTIDO]],Original!$AT$1:$AY$46,5,FALSE)</f>
        <v>Santiago Navarro Cuy</v>
      </c>
      <c r="H195" t="s">
        <v>7</v>
      </c>
      <c r="I195" t="s">
        <v>14</v>
      </c>
      <c r="J195" t="s">
        <v>7</v>
      </c>
      <c r="K195" t="s">
        <v>14</v>
      </c>
      <c r="L195">
        <v>1</v>
      </c>
      <c r="M195">
        <v>0</v>
      </c>
    </row>
    <row r="196" spans="1:13">
      <c r="A196">
        <v>7</v>
      </c>
      <c r="B196">
        <v>1</v>
      </c>
      <c r="C196">
        <v>2</v>
      </c>
      <c r="D196" s="6" t="str">
        <f>VLOOKUP(Tabla1[[#This Row],[ID_PARTIDO]],Original!$AT$1:$AY$46,2,FALSE)</f>
        <v>Jaime Andres Castillo Alvarez</v>
      </c>
      <c r="E196" s="6" t="str">
        <f>VLOOKUP(Tabla1[[#This Row],[ID_PARTIDO]],Original!$AT$1:$AY$46,3,FALSE)</f>
        <v xml:space="preserve">Daniel Gutierrez </v>
      </c>
      <c r="F196" s="6" t="str">
        <f>VLOOKUP(Tabla1[[#This Row],[ID_PARTIDO]],Original!$AT$1:$AY$46,4,FALSE)</f>
        <v>Tomas Barrios Guevara</v>
      </c>
      <c r="G196" s="6" t="str">
        <f>VLOOKUP(Tabla1[[#This Row],[ID_PARTIDO]],Original!$AT$1:$AY$46,5,FALSE)</f>
        <v>Santiago Navarro Cuy</v>
      </c>
      <c r="H196" t="s">
        <v>7</v>
      </c>
      <c r="I196" t="s">
        <v>14</v>
      </c>
      <c r="J196" t="s">
        <v>7</v>
      </c>
      <c r="K196" t="s">
        <v>14</v>
      </c>
      <c r="L196">
        <v>1</v>
      </c>
      <c r="M196">
        <v>0</v>
      </c>
    </row>
    <row r="197" spans="1:13">
      <c r="A197">
        <v>7</v>
      </c>
      <c r="B197">
        <v>1</v>
      </c>
      <c r="C197">
        <v>3</v>
      </c>
      <c r="D197" s="6" t="str">
        <f>VLOOKUP(Tabla1[[#This Row],[ID_PARTIDO]],Original!$AT$1:$AY$46,2,FALSE)</f>
        <v>Jaime Andres Castillo Alvarez</v>
      </c>
      <c r="E197" s="6" t="str">
        <f>VLOOKUP(Tabla1[[#This Row],[ID_PARTIDO]],Original!$AT$1:$AY$46,3,FALSE)</f>
        <v xml:space="preserve">Daniel Gutierrez </v>
      </c>
      <c r="F197" s="6" t="str">
        <f>VLOOKUP(Tabla1[[#This Row],[ID_PARTIDO]],Original!$AT$1:$AY$46,4,FALSE)</f>
        <v>Tomas Barrios Guevara</v>
      </c>
      <c r="G197" s="6" t="str">
        <f>VLOOKUP(Tabla1[[#This Row],[ID_PARTIDO]],Original!$AT$1:$AY$46,5,FALSE)</f>
        <v>Santiago Navarro Cuy</v>
      </c>
      <c r="H197" t="s">
        <v>7</v>
      </c>
      <c r="I197" t="s">
        <v>14</v>
      </c>
      <c r="J197" t="s">
        <v>7</v>
      </c>
      <c r="K197" t="s">
        <v>14</v>
      </c>
      <c r="L197">
        <v>0</v>
      </c>
      <c r="M197">
        <v>1</v>
      </c>
    </row>
    <row r="198" spans="1:13">
      <c r="A198">
        <v>7</v>
      </c>
      <c r="B198">
        <v>1</v>
      </c>
      <c r="C198">
        <v>4</v>
      </c>
      <c r="D198" s="6" t="str">
        <f>VLOOKUP(Tabla1[[#This Row],[ID_PARTIDO]],Original!$AT$1:$AY$46,2,FALSE)</f>
        <v>Jaime Andres Castillo Alvarez</v>
      </c>
      <c r="E198" s="6" t="str">
        <f>VLOOKUP(Tabla1[[#This Row],[ID_PARTIDO]],Original!$AT$1:$AY$46,3,FALSE)</f>
        <v xml:space="preserve">Daniel Gutierrez </v>
      </c>
      <c r="F198" s="6" t="str">
        <f>VLOOKUP(Tabla1[[#This Row],[ID_PARTIDO]],Original!$AT$1:$AY$46,4,FALSE)</f>
        <v>Tomas Barrios Guevara</v>
      </c>
      <c r="G198" s="6" t="str">
        <f>VLOOKUP(Tabla1[[#This Row],[ID_PARTIDO]],Original!$AT$1:$AY$46,5,FALSE)</f>
        <v>Santiago Navarro Cuy</v>
      </c>
      <c r="H198" t="s">
        <v>7</v>
      </c>
      <c r="I198" t="s">
        <v>14</v>
      </c>
      <c r="J198" t="s">
        <v>7</v>
      </c>
      <c r="K198" t="s">
        <v>14</v>
      </c>
      <c r="L198">
        <v>0</v>
      </c>
      <c r="M198">
        <v>1</v>
      </c>
    </row>
    <row r="199" spans="1:13">
      <c r="A199">
        <v>7</v>
      </c>
      <c r="B199">
        <v>1</v>
      </c>
      <c r="C199">
        <v>5</v>
      </c>
      <c r="D199" s="6" t="str">
        <f>VLOOKUP(Tabla1[[#This Row],[ID_PARTIDO]],Original!$AT$1:$AY$46,2,FALSE)</f>
        <v>Jaime Andres Castillo Alvarez</v>
      </c>
      <c r="E199" s="6" t="str">
        <f>VLOOKUP(Tabla1[[#This Row],[ID_PARTIDO]],Original!$AT$1:$AY$46,3,FALSE)</f>
        <v xml:space="preserve">Daniel Gutierrez </v>
      </c>
      <c r="F199" s="6" t="str">
        <f>VLOOKUP(Tabla1[[#This Row],[ID_PARTIDO]],Original!$AT$1:$AY$46,4,FALSE)</f>
        <v>Tomas Barrios Guevara</v>
      </c>
      <c r="G199" s="6" t="str">
        <f>VLOOKUP(Tabla1[[#This Row],[ID_PARTIDO]],Original!$AT$1:$AY$46,5,FALSE)</f>
        <v>Santiago Navarro Cuy</v>
      </c>
      <c r="H199" t="s">
        <v>7</v>
      </c>
      <c r="I199" t="s">
        <v>14</v>
      </c>
      <c r="J199" t="s">
        <v>7</v>
      </c>
      <c r="K199" t="s">
        <v>14</v>
      </c>
      <c r="L199">
        <v>0</v>
      </c>
      <c r="M199">
        <v>1</v>
      </c>
    </row>
    <row r="200" spans="1:13">
      <c r="A200">
        <v>7</v>
      </c>
      <c r="B200">
        <v>1</v>
      </c>
      <c r="C200">
        <v>6</v>
      </c>
      <c r="D200" s="6" t="str">
        <f>VLOOKUP(Tabla1[[#This Row],[ID_PARTIDO]],Original!$AT$1:$AY$46,2,FALSE)</f>
        <v>Jaime Andres Castillo Alvarez</v>
      </c>
      <c r="E200" s="6" t="str">
        <f>VLOOKUP(Tabla1[[#This Row],[ID_PARTIDO]],Original!$AT$1:$AY$46,3,FALSE)</f>
        <v xml:space="preserve">Daniel Gutierrez </v>
      </c>
      <c r="F200" s="6" t="str">
        <f>VLOOKUP(Tabla1[[#This Row],[ID_PARTIDO]],Original!$AT$1:$AY$46,4,FALSE)</f>
        <v>Tomas Barrios Guevara</v>
      </c>
      <c r="G200" s="6" t="str">
        <f>VLOOKUP(Tabla1[[#This Row],[ID_PARTIDO]],Original!$AT$1:$AY$46,5,FALSE)</f>
        <v>Santiago Navarro Cuy</v>
      </c>
      <c r="H200" t="s">
        <v>7</v>
      </c>
      <c r="I200" t="s">
        <v>14</v>
      </c>
      <c r="J200" t="s">
        <v>7</v>
      </c>
      <c r="K200" t="s">
        <v>14</v>
      </c>
      <c r="L200">
        <v>0</v>
      </c>
      <c r="M200">
        <v>1</v>
      </c>
    </row>
    <row r="201" spans="1:13">
      <c r="A201">
        <v>7</v>
      </c>
      <c r="B201">
        <v>1</v>
      </c>
      <c r="C201">
        <v>7</v>
      </c>
      <c r="D201" s="6" t="str">
        <f>VLOOKUP(Tabla1[[#This Row],[ID_PARTIDO]],Original!$AT$1:$AY$46,2,FALSE)</f>
        <v>Jaime Andres Castillo Alvarez</v>
      </c>
      <c r="E201" s="6" t="str">
        <f>VLOOKUP(Tabla1[[#This Row],[ID_PARTIDO]],Original!$AT$1:$AY$46,3,FALSE)</f>
        <v xml:space="preserve">Daniel Gutierrez </v>
      </c>
      <c r="F201" s="6" t="str">
        <f>VLOOKUP(Tabla1[[#This Row],[ID_PARTIDO]],Original!$AT$1:$AY$46,4,FALSE)</f>
        <v>Tomas Barrios Guevara</v>
      </c>
      <c r="G201" s="6" t="str">
        <f>VLOOKUP(Tabla1[[#This Row],[ID_PARTIDO]],Original!$AT$1:$AY$46,5,FALSE)</f>
        <v>Santiago Navarro Cuy</v>
      </c>
      <c r="H201" t="s">
        <v>7</v>
      </c>
      <c r="I201" t="s">
        <v>14</v>
      </c>
      <c r="J201" t="s">
        <v>7</v>
      </c>
      <c r="K201" t="s">
        <v>14</v>
      </c>
      <c r="L201">
        <v>0</v>
      </c>
      <c r="M201">
        <v>1</v>
      </c>
    </row>
    <row r="202" spans="1:13">
      <c r="A202">
        <v>7</v>
      </c>
      <c r="B202">
        <v>1</v>
      </c>
      <c r="C202">
        <v>8</v>
      </c>
      <c r="D202" s="6" t="str">
        <f>VLOOKUP(Tabla1[[#This Row],[ID_PARTIDO]],Original!$AT$1:$AY$46,2,FALSE)</f>
        <v>Jaime Andres Castillo Alvarez</v>
      </c>
      <c r="E202" s="6" t="str">
        <f>VLOOKUP(Tabla1[[#This Row],[ID_PARTIDO]],Original!$AT$1:$AY$46,3,FALSE)</f>
        <v xml:space="preserve">Daniel Gutierrez </v>
      </c>
      <c r="F202" s="6" t="str">
        <f>VLOOKUP(Tabla1[[#This Row],[ID_PARTIDO]],Original!$AT$1:$AY$46,4,FALSE)</f>
        <v>Tomas Barrios Guevara</v>
      </c>
      <c r="G202" s="6" t="str">
        <f>VLOOKUP(Tabla1[[#This Row],[ID_PARTIDO]],Original!$AT$1:$AY$46,5,FALSE)</f>
        <v>Santiago Navarro Cuy</v>
      </c>
      <c r="H202" t="s">
        <v>7</v>
      </c>
      <c r="I202" t="s">
        <v>14</v>
      </c>
      <c r="J202" t="s">
        <v>7</v>
      </c>
      <c r="K202" t="s">
        <v>14</v>
      </c>
      <c r="L202">
        <v>0</v>
      </c>
      <c r="M202">
        <v>1</v>
      </c>
    </row>
    <row r="203" spans="1:13">
      <c r="A203">
        <v>7</v>
      </c>
      <c r="B203">
        <v>1</v>
      </c>
      <c r="C203">
        <v>9</v>
      </c>
      <c r="D203" s="6" t="str">
        <f>VLOOKUP(Tabla1[[#This Row],[ID_PARTIDO]],Original!$AT$1:$AY$46,2,FALSE)</f>
        <v>Jaime Andres Castillo Alvarez</v>
      </c>
      <c r="E203" s="6" t="str">
        <f>VLOOKUP(Tabla1[[#This Row],[ID_PARTIDO]],Original!$AT$1:$AY$46,3,FALSE)</f>
        <v xml:space="preserve">Daniel Gutierrez </v>
      </c>
      <c r="F203" s="6" t="str">
        <f>VLOOKUP(Tabla1[[#This Row],[ID_PARTIDO]],Original!$AT$1:$AY$46,4,FALSE)</f>
        <v>Tomas Barrios Guevara</v>
      </c>
      <c r="G203" s="6" t="str">
        <f>VLOOKUP(Tabla1[[#This Row],[ID_PARTIDO]],Original!$AT$1:$AY$46,5,FALSE)</f>
        <v>Santiago Navarro Cuy</v>
      </c>
      <c r="H203" t="s">
        <v>7</v>
      </c>
      <c r="I203" t="s">
        <v>14</v>
      </c>
      <c r="J203" t="s">
        <v>7</v>
      </c>
      <c r="K203" t="s">
        <v>14</v>
      </c>
      <c r="L203">
        <v>0</v>
      </c>
      <c r="M203">
        <v>1</v>
      </c>
    </row>
    <row r="204" spans="1:13">
      <c r="A204">
        <v>1</v>
      </c>
      <c r="B204">
        <v>1</v>
      </c>
      <c r="C204">
        <v>1</v>
      </c>
      <c r="D204" s="6" t="str">
        <f>VLOOKUP(Tabla1[[#This Row],[ID_PARTIDO]],Original!$AT$1:$AY$46,2,FALSE)</f>
        <v xml:space="preserve">Juan Pablo Aponte Veloza </v>
      </c>
      <c r="E204" s="6" t="str">
        <f>VLOOKUP(Tabla1[[#This Row],[ID_PARTIDO]],Original!$AT$1:$AY$46,3,FALSE)</f>
        <v>Cristian Stevan Soto Zapata</v>
      </c>
      <c r="F204" s="6" t="str">
        <f>VLOOKUP(Tabla1[[#This Row],[ID_PARTIDO]],Original!$AT$1:$AY$46,4,FALSE)</f>
        <v xml:space="preserve">Carlos Felipe Andrade Sáenz </v>
      </c>
      <c r="G204" s="6" t="str">
        <f>VLOOKUP(Tabla1[[#This Row],[ID_PARTIDO]],Original!$AT$1:$AY$46,5,FALSE)</f>
        <v>Santiago Navarro Cuy</v>
      </c>
      <c r="H204" t="s">
        <v>7</v>
      </c>
      <c r="I204" t="s">
        <v>14</v>
      </c>
      <c r="J204" s="9" t="s">
        <v>14</v>
      </c>
      <c r="K204" s="9" t="s">
        <v>7</v>
      </c>
      <c r="L204">
        <v>1</v>
      </c>
      <c r="M204">
        <v>0</v>
      </c>
    </row>
    <row r="205" spans="1:13">
      <c r="A205">
        <v>1</v>
      </c>
      <c r="B205">
        <v>1</v>
      </c>
      <c r="C205">
        <v>2</v>
      </c>
      <c r="D205" s="6" t="str">
        <f>VLOOKUP(Tabla1[[#This Row],[ID_PARTIDO]],Original!$AT$1:$AY$46,2,FALSE)</f>
        <v xml:space="preserve">Juan Pablo Aponte Veloza </v>
      </c>
      <c r="E205" s="6" t="str">
        <f>VLOOKUP(Tabla1[[#This Row],[ID_PARTIDO]],Original!$AT$1:$AY$46,3,FALSE)</f>
        <v>Cristian Stevan Soto Zapata</v>
      </c>
      <c r="F205" s="6" t="str">
        <f>VLOOKUP(Tabla1[[#This Row],[ID_PARTIDO]],Original!$AT$1:$AY$46,4,FALSE)</f>
        <v xml:space="preserve">Carlos Felipe Andrade Sáenz </v>
      </c>
      <c r="G205" s="6" t="str">
        <f>VLOOKUP(Tabla1[[#This Row],[ID_PARTIDO]],Original!$AT$1:$AY$46,5,FALSE)</f>
        <v>Santiago Navarro Cuy</v>
      </c>
      <c r="H205" t="s">
        <v>7</v>
      </c>
      <c r="I205" t="s">
        <v>14</v>
      </c>
      <c r="J205" t="s">
        <v>14</v>
      </c>
      <c r="K205" t="s">
        <v>7</v>
      </c>
      <c r="L205">
        <v>0</v>
      </c>
      <c r="M205">
        <v>1</v>
      </c>
    </row>
    <row r="206" spans="1:13">
      <c r="A206">
        <v>1</v>
      </c>
      <c r="B206">
        <v>1</v>
      </c>
      <c r="C206">
        <v>3</v>
      </c>
      <c r="D206" s="6" t="str">
        <f>VLOOKUP(Tabla1[[#This Row],[ID_PARTIDO]],Original!$AT$1:$AY$46,2,FALSE)</f>
        <v xml:space="preserve">Juan Pablo Aponte Veloza </v>
      </c>
      <c r="E206" s="6" t="str">
        <f>VLOOKUP(Tabla1[[#This Row],[ID_PARTIDO]],Original!$AT$1:$AY$46,3,FALSE)</f>
        <v>Cristian Stevan Soto Zapata</v>
      </c>
      <c r="F206" s="6" t="str">
        <f>VLOOKUP(Tabla1[[#This Row],[ID_PARTIDO]],Original!$AT$1:$AY$46,4,FALSE)</f>
        <v xml:space="preserve">Carlos Felipe Andrade Sáenz </v>
      </c>
      <c r="G206" s="6" t="str">
        <f>VLOOKUP(Tabla1[[#This Row],[ID_PARTIDO]],Original!$AT$1:$AY$46,5,FALSE)</f>
        <v>Santiago Navarro Cuy</v>
      </c>
      <c r="H206" t="s">
        <v>7</v>
      </c>
      <c r="I206" t="s">
        <v>14</v>
      </c>
      <c r="J206" t="s">
        <v>14</v>
      </c>
      <c r="K206" t="s">
        <v>7</v>
      </c>
      <c r="L206">
        <v>1</v>
      </c>
      <c r="M206">
        <v>0</v>
      </c>
    </row>
    <row r="207" spans="1:13">
      <c r="A207">
        <v>1</v>
      </c>
      <c r="B207">
        <v>1</v>
      </c>
      <c r="C207">
        <v>4</v>
      </c>
      <c r="D207" s="6" t="str">
        <f>VLOOKUP(Tabla1[[#This Row],[ID_PARTIDO]],Original!$AT$1:$AY$46,2,FALSE)</f>
        <v xml:space="preserve">Juan Pablo Aponte Veloza </v>
      </c>
      <c r="E207" s="6" t="str">
        <f>VLOOKUP(Tabla1[[#This Row],[ID_PARTIDO]],Original!$AT$1:$AY$46,3,FALSE)</f>
        <v>Cristian Stevan Soto Zapata</v>
      </c>
      <c r="F207" s="6" t="str">
        <f>VLOOKUP(Tabla1[[#This Row],[ID_PARTIDO]],Original!$AT$1:$AY$46,4,FALSE)</f>
        <v xml:space="preserve">Carlos Felipe Andrade Sáenz </v>
      </c>
      <c r="G207" s="6" t="str">
        <f>VLOOKUP(Tabla1[[#This Row],[ID_PARTIDO]],Original!$AT$1:$AY$46,5,FALSE)</f>
        <v>Santiago Navarro Cuy</v>
      </c>
      <c r="H207" t="s">
        <v>7</v>
      </c>
      <c r="I207" t="s">
        <v>14</v>
      </c>
      <c r="J207" t="s">
        <v>14</v>
      </c>
      <c r="K207" t="s">
        <v>7</v>
      </c>
      <c r="L207">
        <v>1</v>
      </c>
      <c r="M207">
        <v>0</v>
      </c>
    </row>
    <row r="208" spans="1:13">
      <c r="A208">
        <v>1</v>
      </c>
      <c r="B208">
        <v>1</v>
      </c>
      <c r="C208">
        <v>5</v>
      </c>
      <c r="D208" s="6" t="str">
        <f>VLOOKUP(Tabla1[[#This Row],[ID_PARTIDO]],Original!$AT$1:$AY$46,2,FALSE)</f>
        <v xml:space="preserve">Juan Pablo Aponte Veloza </v>
      </c>
      <c r="E208" s="6" t="str">
        <f>VLOOKUP(Tabla1[[#This Row],[ID_PARTIDO]],Original!$AT$1:$AY$46,3,FALSE)</f>
        <v>Cristian Stevan Soto Zapata</v>
      </c>
      <c r="F208" s="6" t="str">
        <f>VLOOKUP(Tabla1[[#This Row],[ID_PARTIDO]],Original!$AT$1:$AY$46,4,FALSE)</f>
        <v xml:space="preserve">Carlos Felipe Andrade Sáenz </v>
      </c>
      <c r="G208" s="6" t="str">
        <f>VLOOKUP(Tabla1[[#This Row],[ID_PARTIDO]],Original!$AT$1:$AY$46,5,FALSE)</f>
        <v>Santiago Navarro Cuy</v>
      </c>
      <c r="H208" t="s">
        <v>7</v>
      </c>
      <c r="I208" t="s">
        <v>14</v>
      </c>
      <c r="J208" t="s">
        <v>14</v>
      </c>
      <c r="K208" t="s">
        <v>7</v>
      </c>
      <c r="L208">
        <v>1</v>
      </c>
      <c r="M208">
        <v>0</v>
      </c>
    </row>
    <row r="209" spans="1:13">
      <c r="A209">
        <v>1</v>
      </c>
      <c r="B209">
        <v>1</v>
      </c>
      <c r="C209">
        <v>6</v>
      </c>
      <c r="D209" s="6" t="str">
        <f>VLOOKUP(Tabla1[[#This Row],[ID_PARTIDO]],Original!$AT$1:$AY$46,2,FALSE)</f>
        <v xml:space="preserve">Juan Pablo Aponte Veloza </v>
      </c>
      <c r="E209" s="6" t="str">
        <f>VLOOKUP(Tabla1[[#This Row],[ID_PARTIDO]],Original!$AT$1:$AY$46,3,FALSE)</f>
        <v>Cristian Stevan Soto Zapata</v>
      </c>
      <c r="F209" s="6" t="str">
        <f>VLOOKUP(Tabla1[[#This Row],[ID_PARTIDO]],Original!$AT$1:$AY$46,4,FALSE)</f>
        <v xml:space="preserve">Carlos Felipe Andrade Sáenz </v>
      </c>
      <c r="G209" s="6" t="str">
        <f>VLOOKUP(Tabla1[[#This Row],[ID_PARTIDO]],Original!$AT$1:$AY$46,5,FALSE)</f>
        <v>Santiago Navarro Cuy</v>
      </c>
      <c r="H209" t="s">
        <v>7</v>
      </c>
      <c r="I209" t="s">
        <v>14</v>
      </c>
      <c r="J209" t="s">
        <v>14</v>
      </c>
      <c r="K209" t="s">
        <v>7</v>
      </c>
      <c r="L209">
        <v>1</v>
      </c>
      <c r="M209">
        <v>0</v>
      </c>
    </row>
    <row r="210" spans="1:13">
      <c r="A210">
        <v>1</v>
      </c>
      <c r="B210">
        <v>1</v>
      </c>
      <c r="C210">
        <v>7</v>
      </c>
      <c r="D210" s="6" t="str">
        <f>VLOOKUP(Tabla1[[#This Row],[ID_PARTIDO]],Original!$AT$1:$AY$46,2,FALSE)</f>
        <v xml:space="preserve">Juan Pablo Aponte Veloza </v>
      </c>
      <c r="E210" s="6" t="str">
        <f>VLOOKUP(Tabla1[[#This Row],[ID_PARTIDO]],Original!$AT$1:$AY$46,3,FALSE)</f>
        <v>Cristian Stevan Soto Zapata</v>
      </c>
      <c r="F210" s="6" t="str">
        <f>VLOOKUP(Tabla1[[#This Row],[ID_PARTIDO]],Original!$AT$1:$AY$46,4,FALSE)</f>
        <v xml:space="preserve">Carlos Felipe Andrade Sáenz </v>
      </c>
      <c r="G210" s="6" t="str">
        <f>VLOOKUP(Tabla1[[#This Row],[ID_PARTIDO]],Original!$AT$1:$AY$46,5,FALSE)</f>
        <v>Santiago Navarro Cuy</v>
      </c>
      <c r="H210" t="s">
        <v>7</v>
      </c>
      <c r="I210" t="s">
        <v>14</v>
      </c>
      <c r="J210" t="s">
        <v>14</v>
      </c>
      <c r="K210" t="s">
        <v>7</v>
      </c>
      <c r="L210">
        <v>1</v>
      </c>
      <c r="M210">
        <v>0</v>
      </c>
    </row>
    <row r="211" spans="1:13">
      <c r="A211">
        <v>1</v>
      </c>
      <c r="B211">
        <v>1</v>
      </c>
      <c r="C211">
        <v>8</v>
      </c>
      <c r="D211" s="6" t="str">
        <f>VLOOKUP(Tabla1[[#This Row],[ID_PARTIDO]],Original!$AT$1:$AY$46,2,FALSE)</f>
        <v xml:space="preserve">Juan Pablo Aponte Veloza </v>
      </c>
      <c r="E211" s="6" t="str">
        <f>VLOOKUP(Tabla1[[#This Row],[ID_PARTIDO]],Original!$AT$1:$AY$46,3,FALSE)</f>
        <v>Cristian Stevan Soto Zapata</v>
      </c>
      <c r="F211" s="6" t="str">
        <f>VLOOKUP(Tabla1[[#This Row],[ID_PARTIDO]],Original!$AT$1:$AY$46,4,FALSE)</f>
        <v xml:space="preserve">Carlos Felipe Andrade Sáenz </v>
      </c>
      <c r="G211" s="6" t="str">
        <f>VLOOKUP(Tabla1[[#This Row],[ID_PARTIDO]],Original!$AT$1:$AY$46,5,FALSE)</f>
        <v>Santiago Navarro Cuy</v>
      </c>
      <c r="H211" t="s">
        <v>7</v>
      </c>
      <c r="I211" t="s">
        <v>14</v>
      </c>
      <c r="J211" t="s">
        <v>14</v>
      </c>
      <c r="K211" t="s">
        <v>7</v>
      </c>
      <c r="L211">
        <v>1</v>
      </c>
      <c r="M211">
        <v>0</v>
      </c>
    </row>
    <row r="212" spans="1:13">
      <c r="A212">
        <v>15</v>
      </c>
      <c r="B212">
        <v>1</v>
      </c>
      <c r="C212">
        <v>1</v>
      </c>
      <c r="D212" s="6" t="str">
        <f>VLOOKUP(Tabla1[[#This Row],[ID_PARTIDO]],Original!$AT$1:$AY$46,2,FALSE)</f>
        <v>Valentina Alejandra Lopez Romero</v>
      </c>
      <c r="E212" s="6" t="str">
        <f>VLOOKUP(Tabla1[[#This Row],[ID_PARTIDO]],Original!$AT$1:$AY$46,3,FALSE)</f>
        <v>Cristian Stevan Soto Zapata</v>
      </c>
      <c r="F212" s="6" t="str">
        <f>VLOOKUP(Tabla1[[#This Row],[ID_PARTIDO]],Original!$AT$1:$AY$46,4,FALSE)</f>
        <v xml:space="preserve">Sergio Andrés López Rodríguez </v>
      </c>
      <c r="G212" s="6" t="str">
        <f>VLOOKUP(Tabla1[[#This Row],[ID_PARTIDO]],Original!$AT$1:$AY$46,5,FALSE)</f>
        <v xml:space="preserve">María José Cifuentes </v>
      </c>
      <c r="H212" t="s">
        <v>7</v>
      </c>
      <c r="I212" t="s">
        <v>14</v>
      </c>
      <c r="J212" t="s">
        <v>7</v>
      </c>
      <c r="K212" t="s">
        <v>14</v>
      </c>
      <c r="L212">
        <v>0</v>
      </c>
      <c r="M212">
        <v>1</v>
      </c>
    </row>
    <row r="213" spans="1:13">
      <c r="A213">
        <v>15</v>
      </c>
      <c r="B213">
        <v>1</v>
      </c>
      <c r="C213">
        <v>2</v>
      </c>
      <c r="D213" s="6" t="str">
        <f>VLOOKUP(Tabla1[[#This Row],[ID_PARTIDO]],Original!$AT$1:$AY$46,2,FALSE)</f>
        <v>Valentina Alejandra Lopez Romero</v>
      </c>
      <c r="E213" s="6" t="str">
        <f>VLOOKUP(Tabla1[[#This Row],[ID_PARTIDO]],Original!$AT$1:$AY$46,3,FALSE)</f>
        <v>Cristian Stevan Soto Zapata</v>
      </c>
      <c r="F213" s="6" t="str">
        <f>VLOOKUP(Tabla1[[#This Row],[ID_PARTIDO]],Original!$AT$1:$AY$46,4,FALSE)</f>
        <v xml:space="preserve">Sergio Andrés López Rodríguez </v>
      </c>
      <c r="G213" s="6" t="str">
        <f>VLOOKUP(Tabla1[[#This Row],[ID_PARTIDO]],Original!$AT$1:$AY$46,5,FALSE)</f>
        <v xml:space="preserve">María José Cifuentes </v>
      </c>
      <c r="H213" t="s">
        <v>7</v>
      </c>
      <c r="I213" t="s">
        <v>14</v>
      </c>
      <c r="J213" t="s">
        <v>7</v>
      </c>
      <c r="K213" t="s">
        <v>14</v>
      </c>
      <c r="L213">
        <v>0</v>
      </c>
      <c r="M213">
        <v>1</v>
      </c>
    </row>
    <row r="214" spans="1:13">
      <c r="A214">
        <v>15</v>
      </c>
      <c r="B214">
        <v>1</v>
      </c>
      <c r="C214">
        <v>3</v>
      </c>
      <c r="D214" s="6" t="str">
        <f>VLOOKUP(Tabla1[[#This Row],[ID_PARTIDO]],Original!$AT$1:$AY$46,2,FALSE)</f>
        <v>Valentina Alejandra Lopez Romero</v>
      </c>
      <c r="E214" s="6" t="str">
        <f>VLOOKUP(Tabla1[[#This Row],[ID_PARTIDO]],Original!$AT$1:$AY$46,3,FALSE)</f>
        <v>Cristian Stevan Soto Zapata</v>
      </c>
      <c r="F214" s="6" t="str">
        <f>VLOOKUP(Tabla1[[#This Row],[ID_PARTIDO]],Original!$AT$1:$AY$46,4,FALSE)</f>
        <v xml:space="preserve">Sergio Andrés López Rodríguez </v>
      </c>
      <c r="G214" s="6" t="str">
        <f>VLOOKUP(Tabla1[[#This Row],[ID_PARTIDO]],Original!$AT$1:$AY$46,5,FALSE)</f>
        <v xml:space="preserve">María José Cifuentes </v>
      </c>
      <c r="H214" t="s">
        <v>7</v>
      </c>
      <c r="I214" t="s">
        <v>14</v>
      </c>
      <c r="J214" t="s">
        <v>7</v>
      </c>
      <c r="K214" t="s">
        <v>14</v>
      </c>
      <c r="L214">
        <v>1</v>
      </c>
      <c r="M214">
        <v>0</v>
      </c>
    </row>
    <row r="215" spans="1:13">
      <c r="A215">
        <v>15</v>
      </c>
      <c r="B215">
        <v>1</v>
      </c>
      <c r="C215">
        <v>4</v>
      </c>
      <c r="D215" s="6" t="str">
        <f>VLOOKUP(Tabla1[[#This Row],[ID_PARTIDO]],Original!$AT$1:$AY$46,2,FALSE)</f>
        <v>Valentina Alejandra Lopez Romero</v>
      </c>
      <c r="E215" s="6" t="str">
        <f>VLOOKUP(Tabla1[[#This Row],[ID_PARTIDO]],Original!$AT$1:$AY$46,3,FALSE)</f>
        <v>Cristian Stevan Soto Zapata</v>
      </c>
      <c r="F215" s="6" t="str">
        <f>VLOOKUP(Tabla1[[#This Row],[ID_PARTIDO]],Original!$AT$1:$AY$46,4,FALSE)</f>
        <v xml:space="preserve">Sergio Andrés López Rodríguez </v>
      </c>
      <c r="G215" s="6" t="str">
        <f>VLOOKUP(Tabla1[[#This Row],[ID_PARTIDO]],Original!$AT$1:$AY$46,5,FALSE)</f>
        <v xml:space="preserve">María José Cifuentes </v>
      </c>
      <c r="H215" t="s">
        <v>7</v>
      </c>
      <c r="I215" t="s">
        <v>14</v>
      </c>
      <c r="J215" t="s">
        <v>7</v>
      </c>
      <c r="K215" t="s">
        <v>14</v>
      </c>
      <c r="L215">
        <v>0</v>
      </c>
      <c r="M215">
        <v>1</v>
      </c>
    </row>
    <row r="216" spans="1:13">
      <c r="A216">
        <v>15</v>
      </c>
      <c r="B216">
        <v>1</v>
      </c>
      <c r="C216">
        <v>5</v>
      </c>
      <c r="D216" s="6" t="str">
        <f>VLOOKUP(Tabla1[[#This Row],[ID_PARTIDO]],Original!$AT$1:$AY$46,2,FALSE)</f>
        <v>Valentina Alejandra Lopez Romero</v>
      </c>
      <c r="E216" s="6" t="str">
        <f>VLOOKUP(Tabla1[[#This Row],[ID_PARTIDO]],Original!$AT$1:$AY$46,3,FALSE)</f>
        <v>Cristian Stevan Soto Zapata</v>
      </c>
      <c r="F216" s="6" t="str">
        <f>VLOOKUP(Tabla1[[#This Row],[ID_PARTIDO]],Original!$AT$1:$AY$46,4,FALSE)</f>
        <v xml:space="preserve">Sergio Andrés López Rodríguez </v>
      </c>
      <c r="G216" s="6" t="str">
        <f>VLOOKUP(Tabla1[[#This Row],[ID_PARTIDO]],Original!$AT$1:$AY$46,5,FALSE)</f>
        <v xml:space="preserve">María José Cifuentes </v>
      </c>
      <c r="H216" t="s">
        <v>7</v>
      </c>
      <c r="I216" t="s">
        <v>14</v>
      </c>
      <c r="J216" t="s">
        <v>7</v>
      </c>
      <c r="K216" t="s">
        <v>14</v>
      </c>
      <c r="L216">
        <v>1</v>
      </c>
      <c r="M216">
        <v>0</v>
      </c>
    </row>
    <row r="217" spans="1:13">
      <c r="A217">
        <v>15</v>
      </c>
      <c r="B217">
        <v>1</v>
      </c>
      <c r="C217">
        <v>6</v>
      </c>
      <c r="D217" s="6" t="str">
        <f>VLOOKUP(Tabla1[[#This Row],[ID_PARTIDO]],Original!$AT$1:$AY$46,2,FALSE)</f>
        <v>Valentina Alejandra Lopez Romero</v>
      </c>
      <c r="E217" s="6" t="str">
        <f>VLOOKUP(Tabla1[[#This Row],[ID_PARTIDO]],Original!$AT$1:$AY$46,3,FALSE)</f>
        <v>Cristian Stevan Soto Zapata</v>
      </c>
      <c r="F217" s="6" t="str">
        <f>VLOOKUP(Tabla1[[#This Row],[ID_PARTIDO]],Original!$AT$1:$AY$46,4,FALSE)</f>
        <v xml:space="preserve">Sergio Andrés López Rodríguez </v>
      </c>
      <c r="G217" s="6" t="str">
        <f>VLOOKUP(Tabla1[[#This Row],[ID_PARTIDO]],Original!$AT$1:$AY$46,5,FALSE)</f>
        <v xml:space="preserve">María José Cifuentes </v>
      </c>
      <c r="H217" t="s">
        <v>7</v>
      </c>
      <c r="I217" t="s">
        <v>14</v>
      </c>
      <c r="J217" t="s">
        <v>7</v>
      </c>
      <c r="K217" t="s">
        <v>14</v>
      </c>
      <c r="L217">
        <v>1</v>
      </c>
      <c r="M217">
        <v>0</v>
      </c>
    </row>
    <row r="218" spans="1:13">
      <c r="A218">
        <v>15</v>
      </c>
      <c r="B218">
        <v>1</v>
      </c>
      <c r="C218">
        <v>7</v>
      </c>
      <c r="D218" s="6" t="str">
        <f>VLOOKUP(Tabla1[[#This Row],[ID_PARTIDO]],Original!$AT$1:$AY$46,2,FALSE)</f>
        <v>Valentina Alejandra Lopez Romero</v>
      </c>
      <c r="E218" s="6" t="str">
        <f>VLOOKUP(Tabla1[[#This Row],[ID_PARTIDO]],Original!$AT$1:$AY$46,3,FALSE)</f>
        <v>Cristian Stevan Soto Zapata</v>
      </c>
      <c r="F218" s="6" t="str">
        <f>VLOOKUP(Tabla1[[#This Row],[ID_PARTIDO]],Original!$AT$1:$AY$46,4,FALSE)</f>
        <v xml:space="preserve">Sergio Andrés López Rodríguez </v>
      </c>
      <c r="G218" s="6" t="str">
        <f>VLOOKUP(Tabla1[[#This Row],[ID_PARTIDO]],Original!$AT$1:$AY$46,5,FALSE)</f>
        <v xml:space="preserve">María José Cifuentes </v>
      </c>
      <c r="H218" t="s">
        <v>7</v>
      </c>
      <c r="I218" t="s">
        <v>14</v>
      </c>
      <c r="J218" t="s">
        <v>7</v>
      </c>
      <c r="K218" t="s">
        <v>14</v>
      </c>
      <c r="L218">
        <v>1</v>
      </c>
      <c r="M218">
        <v>0</v>
      </c>
    </row>
    <row r="219" spans="1:13">
      <c r="A219">
        <v>15</v>
      </c>
      <c r="B219">
        <v>1</v>
      </c>
      <c r="C219">
        <v>8</v>
      </c>
      <c r="D219" s="6" t="str">
        <f>VLOOKUP(Tabla1[[#This Row],[ID_PARTIDO]],Original!$AT$1:$AY$46,2,FALSE)</f>
        <v>Valentina Alejandra Lopez Romero</v>
      </c>
      <c r="E219" s="6" t="str">
        <f>VLOOKUP(Tabla1[[#This Row],[ID_PARTIDO]],Original!$AT$1:$AY$46,3,FALSE)</f>
        <v>Cristian Stevan Soto Zapata</v>
      </c>
      <c r="F219" s="6" t="str">
        <f>VLOOKUP(Tabla1[[#This Row],[ID_PARTIDO]],Original!$AT$1:$AY$46,4,FALSE)</f>
        <v xml:space="preserve">Sergio Andrés López Rodríguez </v>
      </c>
      <c r="G219" s="6" t="str">
        <f>VLOOKUP(Tabla1[[#This Row],[ID_PARTIDO]],Original!$AT$1:$AY$46,5,FALSE)</f>
        <v xml:space="preserve">María José Cifuentes </v>
      </c>
      <c r="H219" t="s">
        <v>7</v>
      </c>
      <c r="I219" t="s">
        <v>14</v>
      </c>
      <c r="J219" t="s">
        <v>7</v>
      </c>
      <c r="K219" t="s">
        <v>14</v>
      </c>
      <c r="L219">
        <v>1</v>
      </c>
      <c r="M219">
        <v>0</v>
      </c>
    </row>
    <row r="220" spans="1:13">
      <c r="A220">
        <v>15</v>
      </c>
      <c r="B220">
        <v>1</v>
      </c>
      <c r="C220">
        <v>9</v>
      </c>
      <c r="D220" s="6" t="str">
        <f>VLOOKUP(Tabla1[[#This Row],[ID_PARTIDO]],Original!$AT$1:$AY$46,2,FALSE)</f>
        <v>Valentina Alejandra Lopez Romero</v>
      </c>
      <c r="E220" s="6" t="str">
        <f>VLOOKUP(Tabla1[[#This Row],[ID_PARTIDO]],Original!$AT$1:$AY$46,3,FALSE)</f>
        <v>Cristian Stevan Soto Zapata</v>
      </c>
      <c r="F220" s="6" t="str">
        <f>VLOOKUP(Tabla1[[#This Row],[ID_PARTIDO]],Original!$AT$1:$AY$46,4,FALSE)</f>
        <v xml:space="preserve">Sergio Andrés López Rodríguez </v>
      </c>
      <c r="G220" s="6" t="str">
        <f>VLOOKUP(Tabla1[[#This Row],[ID_PARTIDO]],Original!$AT$1:$AY$46,5,FALSE)</f>
        <v xml:space="preserve">María José Cifuentes </v>
      </c>
      <c r="H220" t="s">
        <v>7</v>
      </c>
      <c r="I220" t="s">
        <v>14</v>
      </c>
      <c r="J220" t="s">
        <v>7</v>
      </c>
      <c r="K220" t="s">
        <v>14</v>
      </c>
      <c r="L220">
        <v>0</v>
      </c>
      <c r="M220">
        <v>1</v>
      </c>
    </row>
    <row r="221" spans="1:13">
      <c r="A221">
        <v>15</v>
      </c>
      <c r="B221">
        <v>1</v>
      </c>
      <c r="C221">
        <v>10</v>
      </c>
      <c r="D221" s="6" t="str">
        <f>VLOOKUP(Tabla1[[#This Row],[ID_PARTIDO]],Original!$AT$1:$AY$46,2,FALSE)</f>
        <v>Valentina Alejandra Lopez Romero</v>
      </c>
      <c r="E221" s="6" t="str">
        <f>VLOOKUP(Tabla1[[#This Row],[ID_PARTIDO]],Original!$AT$1:$AY$46,3,FALSE)</f>
        <v>Cristian Stevan Soto Zapata</v>
      </c>
      <c r="F221" s="6" t="str">
        <f>VLOOKUP(Tabla1[[#This Row],[ID_PARTIDO]],Original!$AT$1:$AY$46,4,FALSE)</f>
        <v xml:space="preserve">Sergio Andrés López Rodríguez </v>
      </c>
      <c r="G221" s="6" t="str">
        <f>VLOOKUP(Tabla1[[#This Row],[ID_PARTIDO]],Original!$AT$1:$AY$46,5,FALSE)</f>
        <v xml:space="preserve">María José Cifuentes </v>
      </c>
      <c r="H221" t="s">
        <v>7</v>
      </c>
      <c r="I221" t="s">
        <v>14</v>
      </c>
      <c r="J221" t="s">
        <v>7</v>
      </c>
      <c r="K221" t="s">
        <v>14</v>
      </c>
      <c r="L221">
        <v>0</v>
      </c>
      <c r="M221">
        <v>1</v>
      </c>
    </row>
    <row r="222" spans="1:13">
      <c r="A222">
        <v>15</v>
      </c>
      <c r="B222">
        <v>1</v>
      </c>
      <c r="C222">
        <v>11</v>
      </c>
      <c r="D222" s="6" t="str">
        <f>VLOOKUP(Tabla1[[#This Row],[ID_PARTIDO]],Original!$AT$1:$AY$46,2,FALSE)</f>
        <v>Valentina Alejandra Lopez Romero</v>
      </c>
      <c r="E222" s="6" t="str">
        <f>VLOOKUP(Tabla1[[#This Row],[ID_PARTIDO]],Original!$AT$1:$AY$46,3,FALSE)</f>
        <v>Cristian Stevan Soto Zapata</v>
      </c>
      <c r="F222" s="6" t="str">
        <f>VLOOKUP(Tabla1[[#This Row],[ID_PARTIDO]],Original!$AT$1:$AY$46,4,FALSE)</f>
        <v xml:space="preserve">Sergio Andrés López Rodríguez </v>
      </c>
      <c r="G222" s="6" t="str">
        <f>VLOOKUP(Tabla1[[#This Row],[ID_PARTIDO]],Original!$AT$1:$AY$46,5,FALSE)</f>
        <v xml:space="preserve">María José Cifuentes </v>
      </c>
      <c r="H222" t="s">
        <v>7</v>
      </c>
      <c r="I222" t="s">
        <v>14</v>
      </c>
      <c r="J222" t="s">
        <v>7</v>
      </c>
      <c r="K222" t="s">
        <v>14</v>
      </c>
      <c r="L222">
        <v>0</v>
      </c>
      <c r="M222">
        <v>1</v>
      </c>
    </row>
    <row r="223" spans="1:13">
      <c r="A223">
        <v>15</v>
      </c>
      <c r="B223">
        <v>1</v>
      </c>
      <c r="C223">
        <v>12</v>
      </c>
      <c r="D223" s="6" t="str">
        <f>VLOOKUP(Tabla1[[#This Row],[ID_PARTIDO]],Original!$AT$1:$AY$46,2,FALSE)</f>
        <v>Valentina Alejandra Lopez Romero</v>
      </c>
      <c r="E223" s="6" t="str">
        <f>VLOOKUP(Tabla1[[#This Row],[ID_PARTIDO]],Original!$AT$1:$AY$46,3,FALSE)</f>
        <v>Cristian Stevan Soto Zapata</v>
      </c>
      <c r="F223" s="6" t="str">
        <f>VLOOKUP(Tabla1[[#This Row],[ID_PARTIDO]],Original!$AT$1:$AY$46,4,FALSE)</f>
        <v xml:space="preserve">Sergio Andrés López Rodríguez </v>
      </c>
      <c r="G223" s="6" t="str">
        <f>VLOOKUP(Tabla1[[#This Row],[ID_PARTIDO]],Original!$AT$1:$AY$46,5,FALSE)</f>
        <v xml:space="preserve">María José Cifuentes </v>
      </c>
      <c r="H223" t="s">
        <v>7</v>
      </c>
      <c r="I223" t="s">
        <v>14</v>
      </c>
      <c r="J223" t="s">
        <v>7</v>
      </c>
      <c r="K223" t="s">
        <v>14</v>
      </c>
      <c r="L223">
        <v>1</v>
      </c>
      <c r="M223">
        <v>0</v>
      </c>
    </row>
    <row r="224" spans="1:13">
      <c r="A224">
        <v>15</v>
      </c>
      <c r="B224">
        <v>1</v>
      </c>
      <c r="C224">
        <v>13</v>
      </c>
      <c r="D224" s="6" t="str">
        <f>VLOOKUP(Tabla1[[#This Row],[ID_PARTIDO]],Original!$AT$1:$AY$46,2,FALSE)</f>
        <v>Valentina Alejandra Lopez Romero</v>
      </c>
      <c r="E224" s="6" t="str">
        <f>VLOOKUP(Tabla1[[#This Row],[ID_PARTIDO]],Original!$AT$1:$AY$46,3,FALSE)</f>
        <v>Cristian Stevan Soto Zapata</v>
      </c>
      <c r="F224" s="6" t="str">
        <f>VLOOKUP(Tabla1[[#This Row],[ID_PARTIDO]],Original!$AT$1:$AY$46,4,FALSE)</f>
        <v xml:space="preserve">Sergio Andrés López Rodríguez </v>
      </c>
      <c r="G224" s="6" t="str">
        <f>VLOOKUP(Tabla1[[#This Row],[ID_PARTIDO]],Original!$AT$1:$AY$46,5,FALSE)</f>
        <v xml:space="preserve">María José Cifuentes </v>
      </c>
      <c r="H224" t="s">
        <v>7</v>
      </c>
      <c r="I224" t="s">
        <v>14</v>
      </c>
      <c r="J224" t="s">
        <v>7</v>
      </c>
      <c r="K224" t="s">
        <v>14</v>
      </c>
      <c r="L224">
        <v>0</v>
      </c>
      <c r="M22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4176-3376-BA40-B7E3-CF9A28F08413}">
  <dimension ref="A1:AY46"/>
  <sheetViews>
    <sheetView zoomScale="104" workbookViewId="0">
      <selection activeCell="AI6" sqref="AI6"/>
    </sheetView>
  </sheetViews>
  <sheetFormatPr defaultColWidth="10.85546875" defaultRowHeight="14.45"/>
  <cols>
    <col min="1" max="1" width="8" bestFit="1" customWidth="1"/>
    <col min="2" max="2" width="16.7109375" bestFit="1" customWidth="1"/>
    <col min="3" max="3" width="17.42578125" bestFit="1" customWidth="1"/>
    <col min="4" max="16" width="3" bestFit="1" customWidth="1"/>
    <col min="18" max="18" width="8" bestFit="1" customWidth="1"/>
    <col min="19" max="19" width="16.7109375" bestFit="1" customWidth="1"/>
    <col min="20" max="20" width="17.42578125" bestFit="1" customWidth="1"/>
    <col min="21" max="33" width="3" bestFit="1" customWidth="1"/>
    <col min="43" max="43" width="3.140625" bestFit="1" customWidth="1"/>
    <col min="44" max="45" width="9.85546875" customWidth="1"/>
    <col min="46" max="46" width="11.85546875" bestFit="1" customWidth="1"/>
    <col min="47" max="50" width="30.140625" bestFit="1" customWidth="1"/>
    <col min="51" max="51" width="11.85546875" bestFit="1" customWidth="1"/>
  </cols>
  <sheetData>
    <row r="1" spans="1:51">
      <c r="A1" s="13" t="s">
        <v>67</v>
      </c>
      <c r="B1" s="13" t="s">
        <v>68</v>
      </c>
      <c r="C1" s="13"/>
      <c r="D1" s="13" t="s">
        <v>69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R1" s="13" t="s">
        <v>67</v>
      </c>
      <c r="S1" s="13" t="s">
        <v>68</v>
      </c>
      <c r="T1" s="13"/>
      <c r="U1" s="13" t="s">
        <v>69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K1" t="s">
        <v>23</v>
      </c>
      <c r="AL1" t="str">
        <f>_xlfn.CONCAT("'",AK1,"',")</f>
        <v>'Luis Jorge Garcia Camargo',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</row>
    <row r="2" spans="1:51">
      <c r="A2" s="13"/>
      <c r="B2" s="13"/>
      <c r="C2" s="13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R2" s="13"/>
      <c r="S2" s="13"/>
      <c r="T2" s="13"/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  <c r="AA2" s="1">
        <v>7</v>
      </c>
      <c r="AB2" s="1">
        <v>8</v>
      </c>
      <c r="AC2" s="1">
        <v>9</v>
      </c>
      <c r="AD2" s="1">
        <v>10</v>
      </c>
      <c r="AE2" s="1">
        <v>11</v>
      </c>
      <c r="AF2" s="1">
        <v>12</v>
      </c>
      <c r="AG2" s="1">
        <v>13</v>
      </c>
      <c r="AK2" t="s">
        <v>19</v>
      </c>
      <c r="AL2" t="str">
        <f t="shared" ref="AL2:AL36" si="0">_xlfn.CONCAT("'",AK2,"',")</f>
        <v>'Tomas Barrios Guevara',</v>
      </c>
      <c r="AT2" s="7">
        <v>1</v>
      </c>
      <c r="AU2" t="s">
        <v>22</v>
      </c>
      <c r="AV2" t="s">
        <v>30</v>
      </c>
      <c r="AW2" t="s">
        <v>39</v>
      </c>
      <c r="AX2" t="s">
        <v>42</v>
      </c>
      <c r="AY2" t="s">
        <v>76</v>
      </c>
    </row>
    <row r="3" spans="1:51">
      <c r="A3" s="13" t="s">
        <v>77</v>
      </c>
      <c r="B3" s="13" t="s">
        <v>78</v>
      </c>
      <c r="C3" s="1" t="s">
        <v>79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13" t="s">
        <v>77</v>
      </c>
      <c r="S3" s="13" t="s">
        <v>78</v>
      </c>
      <c r="T3" s="1" t="s">
        <v>79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K3" t="s">
        <v>16</v>
      </c>
      <c r="AL3" t="str">
        <f t="shared" si="0"/>
        <v>'Jaime Andres Castillo Alvarez',</v>
      </c>
      <c r="AT3" s="7">
        <v>2</v>
      </c>
      <c r="AU3" t="s">
        <v>21</v>
      </c>
      <c r="AV3" t="s">
        <v>10</v>
      </c>
      <c r="AW3" t="s">
        <v>29</v>
      </c>
      <c r="AX3" t="s">
        <v>36</v>
      </c>
      <c r="AY3" t="s">
        <v>80</v>
      </c>
    </row>
    <row r="4" spans="1:51">
      <c r="A4" s="13"/>
      <c r="B4" s="13"/>
      <c r="C4" s="1" t="s">
        <v>81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3"/>
      <c r="S4" s="13"/>
      <c r="T4" s="1" t="s">
        <v>81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K4" t="s">
        <v>10</v>
      </c>
      <c r="AL4" t="str">
        <f t="shared" si="0"/>
        <v>'Santiago Gutiérrez de Piñeres Barbosa  ',</v>
      </c>
      <c r="AT4" s="7">
        <v>3</v>
      </c>
      <c r="AU4" t="s">
        <v>27</v>
      </c>
      <c r="AV4" t="s">
        <v>43</v>
      </c>
      <c r="AW4" t="s">
        <v>40</v>
      </c>
      <c r="AX4" t="s">
        <v>25</v>
      </c>
      <c r="AY4" t="s">
        <v>76</v>
      </c>
    </row>
    <row r="5" spans="1:51">
      <c r="A5" s="13"/>
      <c r="B5" s="13" t="s">
        <v>82</v>
      </c>
      <c r="C5" s="1" t="s">
        <v>79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3"/>
      <c r="S5" s="13" t="s">
        <v>82</v>
      </c>
      <c r="T5" s="1" t="s">
        <v>79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K5" t="s">
        <v>28</v>
      </c>
      <c r="AL5" t="str">
        <f t="shared" si="0"/>
        <v>'maria jose martinez villabona ',</v>
      </c>
      <c r="AT5" s="7">
        <v>4</v>
      </c>
      <c r="AU5" t="s">
        <v>35</v>
      </c>
      <c r="AV5" t="s">
        <v>23</v>
      </c>
      <c r="AW5" t="s">
        <v>42</v>
      </c>
      <c r="AX5" t="s">
        <v>22</v>
      </c>
      <c r="AY5" t="s">
        <v>80</v>
      </c>
    </row>
    <row r="6" spans="1:51">
      <c r="A6" s="13"/>
      <c r="B6" s="13"/>
      <c r="C6" s="1" t="s">
        <v>81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13"/>
      <c r="S6" s="13"/>
      <c r="T6" s="1" t="s">
        <v>81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K6" t="s">
        <v>21</v>
      </c>
      <c r="AL6" t="str">
        <f t="shared" si="0"/>
        <v>'Luis Mario Ramirez Muñoz',</v>
      </c>
      <c r="AT6" s="7">
        <v>5</v>
      </c>
      <c r="AU6" t="s">
        <v>18</v>
      </c>
      <c r="AV6" t="s">
        <v>37</v>
      </c>
      <c r="AW6" t="s">
        <v>9</v>
      </c>
      <c r="AX6" t="s">
        <v>33</v>
      </c>
      <c r="AY6" t="s">
        <v>76</v>
      </c>
    </row>
    <row r="7" spans="1:51">
      <c r="A7" s="13" t="s">
        <v>83</v>
      </c>
      <c r="B7" s="13" t="s">
        <v>78</v>
      </c>
      <c r="C7" s="1" t="s">
        <v>79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13" t="s">
        <v>83</v>
      </c>
      <c r="S7" s="13" t="s">
        <v>78</v>
      </c>
      <c r="T7" s="1" t="s">
        <v>79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K7" t="s">
        <v>43</v>
      </c>
      <c r="AL7" t="str">
        <f t="shared" si="0"/>
        <v>'Santiago Urrego Rodríguez',</v>
      </c>
      <c r="AT7" s="7">
        <v>6</v>
      </c>
      <c r="AU7" t="s">
        <v>21</v>
      </c>
      <c r="AV7" t="s">
        <v>39</v>
      </c>
      <c r="AW7" t="s">
        <v>25</v>
      </c>
      <c r="AX7" t="s">
        <v>11</v>
      </c>
      <c r="AY7" t="s">
        <v>80</v>
      </c>
    </row>
    <row r="8" spans="1:51">
      <c r="A8" s="13"/>
      <c r="B8" s="13"/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13"/>
      <c r="S8" s="13"/>
      <c r="T8" s="1" t="s">
        <v>81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K8" t="s">
        <v>25</v>
      </c>
      <c r="AL8" t="str">
        <f t="shared" si="0"/>
        <v>'Fermin Alejandro Escalona Guillen',</v>
      </c>
      <c r="AT8" s="7">
        <v>7</v>
      </c>
      <c r="AU8" t="s">
        <v>16</v>
      </c>
      <c r="AV8" t="s">
        <v>9</v>
      </c>
      <c r="AW8" t="s">
        <v>19</v>
      </c>
      <c r="AX8" t="s">
        <v>42</v>
      </c>
      <c r="AY8" t="s">
        <v>76</v>
      </c>
    </row>
    <row r="9" spans="1:51">
      <c r="A9" s="13"/>
      <c r="B9" s="13" t="s">
        <v>82</v>
      </c>
      <c r="C9" s="1" t="s">
        <v>79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3"/>
      <c r="S9" s="13" t="s">
        <v>82</v>
      </c>
      <c r="T9" s="1" t="s">
        <v>79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K9" t="s">
        <v>11</v>
      </c>
      <c r="AL9" t="str">
        <f t="shared" si="0"/>
        <v>'David Santiago Medina Buitrago',</v>
      </c>
      <c r="AT9" s="7">
        <v>8</v>
      </c>
      <c r="AU9" t="s">
        <v>17</v>
      </c>
      <c r="AV9" t="s">
        <v>15</v>
      </c>
      <c r="AW9" t="s">
        <v>28</v>
      </c>
      <c r="AX9" t="s">
        <v>38</v>
      </c>
      <c r="AY9" t="s">
        <v>80</v>
      </c>
    </row>
    <row r="10" spans="1:51">
      <c r="A10" s="13"/>
      <c r="B10" s="13"/>
      <c r="C10" s="1" t="s">
        <v>81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s="13"/>
      <c r="S10" s="13"/>
      <c r="T10" s="1" t="s">
        <v>81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K10" t="s">
        <v>41</v>
      </c>
      <c r="AL10" t="str">
        <f t="shared" si="0"/>
        <v>'sara juliana solano boada',</v>
      </c>
      <c r="AT10" s="7">
        <v>9</v>
      </c>
      <c r="AU10" t="s">
        <v>10</v>
      </c>
      <c r="AV10" t="s">
        <v>32</v>
      </c>
      <c r="AW10" t="s">
        <v>19</v>
      </c>
      <c r="AX10" t="s">
        <v>33</v>
      </c>
      <c r="AY10" t="s">
        <v>76</v>
      </c>
    </row>
    <row r="11" spans="1:51">
      <c r="AK11" t="s">
        <v>39</v>
      </c>
      <c r="AL11" t="str">
        <f t="shared" si="0"/>
        <v>'Carlos Felipe Andrade Sáenz ',</v>
      </c>
      <c r="AT11" s="7">
        <v>10</v>
      </c>
      <c r="AU11" t="s">
        <v>43</v>
      </c>
      <c r="AV11" t="s">
        <v>31</v>
      </c>
      <c r="AW11" t="s">
        <v>28</v>
      </c>
      <c r="AX11" t="s">
        <v>29</v>
      </c>
      <c r="AY11" t="s">
        <v>80</v>
      </c>
    </row>
    <row r="12" spans="1:51">
      <c r="AK12" t="s">
        <v>35</v>
      </c>
      <c r="AL12" t="str">
        <f t="shared" si="0"/>
        <v>'Rafael Andres Salcedo Valdivieso',</v>
      </c>
      <c r="AT12" s="7">
        <v>11</v>
      </c>
      <c r="AU12" t="s">
        <v>21</v>
      </c>
      <c r="AV12" t="s">
        <v>12</v>
      </c>
      <c r="AW12" t="s">
        <v>37</v>
      </c>
      <c r="AX12" t="s">
        <v>36</v>
      </c>
      <c r="AY12" t="s">
        <v>76</v>
      </c>
    </row>
    <row r="13" spans="1:51">
      <c r="AK13" t="s">
        <v>15</v>
      </c>
      <c r="AL13" t="str">
        <f t="shared" si="0"/>
        <v>'Sergio Andrés López Rodríguez ',</v>
      </c>
      <c r="AT13" s="7">
        <v>12</v>
      </c>
      <c r="AU13" t="s">
        <v>43</v>
      </c>
      <c r="AV13" t="s">
        <v>32</v>
      </c>
      <c r="AW13" t="s">
        <v>23</v>
      </c>
      <c r="AX13" t="s">
        <v>15</v>
      </c>
      <c r="AY13" t="s">
        <v>80</v>
      </c>
    </row>
    <row r="14" spans="1:51">
      <c r="AK14" t="s">
        <v>40</v>
      </c>
      <c r="AL14" t="str">
        <f t="shared" si="0"/>
        <v>'Jonatan Nicolas Marmolejo Lopez ',</v>
      </c>
      <c r="AT14" s="7">
        <v>13</v>
      </c>
      <c r="AU14" t="s">
        <v>20</v>
      </c>
      <c r="AV14" t="s">
        <v>25</v>
      </c>
      <c r="AW14" t="s">
        <v>26</v>
      </c>
      <c r="AX14" t="s">
        <v>12</v>
      </c>
      <c r="AY14" t="s">
        <v>76</v>
      </c>
    </row>
    <row r="15" spans="1:51">
      <c r="AK15" t="s">
        <v>22</v>
      </c>
      <c r="AL15" t="str">
        <f t="shared" si="0"/>
        <v>'Juan Pablo Aponte Veloza ',</v>
      </c>
      <c r="AT15" s="7">
        <v>14</v>
      </c>
      <c r="AU15" t="s">
        <v>27</v>
      </c>
      <c r="AV15" t="s">
        <v>35</v>
      </c>
      <c r="AW15" t="s">
        <v>21</v>
      </c>
      <c r="AX15" t="s">
        <v>33</v>
      </c>
      <c r="AY15" t="s">
        <v>80</v>
      </c>
    </row>
    <row r="16" spans="1:51">
      <c r="AK16" t="s">
        <v>37</v>
      </c>
      <c r="AL16" t="str">
        <f t="shared" si="0"/>
        <v>'Isabella Buitrago Hurtado',</v>
      </c>
      <c r="AT16" s="7">
        <v>15</v>
      </c>
      <c r="AU16" t="s">
        <v>34</v>
      </c>
      <c r="AV16" t="s">
        <v>30</v>
      </c>
      <c r="AW16" t="s">
        <v>15</v>
      </c>
      <c r="AX16" t="s">
        <v>27</v>
      </c>
      <c r="AY16" t="s">
        <v>76</v>
      </c>
    </row>
    <row r="17" spans="37:51">
      <c r="AK17" t="s">
        <v>17</v>
      </c>
      <c r="AL17" t="str">
        <f t="shared" si="0"/>
        <v>'Samuel Andrés Rodríguez Ulloa',</v>
      </c>
      <c r="AT17" s="7">
        <v>16</v>
      </c>
      <c r="AU17" t="s">
        <v>32</v>
      </c>
      <c r="AV17" t="s">
        <v>17</v>
      </c>
      <c r="AW17" t="s">
        <v>31</v>
      </c>
      <c r="AX17" t="s">
        <v>28</v>
      </c>
      <c r="AY17" t="s">
        <v>80</v>
      </c>
    </row>
    <row r="18" spans="37:51">
      <c r="AK18" t="s">
        <v>6</v>
      </c>
      <c r="AL18" t="str">
        <f t="shared" si="0"/>
        <v>'Andrea Julieth Sosa Rodriguez',</v>
      </c>
      <c r="AT18" s="7">
        <v>17</v>
      </c>
      <c r="AU18" t="s">
        <v>29</v>
      </c>
      <c r="AV18" t="s">
        <v>25</v>
      </c>
      <c r="AW18" t="s">
        <v>6</v>
      </c>
      <c r="AX18" t="s">
        <v>26</v>
      </c>
      <c r="AY18" t="s">
        <v>76</v>
      </c>
    </row>
    <row r="19" spans="37:51">
      <c r="AK19" t="s">
        <v>31</v>
      </c>
      <c r="AL19" t="str">
        <f t="shared" si="0"/>
        <v>'Maria Fernanda Tamayo Lopez',</v>
      </c>
      <c r="AT19" s="7">
        <v>18</v>
      </c>
      <c r="AU19" t="s">
        <v>24</v>
      </c>
      <c r="AV19" t="s">
        <v>40</v>
      </c>
      <c r="AW19" t="s">
        <v>10</v>
      </c>
      <c r="AX19" t="s">
        <v>16</v>
      </c>
      <c r="AY19" t="s">
        <v>80</v>
      </c>
    </row>
    <row r="20" spans="37:51">
      <c r="AK20" t="s">
        <v>20</v>
      </c>
      <c r="AL20" t="str">
        <f t="shared" si="0"/>
        <v>'juan miguel venegas garzón ',</v>
      </c>
      <c r="AT20" s="7">
        <v>19</v>
      </c>
      <c r="AU20" t="s">
        <v>11</v>
      </c>
      <c r="AV20" t="s">
        <v>25</v>
      </c>
      <c r="AW20" t="s">
        <v>39</v>
      </c>
      <c r="AX20" t="s">
        <v>27</v>
      </c>
      <c r="AY20" t="s">
        <v>76</v>
      </c>
    </row>
    <row r="21" spans="37:51">
      <c r="AK21" t="s">
        <v>12</v>
      </c>
      <c r="AL21" t="str">
        <f t="shared" si="0"/>
        <v>'Juan Pablo Benitez Bernal',</v>
      </c>
      <c r="AT21" s="7">
        <v>20</v>
      </c>
      <c r="AU21" t="s">
        <v>42</v>
      </c>
      <c r="AV21" t="s">
        <v>26</v>
      </c>
      <c r="AW21" t="s">
        <v>41</v>
      </c>
      <c r="AX21" t="s">
        <v>22</v>
      </c>
      <c r="AY21" t="s">
        <v>80</v>
      </c>
    </row>
    <row r="22" spans="37:51">
      <c r="AK22" t="s">
        <v>34</v>
      </c>
      <c r="AL22" t="str">
        <f t="shared" si="0"/>
        <v>'Valentina Alejandra Lopez Romero',</v>
      </c>
      <c r="AT22" s="7">
        <v>21</v>
      </c>
      <c r="AU22" t="s">
        <v>9</v>
      </c>
      <c r="AV22" t="s">
        <v>22</v>
      </c>
      <c r="AW22" t="s">
        <v>39</v>
      </c>
      <c r="AX22" t="s">
        <v>18</v>
      </c>
      <c r="AY22" t="s">
        <v>76</v>
      </c>
    </row>
    <row r="23" spans="37:51">
      <c r="AK23" t="s">
        <v>18</v>
      </c>
      <c r="AL23" t="str">
        <f t="shared" si="0"/>
        <v>'Jorge Enrique Lugo Lopez',</v>
      </c>
      <c r="AT23" s="7">
        <v>22</v>
      </c>
      <c r="AU23" t="s">
        <v>24</v>
      </c>
      <c r="AV23" t="s">
        <v>36</v>
      </c>
      <c r="AW23" t="s">
        <v>37</v>
      </c>
      <c r="AX23" t="s">
        <v>10</v>
      </c>
      <c r="AY23" t="s">
        <v>80</v>
      </c>
    </row>
    <row r="24" spans="37:51">
      <c r="AK24" t="s">
        <v>36</v>
      </c>
      <c r="AL24" t="str">
        <f t="shared" si="0"/>
        <v>'Valentina Jimenez Gomez',</v>
      </c>
      <c r="AT24" s="7">
        <v>23</v>
      </c>
      <c r="AU24" t="s">
        <v>16</v>
      </c>
      <c r="AV24" t="s">
        <v>28</v>
      </c>
      <c r="AW24" t="s">
        <v>17</v>
      </c>
      <c r="AX24" t="s">
        <v>6</v>
      </c>
      <c r="AY24" t="s">
        <v>76</v>
      </c>
    </row>
    <row r="25" spans="37:51">
      <c r="AK25" t="s">
        <v>27</v>
      </c>
      <c r="AL25" t="str">
        <f t="shared" si="0"/>
        <v>'María José Cifuentes ',</v>
      </c>
      <c r="AT25" s="7">
        <v>24</v>
      </c>
      <c r="AU25" t="s">
        <v>43</v>
      </c>
      <c r="AV25" t="s">
        <v>18</v>
      </c>
      <c r="AW25" t="s">
        <v>33</v>
      </c>
      <c r="AX25" t="s">
        <v>36</v>
      </c>
      <c r="AY25" t="s">
        <v>80</v>
      </c>
    </row>
    <row r="26" spans="37:51">
      <c r="AK26" t="s">
        <v>9</v>
      </c>
      <c r="AL26" t="str">
        <f t="shared" si="0"/>
        <v>'Daniel Gutierrez ',</v>
      </c>
      <c r="AT26" s="7">
        <v>25</v>
      </c>
      <c r="AU26" t="s">
        <v>24</v>
      </c>
      <c r="AV26" t="s">
        <v>31</v>
      </c>
      <c r="AW26" t="s">
        <v>39</v>
      </c>
      <c r="AX26" t="s">
        <v>19</v>
      </c>
      <c r="AY26" t="s">
        <v>76</v>
      </c>
    </row>
    <row r="27" spans="37:51">
      <c r="AK27" t="s">
        <v>32</v>
      </c>
      <c r="AL27" t="str">
        <f t="shared" si="0"/>
        <v>'Santiago Peña Beltran',</v>
      </c>
      <c r="AT27" s="7">
        <v>26</v>
      </c>
      <c r="AU27" t="s">
        <v>9</v>
      </c>
      <c r="AV27" t="s">
        <v>37</v>
      </c>
      <c r="AW27" t="s">
        <v>19</v>
      </c>
      <c r="AX27" t="s">
        <v>38</v>
      </c>
      <c r="AY27" t="s">
        <v>80</v>
      </c>
    </row>
    <row r="28" spans="37:51">
      <c r="AK28" t="s">
        <v>33</v>
      </c>
      <c r="AL28" t="str">
        <f t="shared" si="0"/>
        <v>'César Camilo Díaz Cufiño',</v>
      </c>
      <c r="AT28" s="7">
        <v>27</v>
      </c>
      <c r="AU28" t="s">
        <v>8</v>
      </c>
      <c r="AV28" t="s">
        <v>34</v>
      </c>
      <c r="AW28" t="s">
        <v>23</v>
      </c>
      <c r="AX28" t="s">
        <v>29</v>
      </c>
      <c r="AY28" t="s">
        <v>76</v>
      </c>
    </row>
    <row r="29" spans="37:51">
      <c r="AK29" t="s">
        <v>13</v>
      </c>
      <c r="AL29" t="str">
        <f t="shared" si="0"/>
        <v>'David Santiago Murcia Barrera ',</v>
      </c>
      <c r="AT29" s="7">
        <v>28</v>
      </c>
      <c r="AU29" t="s">
        <v>35</v>
      </c>
      <c r="AV29" t="s">
        <v>40</v>
      </c>
      <c r="AW29" t="s">
        <v>11</v>
      </c>
      <c r="AX29" t="s">
        <v>34</v>
      </c>
      <c r="AY29" t="s">
        <v>80</v>
      </c>
    </row>
    <row r="30" spans="37:51">
      <c r="AK30" t="s">
        <v>38</v>
      </c>
      <c r="AL30" t="str">
        <f t="shared" si="0"/>
        <v>'Nicolas Navarro ',</v>
      </c>
      <c r="AT30" s="7">
        <v>29</v>
      </c>
      <c r="AU30" t="s">
        <v>6</v>
      </c>
      <c r="AV30" t="s">
        <v>8</v>
      </c>
      <c r="AW30" t="s">
        <v>36</v>
      </c>
      <c r="AX30" t="s">
        <v>23</v>
      </c>
      <c r="AY30" t="s">
        <v>76</v>
      </c>
    </row>
    <row r="31" spans="37:51">
      <c r="AK31" t="s">
        <v>24</v>
      </c>
      <c r="AL31" t="str">
        <f t="shared" si="0"/>
        <v>'Juliana Beltrán Díaz ',</v>
      </c>
      <c r="AT31" s="7">
        <v>30</v>
      </c>
      <c r="AU31" t="s">
        <v>6</v>
      </c>
      <c r="AV31" t="s">
        <v>20</v>
      </c>
      <c r="AW31" t="s">
        <v>12</v>
      </c>
      <c r="AX31" t="s">
        <v>33</v>
      </c>
      <c r="AY31" t="s">
        <v>80</v>
      </c>
    </row>
    <row r="32" spans="37:51">
      <c r="AK32" t="s">
        <v>26</v>
      </c>
      <c r="AL32" t="str">
        <f t="shared" si="0"/>
        <v>'Juan Pablo Vargas Jiménez ',</v>
      </c>
      <c r="AT32" s="7">
        <v>31</v>
      </c>
      <c r="AU32" t="s">
        <v>13</v>
      </c>
      <c r="AV32" t="s">
        <v>37</v>
      </c>
      <c r="AW32" t="s">
        <v>12</v>
      </c>
      <c r="AX32" t="s">
        <v>17</v>
      </c>
      <c r="AY32" t="s">
        <v>76</v>
      </c>
    </row>
    <row r="33" spans="37:51">
      <c r="AK33" t="s">
        <v>42</v>
      </c>
      <c r="AL33" t="str">
        <f t="shared" si="0"/>
        <v>'Santiago Navarro Cuy',</v>
      </c>
      <c r="AT33" s="7">
        <v>32</v>
      </c>
      <c r="AU33" t="s">
        <v>30</v>
      </c>
      <c r="AV33" t="s">
        <v>23</v>
      </c>
      <c r="AW33" t="s">
        <v>20</v>
      </c>
      <c r="AX33" t="s">
        <v>15</v>
      </c>
      <c r="AY33" t="s">
        <v>80</v>
      </c>
    </row>
    <row r="34" spans="37:51">
      <c r="AK34" t="s">
        <v>30</v>
      </c>
      <c r="AL34" t="str">
        <f t="shared" si="0"/>
        <v>'Cristian Stevan Soto Zapata',</v>
      </c>
      <c r="AT34" s="7">
        <v>33</v>
      </c>
      <c r="AU34" t="s">
        <v>11</v>
      </c>
      <c r="AV34" t="s">
        <v>16</v>
      </c>
      <c r="AW34" t="s">
        <v>13</v>
      </c>
      <c r="AX34" t="s">
        <v>34</v>
      </c>
      <c r="AY34" t="s">
        <v>76</v>
      </c>
    </row>
    <row r="35" spans="37:51">
      <c r="AK35" t="s">
        <v>29</v>
      </c>
      <c r="AL35" t="str">
        <f t="shared" si="0"/>
        <v>'Nikol sofia avendaño',</v>
      </c>
      <c r="AT35" s="7">
        <v>34</v>
      </c>
      <c r="AU35" t="s">
        <v>42</v>
      </c>
      <c r="AV35" t="s">
        <v>41</v>
      </c>
      <c r="AW35" t="s">
        <v>29</v>
      </c>
      <c r="AX35" t="s">
        <v>17</v>
      </c>
      <c r="AY35" t="s">
        <v>80</v>
      </c>
    </row>
    <row r="36" spans="37:51">
      <c r="AK36" t="s">
        <v>8</v>
      </c>
      <c r="AL36" t="str">
        <f t="shared" si="0"/>
        <v>'Nicole Lizarazo',</v>
      </c>
      <c r="AT36" s="7">
        <v>35</v>
      </c>
      <c r="AU36" t="s">
        <v>32</v>
      </c>
      <c r="AV36" t="s">
        <v>27</v>
      </c>
      <c r="AW36" t="s">
        <v>8</v>
      </c>
      <c r="AX36" t="s">
        <v>18</v>
      </c>
      <c r="AY36" t="s">
        <v>76</v>
      </c>
    </row>
    <row r="37" spans="37:51">
      <c r="AT37" s="7">
        <v>36</v>
      </c>
      <c r="AU37" t="s">
        <v>13</v>
      </c>
      <c r="AV37" t="s">
        <v>24</v>
      </c>
      <c r="AW37" t="s">
        <v>19</v>
      </c>
      <c r="AX37" t="s">
        <v>35</v>
      </c>
      <c r="AY37" t="s">
        <v>80</v>
      </c>
    </row>
    <row r="38" spans="37:51">
      <c r="AT38" s="7">
        <v>37</v>
      </c>
      <c r="AU38" t="s">
        <v>8</v>
      </c>
      <c r="AV38" t="s">
        <v>12</v>
      </c>
      <c r="AW38" t="s">
        <v>16</v>
      </c>
      <c r="AX38" t="s">
        <v>38</v>
      </c>
      <c r="AY38" t="s">
        <v>76</v>
      </c>
    </row>
    <row r="39" spans="37:51">
      <c r="AT39" s="7">
        <v>38</v>
      </c>
      <c r="AU39" t="s">
        <v>38</v>
      </c>
      <c r="AV39" t="s">
        <v>41</v>
      </c>
      <c r="AW39" t="s">
        <v>10</v>
      </c>
      <c r="AX39" t="s">
        <v>18</v>
      </c>
      <c r="AY39" t="s">
        <v>80</v>
      </c>
    </row>
    <row r="40" spans="37:51">
      <c r="AT40" s="7">
        <v>39</v>
      </c>
      <c r="AU40" t="s">
        <v>38</v>
      </c>
      <c r="AV40" t="s">
        <v>28</v>
      </c>
      <c r="AW40" t="s">
        <v>31</v>
      </c>
      <c r="AX40" t="s">
        <v>26</v>
      </c>
      <c r="AY40" t="s">
        <v>76</v>
      </c>
    </row>
    <row r="41" spans="37:51">
      <c r="AT41" s="7">
        <v>40</v>
      </c>
      <c r="AU41" t="s">
        <v>41</v>
      </c>
      <c r="AV41" t="s">
        <v>26</v>
      </c>
      <c r="AW41" t="s">
        <v>40</v>
      </c>
      <c r="AX41" t="s">
        <v>11</v>
      </c>
      <c r="AY41" t="s">
        <v>80</v>
      </c>
    </row>
    <row r="42" spans="37:51">
      <c r="AT42" s="7">
        <v>41</v>
      </c>
      <c r="AU42" t="s">
        <v>34</v>
      </c>
      <c r="AV42" t="s">
        <v>13</v>
      </c>
      <c r="AW42" t="s">
        <v>8</v>
      </c>
      <c r="AX42" t="s">
        <v>30</v>
      </c>
      <c r="AY42" t="s">
        <v>76</v>
      </c>
    </row>
    <row r="43" spans="37:51">
      <c r="AT43" s="7">
        <v>42</v>
      </c>
      <c r="AU43" t="s">
        <v>15</v>
      </c>
      <c r="AV43" t="s">
        <v>20</v>
      </c>
      <c r="AW43" t="s">
        <v>30</v>
      </c>
      <c r="AX43" t="s">
        <v>41</v>
      </c>
      <c r="AY43" t="s">
        <v>80</v>
      </c>
    </row>
    <row r="44" spans="37:51">
      <c r="AT44" s="7">
        <v>43</v>
      </c>
      <c r="AU44" t="s">
        <v>6</v>
      </c>
      <c r="AV44" t="s">
        <v>13</v>
      </c>
      <c r="AW44" t="s">
        <v>20</v>
      </c>
      <c r="AX44" t="s">
        <v>40</v>
      </c>
      <c r="AY44" t="s">
        <v>76</v>
      </c>
    </row>
    <row r="45" spans="37:51">
      <c r="AT45" s="7">
        <v>44</v>
      </c>
      <c r="AU45" t="s">
        <v>31</v>
      </c>
      <c r="AV45" t="s">
        <v>22</v>
      </c>
      <c r="AW45" t="s">
        <v>24</v>
      </c>
      <c r="AX45" t="s">
        <v>21</v>
      </c>
      <c r="AY45" t="s">
        <v>80</v>
      </c>
    </row>
    <row r="46" spans="37:51">
      <c r="AT46" s="7">
        <v>45</v>
      </c>
      <c r="AU46" t="s">
        <v>9</v>
      </c>
      <c r="AV46" t="s">
        <v>35</v>
      </c>
      <c r="AW46" t="s">
        <v>43</v>
      </c>
      <c r="AX46" t="s">
        <v>32</v>
      </c>
      <c r="AY46" t="s">
        <v>76</v>
      </c>
    </row>
  </sheetData>
  <mergeCells count="18">
    <mergeCell ref="A7:A10"/>
    <mergeCell ref="B7:B8"/>
    <mergeCell ref="R7:R10"/>
    <mergeCell ref="S7:S8"/>
    <mergeCell ref="B9:B10"/>
    <mergeCell ref="S9:S10"/>
    <mergeCell ref="A3:A6"/>
    <mergeCell ref="B3:B4"/>
    <mergeCell ref="R3:R6"/>
    <mergeCell ref="S3:S4"/>
    <mergeCell ref="B5:B6"/>
    <mergeCell ref="S5:S6"/>
    <mergeCell ref="U1:AG1"/>
    <mergeCell ref="A1:A2"/>
    <mergeCell ref="B1:C2"/>
    <mergeCell ref="D1:P1"/>
    <mergeCell ref="R1:R2"/>
    <mergeCell ref="S1:T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DFB645B232244D9776E37EF2080FB0" ma:contentTypeVersion="11" ma:contentTypeDescription="Crear nuevo documento." ma:contentTypeScope="" ma:versionID="480a9a7ececd7bee321af4825291f0a7">
  <xsd:schema xmlns:xsd="http://www.w3.org/2001/XMLSchema" xmlns:xs="http://www.w3.org/2001/XMLSchema" xmlns:p="http://schemas.microsoft.com/office/2006/metadata/properties" xmlns:ns2="c36ac320-a888-427b-a7c7-f8ea5411a5b6" xmlns:ns3="c2abac89-b20a-41d2-b82b-64ebb46b082f" targetNamespace="http://schemas.microsoft.com/office/2006/metadata/properties" ma:root="true" ma:fieldsID="5b612a0e81ec1a7d5f6c2de32b7f99d9" ns2:_="" ns3:_="">
    <xsd:import namespace="c36ac320-a888-427b-a7c7-f8ea5411a5b6"/>
    <xsd:import namespace="c2abac89-b20a-41d2-b82b-64ebb46b0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ac320-a888-427b-a7c7-f8ea5411a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bac89-b20a-41d2-b82b-64ebb46b08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e1e203-445e-4490-a817-da4cf60624ee}" ma:internalName="TaxCatchAll" ma:showField="CatchAllData" ma:web="c2abac89-b20a-41d2-b82b-64ebb46b0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ac320-a888-427b-a7c7-f8ea5411a5b6">
      <Terms xmlns="http://schemas.microsoft.com/office/infopath/2007/PartnerControls"/>
    </lcf76f155ced4ddcb4097134ff3c332f>
    <TaxCatchAll xmlns="c2abac89-b20a-41d2-b82b-64ebb46b082f" xsi:nil="true"/>
  </documentManagement>
</p:properties>
</file>

<file path=customXml/itemProps1.xml><?xml version="1.0" encoding="utf-8"?>
<ds:datastoreItem xmlns:ds="http://schemas.openxmlformats.org/officeDocument/2006/customXml" ds:itemID="{097C78D6-64D1-43AD-9999-B6D00DB18778}"/>
</file>

<file path=customXml/itemProps2.xml><?xml version="1.0" encoding="utf-8"?>
<ds:datastoreItem xmlns:ds="http://schemas.openxmlformats.org/officeDocument/2006/customXml" ds:itemID="{4398E9AF-10ED-4867-B0B8-F0CA058F8E5B}"/>
</file>

<file path=customXml/itemProps3.xml><?xml version="1.0" encoding="utf-8"?>
<ds:datastoreItem xmlns:ds="http://schemas.openxmlformats.org/officeDocument/2006/customXml" ds:itemID="{EE7F79AC-049C-45CE-988A-8247A9A9B326}"/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Jose Sandoval Ricaurte</dc:creator>
  <cp:keywords/>
  <dc:description/>
  <cp:lastModifiedBy>Rafael Andres Salcedo Valdivieso</cp:lastModifiedBy>
  <cp:revision/>
  <dcterms:created xsi:type="dcterms:W3CDTF">2025-08-06T20:59:06Z</dcterms:created>
  <dcterms:modified xsi:type="dcterms:W3CDTF">2025-11-23T18:37:38Z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0x01010008DFB645B232244D9776E37EF2080FB0</vt:lpwstr>
  </property>
</Properties>
</file>